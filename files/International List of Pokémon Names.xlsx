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Pokemon" sheetId="1" state="visible" r:id="rId1"/>
    <sheet xmlns:r="http://schemas.openxmlformats.org/officeDocument/2006/relationships" name="Forms" sheetId="2" state="visible" r:id="rId2"/>
    <sheet xmlns:r="http://schemas.openxmlformats.org/officeDocument/2006/relationships" name="Categories" sheetId="3" state="visible" r:id="rId3"/>
    <sheet xmlns:r="http://schemas.openxmlformats.org/officeDocument/2006/relationships" name="Types" sheetId="4" state="visible" r:id="rId4"/>
    <sheet xmlns:r="http://schemas.openxmlformats.org/officeDocument/2006/relationships" name="Moves" sheetId="5" state="visible" r:id="rId5"/>
    <sheet xmlns:r="http://schemas.openxmlformats.org/officeDocument/2006/relationships" name="Abilities" sheetId="6" state="visible" r:id="rId6"/>
    <sheet xmlns:r="http://schemas.openxmlformats.org/officeDocument/2006/relationships" name="Natures" sheetId="7" state="visible" r:id="rId7"/>
    <sheet xmlns:r="http://schemas.openxmlformats.org/officeDocument/2006/relationships" name="Characteristics" sheetId="8" state="visible" r:id="rId8"/>
    <sheet xmlns:r="http://schemas.openxmlformats.org/officeDocument/2006/relationships" name="Items" sheetId="9" state="visible" r:id="rId9"/>
    <sheet xmlns:r="http://schemas.openxmlformats.org/officeDocument/2006/relationships" name="Trainer Classe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Arial"/>
      <color rgb="FF000000"/>
      <sz val="10"/>
      <scheme val="minor"/>
    </font>
    <font>
      <name val="Arial"/>
      <b val="1"/>
      <color theme="1"/>
      <scheme val="minor"/>
    </font>
    <font>
      <name val="Arial"/>
      <color theme="1"/>
      <scheme val="minor"/>
    </font>
    <font>
      <name val="Arial"/>
      <color rgb="FF000000"/>
    </font>
    <font>
      <name val="Sans-serif"/>
      <color rgb="FF000000"/>
    </font>
    <font>
      <name val="Roboto"/>
      <color rgb="FF000000"/>
    </font>
    <font>
      <name val="Arial"/>
      <color rgb="FF202122"/>
      <sz val="10"/>
      <scheme val="minor"/>
    </font>
    <font>
      <name val="-apple-system"/>
      <color rgb="FF000000"/>
    </font>
    <font>
      <name val="Arial"/>
      <color rgb="FF000000"/>
      <scheme val="minor"/>
    </font>
    <font>
      <name val="Inconsolata"/>
      <color rgb="FF000000"/>
      <sz val="11"/>
    </font>
    <font>
      <name val="Google Sans Mono"/>
      <color theme="1"/>
      <sz val="9"/>
    </font>
    <font>
      <name val="Arial"/>
      <b val="1"/>
      <color theme="1"/>
      <sz val="10"/>
      <scheme val="minor"/>
    </font>
    <font>
      <name val="Arial"/>
      <color theme="1"/>
    </font>
  </fonts>
  <fills count="3">
    <fill>
      <patternFill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numFmtId="0" fontId="0" fillId="0" borderId="0"/>
  </cellStyleXfs>
  <cellXfs count="32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2" fillId="0" borderId="0" pivotButton="0" quotePrefix="0" xfId="0"/>
    <xf numFmtId="0" fontId="4" fillId="2" borderId="0" pivotButton="0" quotePrefix="0" xfId="0"/>
    <xf numFmtId="0" fontId="2" fillId="0" borderId="0" pivotButton="0" quotePrefix="0" xfId="0"/>
    <xf numFmtId="0" fontId="2" fillId="0" borderId="0" pivotButton="0" quotePrefix="0" xfId="0"/>
    <xf numFmtId="0" fontId="5" fillId="2" borderId="0" pivotButton="0" quotePrefix="0" xfId="0"/>
    <xf numFmtId="0" fontId="6" fillId="2" borderId="0" applyAlignment="1" pivotButton="0" quotePrefix="0" xfId="0">
      <alignment horizontal="left"/>
    </xf>
    <xf numFmtId="0" fontId="3" fillId="2" borderId="0" applyAlignment="1" pivotButton="0" quotePrefix="0" xfId="0">
      <alignment horizontal="left"/>
    </xf>
    <xf numFmtId="0" fontId="7" fillId="2" borderId="0" pivotButton="0" quotePrefix="0" xfId="0"/>
    <xf numFmtId="0" fontId="8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9" fillId="2" borderId="0" pivotButton="0" quotePrefix="0" xfId="0"/>
    <xf numFmtId="0" fontId="8" fillId="2" borderId="0" pivotButton="0" quotePrefix="0" xfId="0"/>
    <xf numFmtId="0" fontId="2" fillId="0" borderId="0" pivotButton="0" quotePrefix="0" xfId="0"/>
    <xf numFmtId="0" fontId="10" fillId="0" borderId="0" pivotButton="0" quotePrefix="0" xfId="0"/>
    <xf numFmtId="0" fontId="1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0" fillId="2" borderId="0" applyAlignment="1" pivotButton="0" quotePrefix="0" xfId="0">
      <alignment horizontal="left"/>
    </xf>
    <xf numFmtId="0" fontId="4" fillId="2" borderId="0" applyAlignment="1" pivotButton="0" quotePrefix="0" xfId="0">
      <alignment horizontal="left"/>
    </xf>
    <xf numFmtId="0" fontId="2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2" fillId="0" borderId="0" pivotButton="0" quotePrefix="0" xfId="0"/>
    <xf numFmtId="0" fontId="12" fillId="0" borderId="0" applyAlignment="1" pivotButton="0" quotePrefix="0" xfId="0">
      <alignment vertical="bottom"/>
    </xf>
    <xf numFmtId="0" fontId="2" fillId="0" borderId="0" pivotButton="0" quotePrefix="0" xfId="0"/>
    <xf numFmtId="0" fontId="12" fillId="2" borderId="0" pivotButton="0" quotePrefix="0" xfId="0"/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Z1026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2.63" defaultRowHeight="15.75" customHeight="1"/>
  <cols>
    <col width="24.5" customWidth="1" style="31" min="1" max="1"/>
  </cols>
  <sheetData>
    <row r="1">
      <c r="A1" s="2" t="inlineStr">
        <is>
          <t>key</t>
        </is>
      </c>
      <c r="B1" s="2" t="inlineStr">
        <is>
          <t>en</t>
        </is>
      </c>
      <c r="C1" s="2" t="inlineStr">
        <is>
          <t>ja</t>
        </is>
      </c>
      <c r="D1" s="2" t="inlineStr">
        <is>
          <t>fr</t>
        </is>
      </c>
      <c r="E1" s="2" t="inlineStr">
        <is>
          <t>de</t>
        </is>
      </c>
      <c r="F1" s="2" t="inlineStr">
        <is>
          <t>es</t>
        </is>
      </c>
      <c r="G1" s="2" t="inlineStr">
        <is>
          <t>it</t>
        </is>
      </c>
      <c r="H1" s="2" t="inlineStr">
        <is>
          <t>ko</t>
        </is>
      </c>
      <c r="I1" s="2" t="inlineStr">
        <is>
          <t>zh_HK</t>
        </is>
      </c>
      <c r="J1" s="2" t="inlineStr">
        <is>
          <t>zh</t>
        </is>
      </c>
      <c r="K1" s="2" t="inlineStr">
        <is>
          <t>es_149</t>
        </is>
      </c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</row>
    <row r="2">
      <c r="A2" s="29">
        <f>CONCATENATE("NAME_PkMn_", UPPER(B2))</f>
        <v/>
      </c>
      <c r="B2" s="29" t="inlineStr">
        <is>
          <t>Bulbasaur</t>
        </is>
      </c>
      <c r="C2" s="4" t="inlineStr">
        <is>
          <t>フシギダネ</t>
        </is>
      </c>
      <c r="D2" s="29" t="inlineStr">
        <is>
          <t>Bulbizarre</t>
        </is>
      </c>
      <c r="E2" s="29" t="inlineStr">
        <is>
          <t>Bisasam</t>
        </is>
      </c>
      <c r="F2" s="29">
        <f>B2</f>
        <v/>
      </c>
      <c r="G2" s="29">
        <f>B2</f>
        <v/>
      </c>
      <c r="H2" s="6" t="inlineStr">
        <is>
          <t>이상해씨</t>
        </is>
      </c>
      <c r="I2" s="29">
        <f>IFERROR(__xludf.DUMMYFUNCTION("GOOGLETRANSLATE(J2,""zh_HANS"",""zh_HANT"")"),"妙蛙種子")</f>
        <v/>
      </c>
      <c r="J2" s="29" t="inlineStr">
        <is>
          <t>妙蛙种子</t>
        </is>
      </c>
      <c r="K2" s="29">
        <f>F2</f>
        <v/>
      </c>
    </row>
    <row r="3">
      <c r="A3" s="29">
        <f>CONCATENATE("NAME_PkMn_", UPPER(B3))</f>
        <v/>
      </c>
      <c r="B3" s="29" t="inlineStr">
        <is>
          <t>Ivysaur</t>
        </is>
      </c>
      <c r="C3" s="29" t="inlineStr">
        <is>
          <t>フシギソウ</t>
        </is>
      </c>
      <c r="D3" s="29" t="inlineStr">
        <is>
          <t>Herbizarre</t>
        </is>
      </c>
      <c r="E3" s="29" t="inlineStr">
        <is>
          <t>Bisaknosp</t>
        </is>
      </c>
      <c r="F3" s="29">
        <f>B3</f>
        <v/>
      </c>
      <c r="G3" s="29">
        <f>B3</f>
        <v/>
      </c>
      <c r="H3" s="29" t="inlineStr">
        <is>
          <t>이상해풀</t>
        </is>
      </c>
      <c r="I3" s="29">
        <f>J3</f>
        <v/>
      </c>
      <c r="J3" s="29" t="inlineStr">
        <is>
          <t>妙蛙草</t>
        </is>
      </c>
      <c r="K3" s="29">
        <f>F3</f>
        <v/>
      </c>
    </row>
    <row r="4">
      <c r="A4" s="29">
        <f>CONCATENATE("NAME_PkMn_", UPPER(B4))</f>
        <v/>
      </c>
      <c r="B4" s="29" t="inlineStr">
        <is>
          <t>Venusaur</t>
        </is>
      </c>
      <c r="C4" s="29" t="inlineStr">
        <is>
          <t>フシギバナ</t>
        </is>
      </c>
      <c r="D4" s="29" t="inlineStr">
        <is>
          <t>Florizarre</t>
        </is>
      </c>
      <c r="E4" s="29" t="inlineStr">
        <is>
          <t>Bisaflor</t>
        </is>
      </c>
      <c r="F4" s="29">
        <f>B4</f>
        <v/>
      </c>
      <c r="G4" s="29">
        <f>B4</f>
        <v/>
      </c>
      <c r="H4" s="29" t="inlineStr">
        <is>
          <t>이상해꽃</t>
        </is>
      </c>
      <c r="I4" s="29">
        <f>J4</f>
        <v/>
      </c>
      <c r="J4" s="29" t="inlineStr">
        <is>
          <t>妙蛙花</t>
        </is>
      </c>
      <c r="K4" s="29">
        <f>F4</f>
        <v/>
      </c>
    </row>
    <row r="5">
      <c r="A5" s="29">
        <f>CONCATENATE("NAME_PkMn_", UPPER(B5))</f>
        <v/>
      </c>
      <c r="B5" s="29" t="inlineStr">
        <is>
          <t>Charmander</t>
        </is>
      </c>
      <c r="C5" s="29" t="inlineStr">
        <is>
          <t>ヒトカゲ</t>
        </is>
      </c>
      <c r="D5" s="29" t="inlineStr">
        <is>
          <t>Salamèche</t>
        </is>
      </c>
      <c r="E5" s="29" t="inlineStr">
        <is>
          <t>Glumanda</t>
        </is>
      </c>
      <c r="F5" s="29">
        <f>B5</f>
        <v/>
      </c>
      <c r="G5" s="29">
        <f>B5</f>
        <v/>
      </c>
      <c r="H5" s="29" t="inlineStr">
        <is>
          <t>파이리</t>
        </is>
      </c>
      <c r="I5" s="29">
        <f>IFERROR(__xludf.DUMMYFUNCTION("GOOGLETRANSLATE(J5,""zh_HANS"",""zh_HANT"")"),"小火龍")</f>
        <v/>
      </c>
      <c r="J5" s="29" t="inlineStr">
        <is>
          <t>小火龙</t>
        </is>
      </c>
      <c r="K5" s="29">
        <f>F5</f>
        <v/>
      </c>
    </row>
    <row r="6">
      <c r="A6" s="29">
        <f>CONCATENATE("NAME_PkMn_", UPPER(B6))</f>
        <v/>
      </c>
      <c r="B6" s="29" t="inlineStr">
        <is>
          <t>Charmeleon</t>
        </is>
      </c>
      <c r="C6" s="29" t="inlineStr">
        <is>
          <t>リザード</t>
        </is>
      </c>
      <c r="D6" s="29" t="inlineStr">
        <is>
          <t>Reptincel</t>
        </is>
      </c>
      <c r="E6" s="29" t="inlineStr">
        <is>
          <t>Glutexo</t>
        </is>
      </c>
      <c r="F6" s="29">
        <f>B6</f>
        <v/>
      </c>
      <c r="G6" s="29">
        <f>B6</f>
        <v/>
      </c>
      <c r="H6" s="29" t="inlineStr">
        <is>
          <t>리자드</t>
        </is>
      </c>
      <c r="I6" s="29">
        <f>IFERROR(__xludf.DUMMYFUNCTION("GOOGLETRANSLATE(J6,""zh_HANS"",""zh_HANT"")"),"火恐龍")</f>
        <v/>
      </c>
      <c r="J6" s="29" t="inlineStr">
        <is>
          <t>火恐龙</t>
        </is>
      </c>
      <c r="K6" s="29">
        <f>F6</f>
        <v/>
      </c>
    </row>
    <row r="7">
      <c r="A7" s="29">
        <f>CONCATENATE("NAME_PkMn_", UPPER(B7))</f>
        <v/>
      </c>
      <c r="B7" s="29" t="inlineStr">
        <is>
          <t>Charizard</t>
        </is>
      </c>
      <c r="C7" s="29" t="inlineStr">
        <is>
          <t>リザードン</t>
        </is>
      </c>
      <c r="D7" s="29" t="inlineStr">
        <is>
          <t>Dracaufeu</t>
        </is>
      </c>
      <c r="E7" s="29" t="inlineStr">
        <is>
          <t>Glurak</t>
        </is>
      </c>
      <c r="F7" s="29">
        <f>B7</f>
        <v/>
      </c>
      <c r="G7" s="29">
        <f>B7</f>
        <v/>
      </c>
      <c r="H7" s="29" t="inlineStr">
        <is>
          <t>리자몽</t>
        </is>
      </c>
      <c r="I7" s="29">
        <f>IFERROR(__xludf.DUMMYFUNCTION("GOOGLETRANSLATE(J7,""zh_HANS"",""zh_HANT"")"),"噴火龍")</f>
        <v/>
      </c>
      <c r="J7" s="29" t="inlineStr">
        <is>
          <t>喷火龙</t>
        </is>
      </c>
      <c r="K7" s="29">
        <f>F7</f>
        <v/>
      </c>
    </row>
    <row r="8">
      <c r="A8" s="29">
        <f>CONCATENATE("NAME_PkMn_", UPPER(B8))</f>
        <v/>
      </c>
      <c r="B8" s="29" t="inlineStr">
        <is>
          <t>Squirtle</t>
        </is>
      </c>
      <c r="C8" s="29" t="inlineStr">
        <is>
          <t>ゼニガメ</t>
        </is>
      </c>
      <c r="D8" s="29" t="inlineStr">
        <is>
          <t>Carapuce</t>
        </is>
      </c>
      <c r="E8" s="29" t="inlineStr">
        <is>
          <t>Schiggy</t>
        </is>
      </c>
      <c r="F8" s="29">
        <f>B8</f>
        <v/>
      </c>
      <c r="G8" s="29">
        <f>B8</f>
        <v/>
      </c>
      <c r="H8" s="29" t="inlineStr">
        <is>
          <t>꼬부기</t>
        </is>
      </c>
      <c r="I8" s="29">
        <f>IFERROR(__xludf.DUMMYFUNCTION("GOOGLETRANSLATE(J8,""zh_HANS"",""zh_HANT"")"),"傑尼龜")</f>
        <v/>
      </c>
      <c r="J8" s="29" t="inlineStr">
        <is>
          <t>杰尼龟</t>
        </is>
      </c>
      <c r="K8" s="29">
        <f>F8</f>
        <v/>
      </c>
    </row>
    <row r="9">
      <c r="A9" s="29">
        <f>CONCATENATE("NAME_PkMn_", UPPER(B9))</f>
        <v/>
      </c>
      <c r="B9" s="29" t="inlineStr">
        <is>
          <t>Wartortle</t>
        </is>
      </c>
      <c r="C9" s="29" t="inlineStr">
        <is>
          <t>カメール</t>
        </is>
      </c>
      <c r="D9" s="29" t="inlineStr">
        <is>
          <t>Carabaffe</t>
        </is>
      </c>
      <c r="E9" s="29" t="inlineStr">
        <is>
          <t>Schillok</t>
        </is>
      </c>
      <c r="F9" s="29">
        <f>B9</f>
        <v/>
      </c>
      <c r="G9" s="29">
        <f>B9</f>
        <v/>
      </c>
      <c r="H9" s="29" t="inlineStr">
        <is>
          <t>어니부기</t>
        </is>
      </c>
      <c r="I9" s="29">
        <f>IFERROR(__xludf.DUMMYFUNCTION("GOOGLETRANSLATE(J9,""zh_HANS"",""zh_HANT"")"),"卡咪龜")</f>
        <v/>
      </c>
      <c r="J9" s="29" t="inlineStr">
        <is>
          <t>卡咪龟</t>
        </is>
      </c>
      <c r="K9" s="29">
        <f>F9</f>
        <v/>
      </c>
    </row>
    <row r="10">
      <c r="A10" s="29">
        <f>CONCATENATE("NAME_PkMn_", UPPER(B10))</f>
        <v/>
      </c>
      <c r="B10" s="29" t="inlineStr">
        <is>
          <t>Blastoise</t>
        </is>
      </c>
      <c r="C10" s="29" t="inlineStr">
        <is>
          <t>カメックス</t>
        </is>
      </c>
      <c r="D10" s="29" t="inlineStr">
        <is>
          <t>Tortank</t>
        </is>
      </c>
      <c r="E10" s="29" t="inlineStr">
        <is>
          <t>Turtok</t>
        </is>
      </c>
      <c r="F10" s="29">
        <f>B10</f>
        <v/>
      </c>
      <c r="G10" s="29">
        <f>B10</f>
        <v/>
      </c>
      <c r="H10" s="29" t="inlineStr">
        <is>
          <t>거북왕</t>
        </is>
      </c>
      <c r="I10" s="29">
        <f>IFERROR(__xludf.DUMMYFUNCTION("GOOGLETRANSLATE(J10,""zh_HANS"",""zh_HANT"")"),"水箭龜")</f>
        <v/>
      </c>
      <c r="J10" s="29" t="inlineStr">
        <is>
          <t>水箭龟</t>
        </is>
      </c>
      <c r="K10" s="29">
        <f>F10</f>
        <v/>
      </c>
    </row>
    <row r="11">
      <c r="A11" s="29">
        <f>CONCATENATE("NAME_PkMn_", UPPER(B11))</f>
        <v/>
      </c>
      <c r="B11" s="29" t="inlineStr">
        <is>
          <t>Caterpie</t>
        </is>
      </c>
      <c r="C11" s="29" t="inlineStr">
        <is>
          <t>キャタピー</t>
        </is>
      </c>
      <c r="D11" s="29" t="inlineStr">
        <is>
          <t>Chenipan</t>
        </is>
      </c>
      <c r="E11" s="29" t="inlineStr">
        <is>
          <t>Raupy</t>
        </is>
      </c>
      <c r="F11" s="29">
        <f>B11</f>
        <v/>
      </c>
      <c r="G11" s="29">
        <f>B11</f>
        <v/>
      </c>
      <c r="H11" s="29" t="inlineStr">
        <is>
          <t>캐터피</t>
        </is>
      </c>
      <c r="I11" s="29">
        <f>IFERROR(__xludf.DUMMYFUNCTION("GOOGLETRANSLATE(J11,""zh_HANS"",""zh_HANT"")"),"綠毛蟲")</f>
        <v/>
      </c>
      <c r="J11" s="29" t="inlineStr">
        <is>
          <t>绿毛虫</t>
        </is>
      </c>
      <c r="K11" s="29">
        <f>F11</f>
        <v/>
      </c>
    </row>
    <row r="12">
      <c r="A12" s="29">
        <f>CONCATENATE("NAME_PkMn_", UPPER(B12))</f>
        <v/>
      </c>
      <c r="B12" s="29" t="inlineStr">
        <is>
          <t>Metapod</t>
        </is>
      </c>
      <c r="C12" s="29" t="inlineStr">
        <is>
          <t>トランセル</t>
        </is>
      </c>
      <c r="D12" s="29" t="inlineStr">
        <is>
          <t>Chrysacier</t>
        </is>
      </c>
      <c r="E12" s="29" t="inlineStr">
        <is>
          <t>Safcon</t>
        </is>
      </c>
      <c r="F12" s="29">
        <f>B12</f>
        <v/>
      </c>
      <c r="G12" s="29">
        <f>B12</f>
        <v/>
      </c>
      <c r="H12" s="29" t="inlineStr">
        <is>
          <t>단데기</t>
        </is>
      </c>
      <c r="I12" s="29" t="inlineStr">
        <is>
          <t>鐵甲蛹</t>
        </is>
      </c>
      <c r="J12" s="29">
        <f>IFERROR(__xludf.DUMMYFUNCTION("GOOGLETRANSLATE(I12,""zh_HANT"",""zh_HANS"")"),"铁甲蛹")</f>
        <v/>
      </c>
      <c r="K12" s="29">
        <f>F12</f>
        <v/>
      </c>
    </row>
    <row r="13">
      <c r="A13" s="29">
        <f>CONCATENATE("NAME_PkMn_", UPPER(B13))</f>
        <v/>
      </c>
      <c r="B13" s="29" t="inlineStr">
        <is>
          <t>Butterfree</t>
        </is>
      </c>
      <c r="C13" s="29" t="inlineStr">
        <is>
          <t>バタフリー</t>
        </is>
      </c>
      <c r="D13" s="29" t="inlineStr">
        <is>
          <t>Papilusion</t>
        </is>
      </c>
      <c r="E13" s="29" t="inlineStr">
        <is>
          <t>Smettbo</t>
        </is>
      </c>
      <c r="F13" s="29">
        <f>B13</f>
        <v/>
      </c>
      <c r="G13" s="29">
        <f>B13</f>
        <v/>
      </c>
      <c r="H13" s="29" t="inlineStr">
        <is>
          <t>버터플</t>
        </is>
      </c>
      <c r="I13" s="29" t="inlineStr">
        <is>
          <t>巴大蝶</t>
        </is>
      </c>
      <c r="J13" s="29">
        <f>I13</f>
        <v/>
      </c>
      <c r="K13" s="29">
        <f>F13</f>
        <v/>
      </c>
    </row>
    <row r="14">
      <c r="A14" s="29">
        <f>CONCATENATE("NAME_PkMn_", UPPER(B14))</f>
        <v/>
      </c>
      <c r="B14" s="29" t="inlineStr">
        <is>
          <t>Weedle</t>
        </is>
      </c>
      <c r="C14" s="29" t="inlineStr">
        <is>
          <t>ビードル</t>
        </is>
      </c>
      <c r="D14" s="29" t="inlineStr">
        <is>
          <t>Aspicot</t>
        </is>
      </c>
      <c r="E14" s="29" t="inlineStr">
        <is>
          <t>Hornliu</t>
        </is>
      </c>
      <c r="F14" s="29">
        <f>B14</f>
        <v/>
      </c>
      <c r="G14" s="29">
        <f>B14</f>
        <v/>
      </c>
      <c r="H14" s="29" t="inlineStr">
        <is>
          <t>뿔충이</t>
        </is>
      </c>
      <c r="I14" s="29" t="inlineStr">
        <is>
          <t>獨角蟲</t>
        </is>
      </c>
      <c r="J14" s="29">
        <f>IFERROR(__xludf.DUMMYFUNCTION("GOOGLETRANSLATE(I14,""zh_HANT"",""zh_HANS"")"),"独角虫")</f>
        <v/>
      </c>
      <c r="K14" s="29">
        <f>F14</f>
        <v/>
      </c>
    </row>
    <row r="15">
      <c r="A15" s="29">
        <f>CONCATENATE("NAME_PkMn_", UPPER(B15))</f>
        <v/>
      </c>
      <c r="B15" s="29" t="inlineStr">
        <is>
          <t>Kakuna</t>
        </is>
      </c>
      <c r="C15" s="29" t="inlineStr">
        <is>
          <t>コクーン</t>
        </is>
      </c>
      <c r="D15" s="29" t="inlineStr">
        <is>
          <t>Coconfort</t>
        </is>
      </c>
      <c r="E15" s="29" t="inlineStr">
        <is>
          <t>Kokuna</t>
        </is>
      </c>
      <c r="F15" s="29">
        <f>B15</f>
        <v/>
      </c>
      <c r="G15" s="29">
        <f>B15</f>
        <v/>
      </c>
      <c r="H15" s="29" t="inlineStr">
        <is>
          <t>딱충이</t>
        </is>
      </c>
      <c r="I15" s="29" t="inlineStr">
        <is>
          <t>獨角蟲</t>
        </is>
      </c>
      <c r="J15" s="29">
        <f>IFERROR(__xludf.DUMMYFUNCTION("GOOGLETRANSLATE(I15,""zh_HANT"",""zh_HANS"")"),"独角虫")</f>
        <v/>
      </c>
      <c r="K15" s="29">
        <f>F15</f>
        <v/>
      </c>
    </row>
    <row r="16">
      <c r="A16" s="29">
        <f>CONCATENATE("NAME_PkMn_", UPPER(B16))</f>
        <v/>
      </c>
      <c r="B16" s="29" t="inlineStr">
        <is>
          <t>Beedrill</t>
        </is>
      </c>
      <c r="C16" s="29" t="inlineStr">
        <is>
          <t>スピアー</t>
        </is>
      </c>
      <c r="D16" s="29" t="inlineStr">
        <is>
          <t>Dardargnan</t>
        </is>
      </c>
      <c r="E16" s="29" t="inlineStr">
        <is>
          <t>Bibor</t>
        </is>
      </c>
      <c r="F16" s="29">
        <f>B16</f>
        <v/>
      </c>
      <c r="G16" s="29">
        <f>B16</f>
        <v/>
      </c>
      <c r="H16" s="29" t="inlineStr">
        <is>
          <t>독침붕</t>
        </is>
      </c>
      <c r="I16" s="29">
        <f>J16</f>
        <v/>
      </c>
      <c r="J16" s="29" t="inlineStr">
        <is>
          <t>大针蜂</t>
        </is>
      </c>
      <c r="K16" s="29">
        <f>F16</f>
        <v/>
      </c>
    </row>
    <row r="17">
      <c r="A17" s="29">
        <f>CONCATENATE("NAME_PkMn_", UPPER(B17))</f>
        <v/>
      </c>
      <c r="B17" s="29" t="inlineStr">
        <is>
          <t>Pidgey</t>
        </is>
      </c>
      <c r="C17" s="29" t="inlineStr">
        <is>
          <t>ポッポ</t>
        </is>
      </c>
      <c r="D17" s="29" t="inlineStr">
        <is>
          <t>Roucool</t>
        </is>
      </c>
      <c r="E17" s="29" t="inlineStr">
        <is>
          <t>Taubsi</t>
        </is>
      </c>
      <c r="F17" s="29">
        <f>B17</f>
        <v/>
      </c>
      <c r="G17" s="29">
        <f>B17</f>
        <v/>
      </c>
      <c r="H17" s="29" t="inlineStr">
        <is>
          <t>구구</t>
        </is>
      </c>
      <c r="I17" s="29" t="inlineStr">
        <is>
          <t>波波</t>
        </is>
      </c>
      <c r="J17" s="29">
        <f>I17</f>
        <v/>
      </c>
      <c r="K17" s="29">
        <f>F17</f>
        <v/>
      </c>
    </row>
    <row r="18">
      <c r="A18" s="29">
        <f>CONCATENATE("NAME_PkMn_", UPPER(B18))</f>
        <v/>
      </c>
      <c r="B18" s="29" t="inlineStr">
        <is>
          <t>Pidgeotto</t>
        </is>
      </c>
      <c r="C18" s="29" t="inlineStr">
        <is>
          <t>ピジョン</t>
        </is>
      </c>
      <c r="D18" s="29" t="inlineStr">
        <is>
          <t>Roucoups</t>
        </is>
      </c>
      <c r="E18" s="29" t="inlineStr">
        <is>
          <t>Tauboga</t>
        </is>
      </c>
      <c r="F18" s="29">
        <f>B18</f>
        <v/>
      </c>
      <c r="G18" s="29">
        <f>B18</f>
        <v/>
      </c>
      <c r="H18" s="29" t="inlineStr">
        <is>
          <t>피죤</t>
        </is>
      </c>
      <c r="I18" s="29" t="inlineStr">
        <is>
          <t>比比鳥</t>
        </is>
      </c>
      <c r="J18" s="29">
        <f>IFERROR(__xludf.DUMMYFUNCTION("GOOGLETRANSLATE(I18,""zh_HANT"",""zh_HANS"")"),"比比鸟")</f>
        <v/>
      </c>
      <c r="K18" s="29">
        <f>F18</f>
        <v/>
      </c>
    </row>
    <row r="19">
      <c r="A19" s="29">
        <f>CONCATENATE("NAME_PkMn_", UPPER(B19))</f>
        <v/>
      </c>
      <c r="B19" s="29" t="inlineStr">
        <is>
          <t>Pidgeot</t>
        </is>
      </c>
      <c r="C19" s="29" t="inlineStr">
        <is>
          <t>ピジョット</t>
        </is>
      </c>
      <c r="D19" s="29" t="inlineStr">
        <is>
          <t>Roucarnage</t>
        </is>
      </c>
      <c r="E19" s="29" t="inlineStr">
        <is>
          <t>Tauboss</t>
        </is>
      </c>
      <c r="F19" s="29">
        <f>B19</f>
        <v/>
      </c>
      <c r="G19" s="29">
        <f>B19</f>
        <v/>
      </c>
      <c r="H19" s="29" t="inlineStr">
        <is>
          <t>피죤투</t>
        </is>
      </c>
      <c r="I19" s="29">
        <f>IFERROR(__xludf.DUMMYFUNCTION("GOOGLETRANSLATE(J19,""zh_HANS"",""zh_HANT"")"),"大比鳥")</f>
        <v/>
      </c>
      <c r="J19" s="29" t="inlineStr">
        <is>
          <t>大比鸟</t>
        </is>
      </c>
      <c r="K19" s="29">
        <f>F19</f>
        <v/>
      </c>
    </row>
    <row r="20">
      <c r="A20" s="29">
        <f>CONCATENATE("NAME_PkMn_", UPPER(B20))</f>
        <v/>
      </c>
      <c r="B20" s="29" t="inlineStr">
        <is>
          <t>Rattata</t>
        </is>
      </c>
      <c r="C20" s="29" t="inlineStr">
        <is>
          <t>コラッタ</t>
        </is>
      </c>
      <c r="D20" s="29">
        <f>B20</f>
        <v/>
      </c>
      <c r="E20" s="29" t="inlineStr">
        <is>
          <t>Rattfratz</t>
        </is>
      </c>
      <c r="F20" s="29">
        <f>B20</f>
        <v/>
      </c>
      <c r="G20" s="29">
        <f>B20</f>
        <v/>
      </c>
      <c r="H20" s="29" t="inlineStr">
        <is>
          <t>꼬렛</t>
        </is>
      </c>
      <c r="I20" s="29" t="inlineStr">
        <is>
          <t>小拉達</t>
        </is>
      </c>
      <c r="J20" s="29">
        <f>IFERROR(__xludf.DUMMYFUNCTION("GOOGLETRANSLATE(I20,""zh_HANT"",""zh_HANS"")"),"小拉达")</f>
        <v/>
      </c>
      <c r="K20" s="29">
        <f>F20</f>
        <v/>
      </c>
    </row>
    <row r="21">
      <c r="A21" s="29">
        <f>CONCATENATE("NAME_PkMn_", UPPER(B21))</f>
        <v/>
      </c>
      <c r="B21" s="29" t="inlineStr">
        <is>
          <t>Raticate</t>
        </is>
      </c>
      <c r="C21" s="29" t="inlineStr">
        <is>
          <t>ラッタ</t>
        </is>
      </c>
      <c r="D21" s="29" t="inlineStr">
        <is>
          <t>Rattatac</t>
        </is>
      </c>
      <c r="E21" s="29" t="inlineStr">
        <is>
          <t>Rattikarl</t>
        </is>
      </c>
      <c r="F21" s="29">
        <f>B21</f>
        <v/>
      </c>
      <c r="G21" s="29">
        <f>B21</f>
        <v/>
      </c>
      <c r="H21" s="29" t="inlineStr">
        <is>
          <t>레트라</t>
        </is>
      </c>
      <c r="I21" s="29" t="inlineStr">
        <is>
          <t>拉達</t>
        </is>
      </c>
      <c r="J21" s="29">
        <f>IFERROR(__xludf.DUMMYFUNCTION("GOOGLETRANSLATE(I21,""zh_HANT"",""zh_HANS"")"),"拉达")</f>
        <v/>
      </c>
      <c r="K21" s="29">
        <f>F21</f>
        <v/>
      </c>
    </row>
    <row r="22">
      <c r="A22" s="29">
        <f>CONCATENATE("NAME_PkMn_", UPPER(B22))</f>
        <v/>
      </c>
      <c r="B22" s="29" t="inlineStr">
        <is>
          <t>Spearow</t>
        </is>
      </c>
      <c r="C22" s="29" t="inlineStr">
        <is>
          <t>オニスズメ</t>
        </is>
      </c>
      <c r="D22" s="29" t="inlineStr">
        <is>
          <t>Piafabec</t>
        </is>
      </c>
      <c r="E22" s="29" t="inlineStr">
        <is>
          <t>Habitak</t>
        </is>
      </c>
      <c r="F22" s="29">
        <f>B22</f>
        <v/>
      </c>
      <c r="G22" s="29">
        <f>B22</f>
        <v/>
      </c>
      <c r="H22" s="29" t="inlineStr">
        <is>
          <t>깨비참</t>
        </is>
      </c>
      <c r="I22" s="29" t="inlineStr">
        <is>
          <t>烈雀</t>
        </is>
      </c>
      <c r="J22" s="29">
        <f>I22</f>
        <v/>
      </c>
      <c r="K22" s="29">
        <f>F22</f>
        <v/>
      </c>
    </row>
    <row r="23">
      <c r="A23" s="29">
        <f>CONCATENATE("NAME_PkMn_", UPPER(B23))</f>
        <v/>
      </c>
      <c r="B23" s="29" t="inlineStr">
        <is>
          <t>Fearow</t>
        </is>
      </c>
      <c r="C23" s="29" t="inlineStr">
        <is>
          <t>オニドリル</t>
        </is>
      </c>
      <c r="D23" s="29" t="inlineStr">
        <is>
          <t>Rapasdepic</t>
        </is>
      </c>
      <c r="E23" s="29" t="inlineStr">
        <is>
          <t>Ibitak</t>
        </is>
      </c>
      <c r="F23" s="29">
        <f>B23</f>
        <v/>
      </c>
      <c r="G23" s="29">
        <f>B23</f>
        <v/>
      </c>
      <c r="H23" s="29" t="inlineStr">
        <is>
          <t>깨비드릴조</t>
        </is>
      </c>
      <c r="I23" s="29" t="inlineStr">
        <is>
          <t>大嘴雀</t>
        </is>
      </c>
      <c r="J23" s="29">
        <f>I23</f>
        <v/>
      </c>
      <c r="K23" s="29">
        <f>F23</f>
        <v/>
      </c>
    </row>
    <row r="24">
      <c r="A24" s="29">
        <f>CONCATENATE("NAME_PkMn_", UPPER(B24))</f>
        <v/>
      </c>
      <c r="B24" s="29" t="inlineStr">
        <is>
          <t>Ekans</t>
        </is>
      </c>
      <c r="C24" s="29" t="inlineStr">
        <is>
          <t>アーボ</t>
        </is>
      </c>
      <c r="D24" s="29" t="inlineStr">
        <is>
          <t>Abo</t>
        </is>
      </c>
      <c r="E24" s="29" t="inlineStr">
        <is>
          <t>Rettan</t>
        </is>
      </c>
      <c r="F24" s="29">
        <f>B24</f>
        <v/>
      </c>
      <c r="G24" s="29">
        <f>B24</f>
        <v/>
      </c>
      <c r="H24" s="29" t="inlineStr">
        <is>
          <t>아보</t>
        </is>
      </c>
      <c r="I24" s="29" t="inlineStr">
        <is>
          <t>阿柏蛇</t>
        </is>
      </c>
      <c r="J24" s="29">
        <f>I24</f>
        <v/>
      </c>
      <c r="K24" s="29">
        <f>F24</f>
        <v/>
      </c>
    </row>
    <row r="25">
      <c r="A25" s="29">
        <f>CONCATENATE("NAME_PkMn_", UPPER(B25))</f>
        <v/>
      </c>
      <c r="B25" s="29" t="inlineStr">
        <is>
          <t>Arbok</t>
        </is>
      </c>
      <c r="C25" s="29" t="inlineStr">
        <is>
          <t>アーボック</t>
        </is>
      </c>
      <c r="D25" s="29">
        <f>B25</f>
        <v/>
      </c>
      <c r="E25" s="29">
        <f>B25</f>
        <v/>
      </c>
      <c r="F25" s="29">
        <f>B25</f>
        <v/>
      </c>
      <c r="G25" s="29">
        <f>B25</f>
        <v/>
      </c>
      <c r="H25" s="29" t="inlineStr">
        <is>
          <t>아보크</t>
        </is>
      </c>
      <c r="I25" s="29" t="inlineStr">
        <is>
          <t>阿柏怪</t>
        </is>
      </c>
      <c r="J25" s="29">
        <f>I25</f>
        <v/>
      </c>
      <c r="K25" s="29">
        <f>F25</f>
        <v/>
      </c>
    </row>
    <row r="26">
      <c r="A26" s="29">
        <f>CONCATENATE("NAME_PkMn_", UPPER(B26))</f>
        <v/>
      </c>
      <c r="B26" s="29" t="inlineStr">
        <is>
          <t>Pikachu</t>
        </is>
      </c>
      <c r="C26" s="29" t="inlineStr">
        <is>
          <t>ピカチュウ</t>
        </is>
      </c>
      <c r="D26" s="29">
        <f>B26</f>
        <v/>
      </c>
      <c r="E26" s="29">
        <f>B26</f>
        <v/>
      </c>
      <c r="F26" s="29">
        <f>B26</f>
        <v/>
      </c>
      <c r="G26" s="29">
        <f>B26</f>
        <v/>
      </c>
      <c r="H26" s="29" t="inlineStr">
        <is>
          <t>피카츄</t>
        </is>
      </c>
      <c r="I26" s="29">
        <f>J26</f>
        <v/>
      </c>
      <c r="J26" s="29" t="inlineStr">
        <is>
          <t>皮卡丘</t>
        </is>
      </c>
      <c r="K26" s="29">
        <f>F26</f>
        <v/>
      </c>
    </row>
    <row r="27">
      <c r="A27" s="29">
        <f>CONCATENATE("NAME_PkMn_", UPPER(B27))</f>
        <v/>
      </c>
      <c r="B27" s="29" t="inlineStr">
        <is>
          <t>Raichu</t>
        </is>
      </c>
      <c r="C27" s="29" t="inlineStr">
        <is>
          <t>ライチュウ</t>
        </is>
      </c>
      <c r="D27" s="29">
        <f>B27</f>
        <v/>
      </c>
      <c r="E27" s="29">
        <f>B27</f>
        <v/>
      </c>
      <c r="F27" s="29">
        <f>B27</f>
        <v/>
      </c>
      <c r="G27" s="29">
        <f>B27</f>
        <v/>
      </c>
      <c r="H27" s="29" t="inlineStr">
        <is>
          <t>라이츄</t>
        </is>
      </c>
      <c r="I27" s="29" t="inlineStr">
        <is>
          <t>雷丘</t>
        </is>
      </c>
      <c r="J27" s="29">
        <f>I27</f>
        <v/>
      </c>
      <c r="K27" s="29">
        <f>F27</f>
        <v/>
      </c>
    </row>
    <row r="28">
      <c r="A28" s="29">
        <f>CONCATENATE("NAME_PkMn_", UPPER(B28))</f>
        <v/>
      </c>
      <c r="B28" s="29" t="inlineStr">
        <is>
          <t>Sandshrew</t>
        </is>
      </c>
      <c r="C28" s="29" t="inlineStr">
        <is>
          <t>サンド</t>
        </is>
      </c>
      <c r="D28" s="29" t="inlineStr">
        <is>
          <t>Sabelette</t>
        </is>
      </c>
      <c r="E28" s="29" t="inlineStr">
        <is>
          <t>Sandan</t>
        </is>
      </c>
      <c r="F28" s="29">
        <f>B28</f>
        <v/>
      </c>
      <c r="G28" s="29">
        <f>B28</f>
        <v/>
      </c>
      <c r="H28" s="29" t="inlineStr">
        <is>
          <t>모래두지</t>
        </is>
      </c>
      <c r="I28" s="29" t="inlineStr">
        <is>
          <t>穿山鼠</t>
        </is>
      </c>
      <c r="J28" s="29">
        <f>I28</f>
        <v/>
      </c>
      <c r="K28" s="29">
        <f>F28</f>
        <v/>
      </c>
    </row>
    <row r="29">
      <c r="A29" s="29">
        <f>CONCATENATE("NAME_PkMn_", UPPER(B29))</f>
        <v/>
      </c>
      <c r="B29" s="29" t="inlineStr">
        <is>
          <t>Sandslash</t>
        </is>
      </c>
      <c r="C29" s="29" t="inlineStr">
        <is>
          <t>サンドパン</t>
        </is>
      </c>
      <c r="D29" s="29" t="inlineStr">
        <is>
          <t>Sablaireau</t>
        </is>
      </c>
      <c r="E29" s="29" t="inlineStr">
        <is>
          <t>Sandamer</t>
        </is>
      </c>
      <c r="F29" s="29">
        <f>B29</f>
        <v/>
      </c>
      <c r="G29" s="29">
        <f>B29</f>
        <v/>
      </c>
      <c r="H29" s="29" t="inlineStr">
        <is>
          <t>고지</t>
        </is>
      </c>
      <c r="I29" s="29" t="inlineStr">
        <is>
          <t>穿山王</t>
        </is>
      </c>
      <c r="J29" s="29">
        <f>I29</f>
        <v/>
      </c>
      <c r="K29" s="29">
        <f>F29</f>
        <v/>
      </c>
    </row>
    <row r="30">
      <c r="A30" s="29" t="inlineStr">
        <is>
          <t>NAME_PkMn_NIDORAN-F</t>
        </is>
      </c>
      <c r="B30" s="29">
        <f>CONCATENATE("Nidoran", CHAR(9792))</f>
        <v/>
      </c>
      <c r="C30" s="29" t="inlineStr">
        <is>
          <t>ニドラン♀</t>
        </is>
      </c>
      <c r="D30" s="29">
        <f>B30</f>
        <v/>
      </c>
      <c r="E30" s="29" t="inlineStr">
        <is>
          <t>Nidoran-W</t>
        </is>
      </c>
      <c r="F30" s="29">
        <f>B30</f>
        <v/>
      </c>
      <c r="G30" s="29">
        <f>B30</f>
        <v/>
      </c>
      <c r="H30" s="29" t="inlineStr">
        <is>
          <t>니드런♀</t>
        </is>
      </c>
      <c r="I30" s="29" t="inlineStr">
        <is>
          <t>尼多蘭</t>
        </is>
      </c>
      <c r="J30" s="29">
        <f>IFERROR(__xludf.DUMMYFUNCTION("GOOGLETRANSLATE(I30,""zh_HANT"",""zh_HANS"")"),"尼多兰")</f>
        <v/>
      </c>
      <c r="K30" s="29">
        <f>F30</f>
        <v/>
      </c>
    </row>
    <row r="31">
      <c r="A31" s="29">
        <f>CONCATENATE("NAME_PkMn_", UPPER(B31))</f>
        <v/>
      </c>
      <c r="B31" s="29" t="inlineStr">
        <is>
          <t>Nidorina</t>
        </is>
      </c>
      <c r="C31" s="29" t="inlineStr">
        <is>
          <t>ニドリーナ</t>
        </is>
      </c>
      <c r="D31" s="29">
        <f>B31</f>
        <v/>
      </c>
      <c r="E31" s="29">
        <f>B31</f>
        <v/>
      </c>
      <c r="F31" s="29">
        <f>B31</f>
        <v/>
      </c>
      <c r="G31" s="29">
        <f>B31</f>
        <v/>
      </c>
      <c r="H31" s="29" t="inlineStr">
        <is>
          <t>니드리나</t>
        </is>
      </c>
      <c r="I31" s="29" t="inlineStr">
        <is>
          <t>尼多娜</t>
        </is>
      </c>
      <c r="J31" s="29">
        <f>I31</f>
        <v/>
      </c>
      <c r="K31" s="29">
        <f>F31</f>
        <v/>
      </c>
    </row>
    <row r="32">
      <c r="A32" s="29">
        <f>CONCATENATE("NAME_PkMn_", UPPER(B32))</f>
        <v/>
      </c>
      <c r="B32" s="29" t="inlineStr">
        <is>
          <t>Nidoqueen</t>
        </is>
      </c>
      <c r="C32" s="29" t="inlineStr">
        <is>
          <t>ニドクイン</t>
        </is>
      </c>
      <c r="D32" s="29">
        <f>B32</f>
        <v/>
      </c>
      <c r="E32" s="29">
        <f>B32</f>
        <v/>
      </c>
      <c r="F32" s="29">
        <f>B32</f>
        <v/>
      </c>
      <c r="G32" s="29">
        <f>B32</f>
        <v/>
      </c>
      <c r="H32" s="29" t="inlineStr">
        <is>
          <t>니드퀸</t>
        </is>
      </c>
      <c r="I32" s="29" t="inlineStr">
        <is>
          <t>尼多后</t>
        </is>
      </c>
      <c r="J32" s="29">
        <f>I32</f>
        <v/>
      </c>
      <c r="K32" s="29">
        <f>F32</f>
        <v/>
      </c>
    </row>
    <row r="33">
      <c r="A33" s="29" t="inlineStr">
        <is>
          <t>NAME_PkMn_NIDORAN-M</t>
        </is>
      </c>
      <c r="B33" s="29">
        <f>CONCATENATE("Nidoran", CHAR(9794))</f>
        <v/>
      </c>
      <c r="C33" s="29" t="inlineStr">
        <is>
          <t>ニドラン♂</t>
        </is>
      </c>
      <c r="D33" s="29">
        <f>B33</f>
        <v/>
      </c>
      <c r="E33" s="29" t="inlineStr">
        <is>
          <t>Nidoran-M</t>
        </is>
      </c>
      <c r="F33" s="29">
        <f>B33</f>
        <v/>
      </c>
      <c r="G33" s="29">
        <f>B33</f>
        <v/>
      </c>
      <c r="H33" s="29" t="inlineStr">
        <is>
          <t>니드런♂</t>
        </is>
      </c>
      <c r="I33" s="29" t="inlineStr">
        <is>
          <t>尼多朗</t>
        </is>
      </c>
      <c r="J33" s="29">
        <f>I33</f>
        <v/>
      </c>
      <c r="K33" s="29">
        <f>F33</f>
        <v/>
      </c>
    </row>
    <row r="34">
      <c r="A34" s="29">
        <f>CONCATENATE("NAME_PkMn_", UPPER(B34))</f>
        <v/>
      </c>
      <c r="B34" s="29" t="inlineStr">
        <is>
          <t>Nidorino</t>
        </is>
      </c>
      <c r="C34" s="29" t="inlineStr">
        <is>
          <t>ニドリーノ</t>
        </is>
      </c>
      <c r="D34" s="29">
        <f>B34</f>
        <v/>
      </c>
      <c r="E34" s="29">
        <f>B34</f>
        <v/>
      </c>
      <c r="F34" s="29">
        <f>B34</f>
        <v/>
      </c>
      <c r="G34" s="29">
        <f>B34</f>
        <v/>
      </c>
      <c r="H34" s="29" t="inlineStr">
        <is>
          <t>니드리노</t>
        </is>
      </c>
      <c r="I34" s="29" t="inlineStr">
        <is>
          <t>尼多力諾</t>
        </is>
      </c>
      <c r="J34" s="29">
        <f>IFERROR(__xludf.DUMMYFUNCTION("GOOGLETRANSLATE(I34,""zh_HANT"",""zh_HANS"")"),"尼多力诺")</f>
        <v/>
      </c>
      <c r="K34" s="29">
        <f>F34</f>
        <v/>
      </c>
    </row>
    <row r="35">
      <c r="A35" s="29">
        <f>CONCATENATE("NAME_PkMn_", UPPER(B35))</f>
        <v/>
      </c>
      <c r="B35" s="29" t="inlineStr">
        <is>
          <t>Nidoking</t>
        </is>
      </c>
      <c r="C35" s="29" t="inlineStr">
        <is>
          <t>ニドキング</t>
        </is>
      </c>
      <c r="D35" s="29">
        <f>B35</f>
        <v/>
      </c>
      <c r="E35" s="29">
        <f>B35</f>
        <v/>
      </c>
      <c r="F35" s="29">
        <f>B35</f>
        <v/>
      </c>
      <c r="G35" s="29">
        <f>B35</f>
        <v/>
      </c>
      <c r="H35" s="29" t="inlineStr">
        <is>
          <t>니드킹</t>
        </is>
      </c>
      <c r="I35" s="29" t="inlineStr">
        <is>
          <t>尼多王</t>
        </is>
      </c>
      <c r="J35" s="29">
        <f>I35</f>
        <v/>
      </c>
      <c r="K35" s="29">
        <f>F35</f>
        <v/>
      </c>
    </row>
    <row r="36">
      <c r="A36" s="29">
        <f>CONCATENATE("NAME_PkMn_", UPPER(B36))</f>
        <v/>
      </c>
      <c r="B36" s="29" t="inlineStr">
        <is>
          <t>Clefairy</t>
        </is>
      </c>
      <c r="C36" s="29" t="inlineStr">
        <is>
          <t>ピッピ</t>
        </is>
      </c>
      <c r="D36" s="29" t="inlineStr">
        <is>
          <t>Mélofée</t>
        </is>
      </c>
      <c r="E36" s="29" t="inlineStr">
        <is>
          <t>Piepi</t>
        </is>
      </c>
      <c r="F36" s="29">
        <f>B36</f>
        <v/>
      </c>
      <c r="G36" s="29">
        <f>B36</f>
        <v/>
      </c>
      <c r="H36" s="29" t="inlineStr">
        <is>
          <t>삐삐</t>
        </is>
      </c>
      <c r="I36" s="29" t="inlineStr">
        <is>
          <t>皮皮</t>
        </is>
      </c>
      <c r="J36" s="29">
        <f>I36</f>
        <v/>
      </c>
      <c r="K36" s="29">
        <f>F36</f>
        <v/>
      </c>
    </row>
    <row r="37">
      <c r="A37" s="29">
        <f>CONCATENATE("NAME_PkMn_", UPPER(B37))</f>
        <v/>
      </c>
      <c r="B37" s="29" t="inlineStr">
        <is>
          <t>Clefable</t>
        </is>
      </c>
      <c r="C37" s="29" t="inlineStr">
        <is>
          <t>ピクシー</t>
        </is>
      </c>
      <c r="D37" s="29" t="inlineStr">
        <is>
          <t>Mélodelfe</t>
        </is>
      </c>
      <c r="E37" s="29" t="inlineStr">
        <is>
          <t>Pixi</t>
        </is>
      </c>
      <c r="F37" s="29">
        <f>B37</f>
        <v/>
      </c>
      <c r="G37" s="29">
        <f>B37</f>
        <v/>
      </c>
      <c r="H37" s="29" t="inlineStr">
        <is>
          <t>픽시</t>
        </is>
      </c>
      <c r="I37" s="29" t="inlineStr">
        <is>
          <t>皮可西</t>
        </is>
      </c>
      <c r="J37" s="29">
        <f>I37</f>
        <v/>
      </c>
      <c r="K37" s="29">
        <f>F37</f>
        <v/>
      </c>
    </row>
    <row r="38">
      <c r="A38" s="29">
        <f>CONCATENATE("NAME_PkMn_", UPPER(B38))</f>
        <v/>
      </c>
      <c r="B38" s="29" t="inlineStr">
        <is>
          <t>Vulpix</t>
        </is>
      </c>
      <c r="C38" s="29" t="inlineStr">
        <is>
          <t>ロコン</t>
        </is>
      </c>
      <c r="D38" s="29" t="inlineStr">
        <is>
          <t>Goupix</t>
        </is>
      </c>
      <c r="E38" s="29">
        <f>B38</f>
        <v/>
      </c>
      <c r="F38" s="29">
        <f>B38</f>
        <v/>
      </c>
      <c r="G38" s="29">
        <f>B38</f>
        <v/>
      </c>
      <c r="H38" s="29" t="inlineStr">
        <is>
          <t>식스테일</t>
        </is>
      </c>
      <c r="I38" s="29" t="inlineStr">
        <is>
          <t>六尾</t>
        </is>
      </c>
      <c r="J38" s="29">
        <f>I38</f>
        <v/>
      </c>
      <c r="K38" s="29">
        <f>F38</f>
        <v/>
      </c>
    </row>
    <row r="39">
      <c r="A39" s="29">
        <f>CONCATENATE("NAME_PkMn_", UPPER(B39))</f>
        <v/>
      </c>
      <c r="B39" s="29" t="inlineStr">
        <is>
          <t>Ninetales</t>
        </is>
      </c>
      <c r="C39" s="29" t="inlineStr">
        <is>
          <t>キュウコン</t>
        </is>
      </c>
      <c r="D39" s="29" t="inlineStr">
        <is>
          <t>Feunard</t>
        </is>
      </c>
      <c r="E39" s="29" t="inlineStr">
        <is>
          <t>Vulnona</t>
        </is>
      </c>
      <c r="F39" s="29">
        <f>B39</f>
        <v/>
      </c>
      <c r="G39" s="29">
        <f>B39</f>
        <v/>
      </c>
      <c r="H39" s="29" t="inlineStr">
        <is>
          <t>나인테일</t>
        </is>
      </c>
      <c r="I39" s="29" t="inlineStr">
        <is>
          <t>九尾</t>
        </is>
      </c>
      <c r="J39" s="29">
        <f>I39</f>
        <v/>
      </c>
      <c r="K39" s="29">
        <f>F39</f>
        <v/>
      </c>
    </row>
    <row r="40">
      <c r="A40" s="29">
        <f>CONCATENATE("NAME_PkMn_", UPPER(B40))</f>
        <v/>
      </c>
      <c r="B40" s="29" t="inlineStr">
        <is>
          <t>Jigglypuff</t>
        </is>
      </c>
      <c r="C40" s="29" t="inlineStr">
        <is>
          <t>プリン</t>
        </is>
      </c>
      <c r="D40" s="29" t="inlineStr">
        <is>
          <t>Rondoudou</t>
        </is>
      </c>
      <c r="E40" s="29" t="inlineStr">
        <is>
          <t>Pummeluff</t>
        </is>
      </c>
      <c r="F40" s="29">
        <f>B40</f>
        <v/>
      </c>
      <c r="G40" s="29">
        <f>B40</f>
        <v/>
      </c>
      <c r="H40" s="29" t="inlineStr">
        <is>
          <t>푸린</t>
        </is>
      </c>
      <c r="I40" s="29" t="inlineStr">
        <is>
          <t>胖丁</t>
        </is>
      </c>
      <c r="J40" s="29">
        <f>I40</f>
        <v/>
      </c>
      <c r="K40" s="29">
        <f>F40</f>
        <v/>
      </c>
    </row>
    <row r="41">
      <c r="A41" s="29">
        <f>CONCATENATE("NAME_PkMn_", UPPER(B41))</f>
        <v/>
      </c>
      <c r="B41" s="29" t="inlineStr">
        <is>
          <t>Wigglytuff</t>
        </is>
      </c>
      <c r="C41" s="29" t="inlineStr">
        <is>
          <t>プクリン</t>
        </is>
      </c>
      <c r="D41" s="29" t="inlineStr">
        <is>
          <t>Grodoudou</t>
        </is>
      </c>
      <c r="E41" s="29" t="inlineStr">
        <is>
          <t>Knuddeluff</t>
        </is>
      </c>
      <c r="F41" s="29">
        <f>B41</f>
        <v/>
      </c>
      <c r="G41" s="29">
        <f>B41</f>
        <v/>
      </c>
      <c r="H41" s="29" t="inlineStr">
        <is>
          <t>푸크린</t>
        </is>
      </c>
      <c r="I41" s="29" t="inlineStr">
        <is>
          <t>胖可丁</t>
        </is>
      </c>
      <c r="J41" s="29">
        <f>I41</f>
        <v/>
      </c>
      <c r="K41" s="29">
        <f>F41</f>
        <v/>
      </c>
    </row>
    <row r="42">
      <c r="A42" s="29">
        <f>CONCATENATE("NAME_PkMn_", UPPER(B42))</f>
        <v/>
      </c>
      <c r="B42" s="29" t="inlineStr">
        <is>
          <t>Zubat</t>
        </is>
      </c>
      <c r="C42" s="29" t="inlineStr">
        <is>
          <t>ズバット</t>
        </is>
      </c>
      <c r="D42" s="29" t="inlineStr">
        <is>
          <t>Nosferapti</t>
        </is>
      </c>
      <c r="E42" s="29">
        <f>B42</f>
        <v/>
      </c>
      <c r="F42" s="29">
        <f>B42</f>
        <v/>
      </c>
      <c r="G42" s="29">
        <f>B42</f>
        <v/>
      </c>
      <c r="H42" s="29" t="inlineStr">
        <is>
          <t>주뱃</t>
        </is>
      </c>
      <c r="I42" s="29" t="inlineStr">
        <is>
          <t>超音蝠</t>
        </is>
      </c>
      <c r="J42" s="29">
        <f>I42</f>
        <v/>
      </c>
      <c r="K42" s="29">
        <f>F42</f>
        <v/>
      </c>
    </row>
    <row r="43">
      <c r="A43" s="29">
        <f>CONCATENATE("NAME_PkMn_", UPPER(B43))</f>
        <v/>
      </c>
      <c r="B43" s="29" t="inlineStr">
        <is>
          <t>Golbat</t>
        </is>
      </c>
      <c r="C43" s="29" t="inlineStr">
        <is>
          <t>ゴルバット</t>
        </is>
      </c>
      <c r="D43" s="29" t="inlineStr">
        <is>
          <t>Nosferalto</t>
        </is>
      </c>
      <c r="E43" s="29">
        <f>B43</f>
        <v/>
      </c>
      <c r="F43" s="29">
        <f>B43</f>
        <v/>
      </c>
      <c r="G43" s="29">
        <f>B43</f>
        <v/>
      </c>
      <c r="H43" s="29" t="inlineStr">
        <is>
          <t>골뱃</t>
        </is>
      </c>
      <c r="I43" s="29" t="inlineStr">
        <is>
          <t>大嘴蝠</t>
        </is>
      </c>
      <c r="J43" s="29">
        <f>I43</f>
        <v/>
      </c>
      <c r="K43" s="29">
        <f>F43</f>
        <v/>
      </c>
    </row>
    <row r="44">
      <c r="A44" s="29">
        <f>CONCATENATE("NAME_PkMn_", UPPER(B44))</f>
        <v/>
      </c>
      <c r="B44" s="29" t="inlineStr">
        <is>
          <t>Oddish</t>
        </is>
      </c>
      <c r="C44" s="29" t="inlineStr">
        <is>
          <t>ナゾノクサ</t>
        </is>
      </c>
      <c r="D44" s="29" t="inlineStr">
        <is>
          <t>Mystherbe</t>
        </is>
      </c>
      <c r="E44" s="29" t="inlineStr">
        <is>
          <t>Myrapla</t>
        </is>
      </c>
      <c r="F44" s="29">
        <f>B44</f>
        <v/>
      </c>
      <c r="G44" s="29">
        <f>B44</f>
        <v/>
      </c>
      <c r="H44" s="29" t="inlineStr">
        <is>
          <t>뚜벅쵸</t>
        </is>
      </c>
      <c r="I44" s="29" t="inlineStr">
        <is>
          <t>走路草</t>
        </is>
      </c>
      <c r="J44" s="29">
        <f>I44</f>
        <v/>
      </c>
      <c r="K44" s="29">
        <f>F44</f>
        <v/>
      </c>
    </row>
    <row r="45">
      <c r="A45" s="29">
        <f>CONCATENATE("NAME_PkMn_", UPPER(B45))</f>
        <v/>
      </c>
      <c r="B45" s="29" t="inlineStr">
        <is>
          <t>Gloom</t>
        </is>
      </c>
      <c r="C45" s="29" t="inlineStr">
        <is>
          <t>クサイハナ</t>
        </is>
      </c>
      <c r="D45" s="29" t="inlineStr">
        <is>
          <t>Ortide</t>
        </is>
      </c>
      <c r="E45" s="29" t="inlineStr">
        <is>
          <t>Duflor</t>
        </is>
      </c>
      <c r="F45" s="29">
        <f>B45</f>
        <v/>
      </c>
      <c r="G45" s="29">
        <f>B45</f>
        <v/>
      </c>
      <c r="H45" s="29" t="inlineStr">
        <is>
          <t>냄새꼬</t>
        </is>
      </c>
      <c r="I45" s="29" t="inlineStr">
        <is>
          <t>臭臭花</t>
        </is>
      </c>
      <c r="J45" s="29">
        <f>I45</f>
        <v/>
      </c>
      <c r="K45" s="29">
        <f>F45</f>
        <v/>
      </c>
    </row>
    <row r="46">
      <c r="A46" s="29">
        <f>CONCATENATE("NAME_PkMn_", UPPER(B46))</f>
        <v/>
      </c>
      <c r="B46" s="29" t="inlineStr">
        <is>
          <t>Vileplume</t>
        </is>
      </c>
      <c r="C46" s="29" t="inlineStr">
        <is>
          <t>ラフレシア</t>
        </is>
      </c>
      <c r="D46" s="29" t="inlineStr">
        <is>
          <t>Rafflesia</t>
        </is>
      </c>
      <c r="E46" s="29" t="inlineStr">
        <is>
          <t>Giflor</t>
        </is>
      </c>
      <c r="F46" s="29">
        <f>B46</f>
        <v/>
      </c>
      <c r="G46" s="29">
        <f>B46</f>
        <v/>
      </c>
      <c r="H46" s="29" t="inlineStr">
        <is>
          <t>라플레시아</t>
        </is>
      </c>
      <c r="I46" s="29" t="inlineStr">
        <is>
          <t>霸王花</t>
        </is>
      </c>
      <c r="J46" s="29">
        <f>I46</f>
        <v/>
      </c>
      <c r="K46" s="29">
        <f>F46</f>
        <v/>
      </c>
    </row>
    <row r="47">
      <c r="A47" s="29">
        <f>CONCATENATE("NAME_PkMn_", UPPER(B47))</f>
        <v/>
      </c>
      <c r="B47" s="29" t="inlineStr">
        <is>
          <t>Paras</t>
        </is>
      </c>
      <c r="C47" s="29" t="inlineStr">
        <is>
          <t>パラス</t>
        </is>
      </c>
      <c r="D47" s="29">
        <f>B47</f>
        <v/>
      </c>
      <c r="E47" s="29">
        <f>B47</f>
        <v/>
      </c>
      <c r="F47" s="29">
        <f>B47</f>
        <v/>
      </c>
      <c r="G47" s="29">
        <f>B47</f>
        <v/>
      </c>
      <c r="H47" s="29" t="inlineStr">
        <is>
          <t>파라스</t>
        </is>
      </c>
      <c r="I47" s="29" t="inlineStr">
        <is>
          <t>派拉斯</t>
        </is>
      </c>
      <c r="J47" s="29">
        <f>I47</f>
        <v/>
      </c>
      <c r="K47" s="29">
        <f>F47</f>
        <v/>
      </c>
    </row>
    <row r="48">
      <c r="A48" s="29">
        <f>CONCATENATE("NAME_PkMn_", UPPER(B48))</f>
        <v/>
      </c>
      <c r="B48" s="29" t="inlineStr">
        <is>
          <t>Parasect</t>
        </is>
      </c>
      <c r="C48" s="29" t="inlineStr">
        <is>
          <t>パラセクト</t>
        </is>
      </c>
      <c r="D48" s="29">
        <f>B48</f>
        <v/>
      </c>
      <c r="E48" s="29" t="inlineStr">
        <is>
          <t>Parasek</t>
        </is>
      </c>
      <c r="F48" s="29">
        <f>B48</f>
        <v/>
      </c>
      <c r="G48" s="29">
        <f>B48</f>
        <v/>
      </c>
      <c r="H48" s="29" t="inlineStr">
        <is>
          <t>파라섹트</t>
        </is>
      </c>
      <c r="I48" s="29" t="inlineStr">
        <is>
          <t>派拉斯特</t>
        </is>
      </c>
      <c r="J48" s="29">
        <f>I48</f>
        <v/>
      </c>
      <c r="K48" s="29">
        <f>F48</f>
        <v/>
      </c>
    </row>
    <row r="49">
      <c r="A49" s="29">
        <f>CONCATENATE("NAME_PkMn_", UPPER(B49))</f>
        <v/>
      </c>
      <c r="B49" s="29" t="inlineStr">
        <is>
          <t>Venonat</t>
        </is>
      </c>
      <c r="C49" s="29" t="inlineStr">
        <is>
          <t>コンパン</t>
        </is>
      </c>
      <c r="D49" s="29" t="inlineStr">
        <is>
          <t>Mimitoss</t>
        </is>
      </c>
      <c r="E49" s="29" t="inlineStr">
        <is>
          <t>Bluzuk</t>
        </is>
      </c>
      <c r="F49" s="29">
        <f>B49</f>
        <v/>
      </c>
      <c r="G49" s="29">
        <f>B49</f>
        <v/>
      </c>
      <c r="H49" s="29" t="inlineStr">
        <is>
          <t>콘팡</t>
        </is>
      </c>
      <c r="I49" s="6" t="inlineStr">
        <is>
          <t>毛球</t>
        </is>
      </c>
      <c r="J49" s="29">
        <f>I49</f>
        <v/>
      </c>
      <c r="K49" s="29">
        <f>F49</f>
        <v/>
      </c>
    </row>
    <row r="50">
      <c r="A50" s="29">
        <f>CONCATENATE("NAME_PkMn_", UPPER(B50))</f>
        <v/>
      </c>
      <c r="B50" s="29" t="inlineStr">
        <is>
          <t>Venomoth</t>
        </is>
      </c>
      <c r="C50" s="29" t="inlineStr">
        <is>
          <t>モルフォン</t>
        </is>
      </c>
      <c r="D50" s="29" t="inlineStr">
        <is>
          <t>Aéromite</t>
        </is>
      </c>
      <c r="E50" s="29" t="inlineStr">
        <is>
          <t>Omot</t>
        </is>
      </c>
      <c r="F50" s="29">
        <f>B50</f>
        <v/>
      </c>
      <c r="G50" s="29">
        <f>B50</f>
        <v/>
      </c>
      <c r="H50" s="29" t="inlineStr">
        <is>
          <t>도나리</t>
        </is>
      </c>
      <c r="I50" s="29" t="inlineStr">
        <is>
          <t>摩魯蛾</t>
        </is>
      </c>
      <c r="J50" s="29">
        <f>IFERROR(__xludf.DUMMYFUNCTION("GOOGLETRANSLATE(I50,""zh_HANT"",""zh_HANS"")"),"摩鲁蛾")</f>
        <v/>
      </c>
      <c r="K50" s="29">
        <f>F50</f>
        <v/>
      </c>
    </row>
    <row r="51">
      <c r="A51" s="29">
        <f>CONCATENATE("NAME_PkMn_", UPPER(B51))</f>
        <v/>
      </c>
      <c r="B51" s="29" t="inlineStr">
        <is>
          <t>Diglett</t>
        </is>
      </c>
      <c r="C51" s="29" t="inlineStr">
        <is>
          <t>ヂィグダ</t>
        </is>
      </c>
      <c r="D51" s="29" t="inlineStr">
        <is>
          <t>Taupiqueur</t>
        </is>
      </c>
      <c r="E51" s="29" t="inlineStr">
        <is>
          <t>Digda</t>
        </is>
      </c>
      <c r="F51" s="29">
        <f>B51</f>
        <v/>
      </c>
      <c r="G51" s="29">
        <f>B51</f>
        <v/>
      </c>
      <c r="H51" s="29" t="inlineStr">
        <is>
          <t>디그다</t>
        </is>
      </c>
      <c r="I51" s="29" t="inlineStr">
        <is>
          <t>地鼠</t>
        </is>
      </c>
      <c r="J51" s="29">
        <f>I51</f>
        <v/>
      </c>
      <c r="K51" s="29">
        <f>F51</f>
        <v/>
      </c>
    </row>
    <row r="52">
      <c r="A52" s="29">
        <f>CONCATENATE("NAME_PkMn_", UPPER(B52))</f>
        <v/>
      </c>
      <c r="B52" s="29" t="inlineStr">
        <is>
          <t>Dugtrio</t>
        </is>
      </c>
      <c r="C52" s="29" t="inlineStr">
        <is>
          <t>ダグトリオ</t>
        </is>
      </c>
      <c r="D52" s="29" t="inlineStr">
        <is>
          <t>Triopikeur</t>
        </is>
      </c>
      <c r="E52" s="29" t="inlineStr">
        <is>
          <t>Digdri</t>
        </is>
      </c>
      <c r="F52" s="29">
        <f>B52</f>
        <v/>
      </c>
      <c r="G52" s="29">
        <f>B52</f>
        <v/>
      </c>
      <c r="H52" s="29" t="inlineStr">
        <is>
          <t>닥트리오</t>
        </is>
      </c>
      <c r="I52" s="29" t="inlineStr">
        <is>
          <t>三地鼠</t>
        </is>
      </c>
      <c r="J52" s="29">
        <f>I52</f>
        <v/>
      </c>
      <c r="K52" s="29">
        <f>F52</f>
        <v/>
      </c>
    </row>
    <row r="53">
      <c r="A53" s="29">
        <f>CONCATENATE("NAME_PkMn_", UPPER(B53))</f>
        <v/>
      </c>
      <c r="B53" s="29" t="inlineStr">
        <is>
          <t>Meowth</t>
        </is>
      </c>
      <c r="C53" s="29" t="inlineStr">
        <is>
          <t>ニャース</t>
        </is>
      </c>
      <c r="D53" s="29" t="inlineStr">
        <is>
          <t>Miaouss</t>
        </is>
      </c>
      <c r="E53" s="29" t="inlineStr">
        <is>
          <t>Mauzi</t>
        </is>
      </c>
      <c r="F53" s="29">
        <f>B53</f>
        <v/>
      </c>
      <c r="G53" s="29">
        <f>B53</f>
        <v/>
      </c>
      <c r="H53" s="29" t="inlineStr">
        <is>
          <t>나옹</t>
        </is>
      </c>
      <c r="I53" s="29" t="inlineStr">
        <is>
          <t>喵喵</t>
        </is>
      </c>
      <c r="J53" s="29">
        <f>I53</f>
        <v/>
      </c>
      <c r="K53" s="29">
        <f>F53</f>
        <v/>
      </c>
    </row>
    <row r="54">
      <c r="A54" s="29">
        <f>CONCATENATE("NAME_PkMn_", UPPER(B54))</f>
        <v/>
      </c>
      <c r="B54" s="29" t="inlineStr">
        <is>
          <t>Persian</t>
        </is>
      </c>
      <c r="C54" s="29" t="inlineStr">
        <is>
          <t>ペルシアン</t>
        </is>
      </c>
      <c r="D54" s="29">
        <f>B54</f>
        <v/>
      </c>
      <c r="E54" s="29" t="inlineStr">
        <is>
          <t>Snobilikat</t>
        </is>
      </c>
      <c r="F54" s="29">
        <f>B54</f>
        <v/>
      </c>
      <c r="G54" s="29">
        <f>B54</f>
        <v/>
      </c>
      <c r="H54" s="29" t="inlineStr">
        <is>
          <t>페르시온</t>
        </is>
      </c>
      <c r="I54" s="29" t="inlineStr">
        <is>
          <t>貓老大</t>
        </is>
      </c>
      <c r="J54" s="29">
        <f>I54</f>
        <v/>
      </c>
      <c r="K54" s="29">
        <f>F54</f>
        <v/>
      </c>
    </row>
    <row r="55">
      <c r="A55" s="29">
        <f>CONCATENATE("NAME_PkMn_", UPPER(B55))</f>
        <v/>
      </c>
      <c r="B55" s="29" t="inlineStr">
        <is>
          <t>Psyduck</t>
        </is>
      </c>
      <c r="C55" s="29" t="inlineStr">
        <is>
          <t>コダック</t>
        </is>
      </c>
      <c r="D55" s="29" t="inlineStr">
        <is>
          <t>Psykokwak</t>
        </is>
      </c>
      <c r="E55" s="29" t="inlineStr">
        <is>
          <t>Enton</t>
        </is>
      </c>
      <c r="F55" s="29">
        <f>B55</f>
        <v/>
      </c>
      <c r="G55" s="29">
        <f>B55</f>
        <v/>
      </c>
      <c r="H55" s="29" t="inlineStr">
        <is>
          <t>고라파덕</t>
        </is>
      </c>
      <c r="I55" s="29" t="inlineStr">
        <is>
          <t>可達鴨</t>
        </is>
      </c>
      <c r="J55" s="29">
        <f>IFERROR(__xludf.DUMMYFUNCTION("GOOGLETRANSLATE(I55,""zh_HANT"",""zh_HANS"")"),"可达鸭")</f>
        <v/>
      </c>
      <c r="K55" s="29">
        <f>F55</f>
        <v/>
      </c>
    </row>
    <row r="56">
      <c r="A56" s="29">
        <f>CONCATENATE("NAME_PkMn_", UPPER(B56))</f>
        <v/>
      </c>
      <c r="B56" s="29" t="inlineStr">
        <is>
          <t>Golduck</t>
        </is>
      </c>
      <c r="C56" s="29" t="inlineStr">
        <is>
          <t>ゴルダック</t>
        </is>
      </c>
      <c r="D56" s="29" t="inlineStr">
        <is>
          <t>Akwakwak</t>
        </is>
      </c>
      <c r="E56" s="29" t="inlineStr">
        <is>
          <t>Entoron</t>
        </is>
      </c>
      <c r="F56" s="29">
        <f>B56</f>
        <v/>
      </c>
      <c r="G56" s="29">
        <f>B56</f>
        <v/>
      </c>
      <c r="H56" s="29" t="inlineStr">
        <is>
          <t>골덕</t>
        </is>
      </c>
      <c r="I56" s="29" t="inlineStr">
        <is>
          <t>哥達鴨</t>
        </is>
      </c>
      <c r="J56" s="29">
        <f>IFERROR(__xludf.DUMMYFUNCTION("GOOGLETRANSLATE(I56,""zh_HANT"",""zh_HANS"")"),"哥达鸭")</f>
        <v/>
      </c>
      <c r="K56" s="29">
        <f>F56</f>
        <v/>
      </c>
    </row>
    <row r="57">
      <c r="A57" s="29">
        <f>CONCATENATE("NAME_PkMn_", UPPER(B57))</f>
        <v/>
      </c>
      <c r="B57" s="29" t="inlineStr">
        <is>
          <t>Mankey</t>
        </is>
      </c>
      <c r="C57" s="29" t="inlineStr">
        <is>
          <t>マンキー</t>
        </is>
      </c>
      <c r="D57" s="29" t="inlineStr">
        <is>
          <t>Férosinge</t>
        </is>
      </c>
      <c r="E57" s="29" t="inlineStr">
        <is>
          <t>Mankey</t>
        </is>
      </c>
      <c r="F57" s="29">
        <f>B57</f>
        <v/>
      </c>
      <c r="G57" s="29">
        <f>B57</f>
        <v/>
      </c>
      <c r="H57" s="29" t="inlineStr">
        <is>
          <t>망키</t>
        </is>
      </c>
      <c r="I57" s="29" t="inlineStr">
        <is>
          <t>猴怪</t>
        </is>
      </c>
      <c r="J57" s="29">
        <f>I57</f>
        <v/>
      </c>
      <c r="K57" s="29">
        <f>F57</f>
        <v/>
      </c>
    </row>
    <row r="58">
      <c r="A58" s="29">
        <f>CONCATENATE("NAME_PkMn_", UPPER(B58))</f>
        <v/>
      </c>
      <c r="B58" s="29" t="inlineStr">
        <is>
          <t>Primeape</t>
        </is>
      </c>
      <c r="C58" s="29" t="inlineStr">
        <is>
          <t>オコリザル</t>
        </is>
      </c>
      <c r="D58" s="29" t="inlineStr">
        <is>
          <t>Colosinge</t>
        </is>
      </c>
      <c r="E58" s="29" t="inlineStr">
        <is>
          <t>Rasaff</t>
        </is>
      </c>
      <c r="F58" s="29">
        <f>B58</f>
        <v/>
      </c>
      <c r="G58" s="29">
        <f>B58</f>
        <v/>
      </c>
      <c r="H58" s="29" t="inlineStr">
        <is>
          <t>성원숭</t>
        </is>
      </c>
      <c r="I58" s="29" t="inlineStr">
        <is>
          <t>火爆猴</t>
        </is>
      </c>
      <c r="J58" s="29">
        <f>IFERROR(__xludf.DUMMYFUNCTION("GOOGLETRANSLATE(I58,""zh_HANT"",""zh_HANS"")"),"火爆猴")</f>
        <v/>
      </c>
      <c r="K58" s="29">
        <f>F58</f>
        <v/>
      </c>
    </row>
    <row r="59">
      <c r="A59" s="29">
        <f>CONCATENATE("NAME_PkMn_", UPPER(B59))</f>
        <v/>
      </c>
      <c r="B59" s="29" t="inlineStr">
        <is>
          <t>Growlithe</t>
        </is>
      </c>
      <c r="C59" s="29" t="inlineStr">
        <is>
          <t>ガーヂィ</t>
        </is>
      </c>
      <c r="D59" s="29" t="inlineStr">
        <is>
          <t>Caninos</t>
        </is>
      </c>
      <c r="E59" s="29" t="inlineStr">
        <is>
          <t>Fuakno</t>
        </is>
      </c>
      <c r="F59" s="29">
        <f>B59</f>
        <v/>
      </c>
      <c r="G59" s="29">
        <f>B59</f>
        <v/>
      </c>
      <c r="H59" s="29" t="inlineStr">
        <is>
          <t>가디</t>
        </is>
      </c>
      <c r="I59" s="29" t="inlineStr">
        <is>
          <t>卡蒂狗</t>
        </is>
      </c>
      <c r="J59" s="29">
        <f>I59</f>
        <v/>
      </c>
      <c r="K59" s="29">
        <f>F59</f>
        <v/>
      </c>
    </row>
    <row r="60">
      <c r="A60" s="29">
        <f>CONCATENATE("NAME_PkMn_", UPPER(B60))</f>
        <v/>
      </c>
      <c r="B60" s="29" t="inlineStr">
        <is>
          <t>Arcanine</t>
        </is>
      </c>
      <c r="C60" s="29" t="inlineStr">
        <is>
          <t>ウインヂィ</t>
        </is>
      </c>
      <c r="D60" s="29" t="inlineStr">
        <is>
          <t>Arcanin</t>
        </is>
      </c>
      <c r="E60" s="29" t="inlineStr">
        <is>
          <t>Arkani</t>
        </is>
      </c>
      <c r="F60" s="29">
        <f>B60</f>
        <v/>
      </c>
      <c r="G60" s="29">
        <f>B60</f>
        <v/>
      </c>
      <c r="H60" s="29" t="inlineStr">
        <is>
          <t>윈디</t>
        </is>
      </c>
      <c r="I60" s="29" t="inlineStr">
        <is>
          <t>風速狗</t>
        </is>
      </c>
      <c r="J60" s="29">
        <f>IFERROR(__xludf.DUMMYFUNCTION("GOOGLETRANSLATE(I60,""zh_HANT"",""zh_HANS"")"),"风速狗")</f>
        <v/>
      </c>
      <c r="K60" s="29">
        <f>F60</f>
        <v/>
      </c>
    </row>
    <row r="61">
      <c r="A61" s="29">
        <f>CONCATENATE("NAME_PkMn_", UPPER(B61))</f>
        <v/>
      </c>
      <c r="B61" s="29" t="inlineStr">
        <is>
          <t>Poliwag</t>
        </is>
      </c>
      <c r="C61" s="29" t="inlineStr">
        <is>
          <t>ニョロモ</t>
        </is>
      </c>
      <c r="D61" s="29" t="inlineStr">
        <is>
          <t>Ptitard</t>
        </is>
      </c>
      <c r="E61" s="29" t="inlineStr">
        <is>
          <t>Quapsel</t>
        </is>
      </c>
      <c r="F61" s="29">
        <f>B61</f>
        <v/>
      </c>
      <c r="G61" s="29">
        <f>B61</f>
        <v/>
      </c>
      <c r="H61" s="29" t="inlineStr">
        <is>
          <t>발챙이</t>
        </is>
      </c>
      <c r="I61" s="29" t="inlineStr">
        <is>
          <t>蚊香蝌蚪</t>
        </is>
      </c>
      <c r="J61" s="29">
        <f>I61</f>
        <v/>
      </c>
      <c r="K61" s="29">
        <f>F61</f>
        <v/>
      </c>
    </row>
    <row r="62">
      <c r="A62" s="29">
        <f>CONCATENATE("NAME_PkMn_", UPPER(B62))</f>
        <v/>
      </c>
      <c r="B62" s="29" t="inlineStr">
        <is>
          <t>Poliwhirl</t>
        </is>
      </c>
      <c r="C62" s="29" t="inlineStr">
        <is>
          <t>ニョロゾ</t>
        </is>
      </c>
      <c r="D62" s="29" t="inlineStr">
        <is>
          <t>Têtarte</t>
        </is>
      </c>
      <c r="E62" s="29" t="inlineStr">
        <is>
          <t>Quaputzi</t>
        </is>
      </c>
      <c r="F62" s="29">
        <f>B62</f>
        <v/>
      </c>
      <c r="G62" s="29">
        <f>B62</f>
        <v/>
      </c>
      <c r="H62" s="29" t="inlineStr">
        <is>
          <t>슈륙챙이</t>
        </is>
      </c>
      <c r="I62" s="29" t="inlineStr">
        <is>
          <t>蚊香君</t>
        </is>
      </c>
      <c r="J62" s="29">
        <f>I62</f>
        <v/>
      </c>
      <c r="K62" s="29">
        <f>F62</f>
        <v/>
      </c>
    </row>
    <row r="63">
      <c r="A63" s="29">
        <f>CONCATENATE("NAME_PkMn_", UPPER(B63))</f>
        <v/>
      </c>
      <c r="B63" s="29" t="inlineStr">
        <is>
          <t>Poliwrath</t>
        </is>
      </c>
      <c r="C63" s="29" t="inlineStr">
        <is>
          <t>ニョロボン</t>
        </is>
      </c>
      <c r="D63" s="29" t="inlineStr">
        <is>
          <t>Tartard</t>
        </is>
      </c>
      <c r="E63" s="29" t="inlineStr">
        <is>
          <t>Quappo</t>
        </is>
      </c>
      <c r="F63" s="29">
        <f>B63</f>
        <v/>
      </c>
      <c r="G63" s="29">
        <f>B63</f>
        <v/>
      </c>
      <c r="H63" s="29" t="inlineStr">
        <is>
          <t>강챙이</t>
        </is>
      </c>
      <c r="I63" s="29" t="inlineStr">
        <is>
          <t>蚊香泳士</t>
        </is>
      </c>
      <c r="J63" s="29">
        <f>I63</f>
        <v/>
      </c>
      <c r="K63" s="29">
        <f>F63</f>
        <v/>
      </c>
    </row>
    <row r="64">
      <c r="A64" s="29">
        <f>CONCATENATE("NAME_PkMn_", UPPER(B64))</f>
        <v/>
      </c>
      <c r="B64" s="29" t="inlineStr">
        <is>
          <t>Abra</t>
        </is>
      </c>
      <c r="C64" s="29" t="inlineStr">
        <is>
          <t>ケーシィ</t>
        </is>
      </c>
      <c r="D64" s="29">
        <f>B64</f>
        <v/>
      </c>
      <c r="E64" s="29">
        <f>B64</f>
        <v/>
      </c>
      <c r="F64" s="29">
        <f>B64</f>
        <v/>
      </c>
      <c r="G64" s="29">
        <f>B64</f>
        <v/>
      </c>
      <c r="H64" s="29" t="inlineStr">
        <is>
          <t>캐이시</t>
        </is>
      </c>
      <c r="I64" s="29" t="inlineStr">
        <is>
          <t>凱西</t>
        </is>
      </c>
      <c r="J64" s="29">
        <f>IFERROR(__xludf.DUMMYFUNCTION("GOOGLETRANSLATE(I64,""zh_HANT"",""zh_HANS"")"),"凯西")</f>
        <v/>
      </c>
      <c r="K64" s="29">
        <f>F64</f>
        <v/>
      </c>
    </row>
    <row r="65">
      <c r="A65" s="29">
        <f>CONCATENATE("NAME_PkMn_", UPPER(B65))</f>
        <v/>
      </c>
      <c r="B65" s="29" t="inlineStr">
        <is>
          <t>Kadabra</t>
        </is>
      </c>
      <c r="C65" s="29" t="inlineStr">
        <is>
          <t>ユンゲラー</t>
        </is>
      </c>
      <c r="D65" s="29">
        <f>B65</f>
        <v/>
      </c>
      <c r="E65" s="29">
        <f>B65</f>
        <v/>
      </c>
      <c r="F65" s="29">
        <f>B65</f>
        <v/>
      </c>
      <c r="G65" s="29">
        <f>B65</f>
        <v/>
      </c>
      <c r="H65" s="29" t="inlineStr">
        <is>
          <t>윤겔라</t>
        </is>
      </c>
      <c r="I65" s="29" t="inlineStr">
        <is>
          <t>勇基拉</t>
        </is>
      </c>
      <c r="J65" s="29">
        <f>I65</f>
        <v/>
      </c>
      <c r="K65" s="29">
        <f>F65</f>
        <v/>
      </c>
    </row>
    <row r="66">
      <c r="A66" s="29">
        <f>CONCATENATE("NAME_PkMn_", UPPER(B66))</f>
        <v/>
      </c>
      <c r="B66" s="29" t="inlineStr">
        <is>
          <t>Alakazam</t>
        </is>
      </c>
      <c r="C66" s="29" t="inlineStr">
        <is>
          <t>フーヂィン</t>
        </is>
      </c>
      <c r="D66" s="29">
        <f>B66</f>
        <v/>
      </c>
      <c r="E66" s="29" t="inlineStr">
        <is>
          <t>Simsala</t>
        </is>
      </c>
      <c r="F66" s="29">
        <f>B66</f>
        <v/>
      </c>
      <c r="G66" s="29">
        <f>B66</f>
        <v/>
      </c>
      <c r="H66" s="29" t="inlineStr">
        <is>
          <t>후디</t>
        </is>
      </c>
      <c r="I66" s="29">
        <f>J66</f>
        <v/>
      </c>
      <c r="J66" s="29" t="inlineStr">
        <is>
          <t>胡地</t>
        </is>
      </c>
      <c r="K66" s="29">
        <f>F66</f>
        <v/>
      </c>
    </row>
    <row r="67">
      <c r="A67" s="29">
        <f>CONCATENATE("NAME_PkMn_", UPPER(B67))</f>
        <v/>
      </c>
      <c r="B67" s="29" t="inlineStr">
        <is>
          <t>Machop</t>
        </is>
      </c>
      <c r="C67" s="29" t="inlineStr">
        <is>
          <t>ワンリキー</t>
        </is>
      </c>
      <c r="D67" s="29" t="inlineStr">
        <is>
          <t>Machoc</t>
        </is>
      </c>
      <c r="E67" s="29" t="inlineStr">
        <is>
          <t>Machollo</t>
        </is>
      </c>
      <c r="F67" s="29">
        <f>B67</f>
        <v/>
      </c>
      <c r="G67" s="29">
        <f>B67</f>
        <v/>
      </c>
      <c r="H67" s="29" t="inlineStr">
        <is>
          <t>알통몬</t>
        </is>
      </c>
      <c r="I67" s="29" t="inlineStr">
        <is>
          <t>腕力</t>
        </is>
      </c>
      <c r="J67" s="29">
        <f>I67</f>
        <v/>
      </c>
      <c r="K67" s="29">
        <f>F67</f>
        <v/>
      </c>
    </row>
    <row r="68">
      <c r="A68" s="29">
        <f>CONCATENATE("NAME_PkMn_", UPPER(B68))</f>
        <v/>
      </c>
      <c r="B68" s="29" t="inlineStr">
        <is>
          <t>Machoke</t>
        </is>
      </c>
      <c r="C68" s="29" t="inlineStr">
        <is>
          <t>ゴーリキー</t>
        </is>
      </c>
      <c r="D68" s="29" t="inlineStr">
        <is>
          <t>Machopeur</t>
        </is>
      </c>
      <c r="E68" s="29" t="inlineStr">
        <is>
          <t>Maschock</t>
        </is>
      </c>
      <c r="F68" s="29">
        <f>B68</f>
        <v/>
      </c>
      <c r="G68" s="29">
        <f>B68</f>
        <v/>
      </c>
      <c r="H68" s="29" t="inlineStr">
        <is>
          <t>근육몬</t>
        </is>
      </c>
      <c r="I68" s="29" t="inlineStr">
        <is>
          <t>豪力</t>
        </is>
      </c>
      <c r="J68" s="29">
        <f>I68</f>
        <v/>
      </c>
      <c r="K68" s="29">
        <f>F68</f>
        <v/>
      </c>
    </row>
    <row r="69">
      <c r="A69" s="29">
        <f>CONCATENATE("NAME_PkMn_", UPPER(B69))</f>
        <v/>
      </c>
      <c r="B69" s="29" t="inlineStr">
        <is>
          <t>Machamp</t>
        </is>
      </c>
      <c r="C69" s="29" t="inlineStr">
        <is>
          <t>カイリキー</t>
        </is>
      </c>
      <c r="D69" s="29" t="inlineStr">
        <is>
          <t>Mackogneur</t>
        </is>
      </c>
      <c r="E69" s="29" t="inlineStr">
        <is>
          <t>Machomei</t>
        </is>
      </c>
      <c r="F69" s="29">
        <f>B69</f>
        <v/>
      </c>
      <c r="G69" s="29">
        <f>B69</f>
        <v/>
      </c>
      <c r="H69" s="29" t="inlineStr">
        <is>
          <t>괴력몬</t>
        </is>
      </c>
      <c r="I69" s="29" t="inlineStr">
        <is>
          <t>怪力</t>
        </is>
      </c>
      <c r="J69" s="29">
        <f>I69</f>
        <v/>
      </c>
      <c r="K69" s="29">
        <f>F69</f>
        <v/>
      </c>
    </row>
    <row r="70">
      <c r="A70" s="29">
        <f>CONCATENATE("NAME_PkMn_", UPPER(B70))</f>
        <v/>
      </c>
      <c r="B70" s="29" t="inlineStr">
        <is>
          <t>Bellsprout</t>
        </is>
      </c>
      <c r="C70" s="29" t="inlineStr">
        <is>
          <t>マダツボミ</t>
        </is>
      </c>
      <c r="D70" s="29" t="inlineStr">
        <is>
          <t>Chétiflor</t>
        </is>
      </c>
      <c r="E70" s="29" t="inlineStr">
        <is>
          <t>Knofensa</t>
        </is>
      </c>
      <c r="F70" s="29">
        <f>B70</f>
        <v/>
      </c>
      <c r="G70" s="29">
        <f>B70</f>
        <v/>
      </c>
      <c r="H70" s="29" t="inlineStr">
        <is>
          <t>모다피</t>
        </is>
      </c>
      <c r="I70" s="29" t="inlineStr">
        <is>
          <t>喇叭芽</t>
        </is>
      </c>
      <c r="J70" s="29">
        <f>I70</f>
        <v/>
      </c>
      <c r="K70" s="29">
        <f>F70</f>
        <v/>
      </c>
    </row>
    <row r="71">
      <c r="A71" s="29">
        <f>CONCATENATE("NAME_PkMn_", UPPER(B71))</f>
        <v/>
      </c>
      <c r="B71" s="29" t="inlineStr">
        <is>
          <t>Weepinbell</t>
        </is>
      </c>
      <c r="C71" s="29" t="inlineStr">
        <is>
          <t>ウツドン</t>
        </is>
      </c>
      <c r="D71" s="29" t="inlineStr">
        <is>
          <t>Boustiflor</t>
        </is>
      </c>
      <c r="E71" s="29" t="inlineStr">
        <is>
          <t>Ultrigaria</t>
        </is>
      </c>
      <c r="F71" s="29">
        <f>B71</f>
        <v/>
      </c>
      <c r="G71" s="29">
        <f>B71</f>
        <v/>
      </c>
      <c r="H71" s="29" t="inlineStr">
        <is>
          <t>우츠동</t>
        </is>
      </c>
      <c r="I71" s="29" t="inlineStr">
        <is>
          <t>口呆花</t>
        </is>
      </c>
      <c r="J71" s="29">
        <f>I71</f>
        <v/>
      </c>
      <c r="K71" s="29">
        <f>F71</f>
        <v/>
      </c>
    </row>
    <row r="72">
      <c r="A72" s="29">
        <f>CONCATENATE("NAME_PkMn_", UPPER(B72))</f>
        <v/>
      </c>
      <c r="B72" s="29" t="inlineStr">
        <is>
          <t>Victreebel</t>
        </is>
      </c>
      <c r="C72" s="29" t="inlineStr">
        <is>
          <t>ウツボット</t>
        </is>
      </c>
      <c r="D72" s="29" t="inlineStr">
        <is>
          <t>Empiflor</t>
        </is>
      </c>
      <c r="E72" s="29" t="inlineStr">
        <is>
          <t>Sarzenia</t>
        </is>
      </c>
      <c r="F72" s="29">
        <f>B72</f>
        <v/>
      </c>
      <c r="G72" s="29">
        <f>B72</f>
        <v/>
      </c>
      <c r="H72" s="29" t="inlineStr">
        <is>
          <t>우츠보트</t>
        </is>
      </c>
      <c r="I72" s="29" t="inlineStr">
        <is>
          <t>大食花</t>
        </is>
      </c>
      <c r="J72" s="29">
        <f>I72</f>
        <v/>
      </c>
      <c r="K72" s="29">
        <f>F72</f>
        <v/>
      </c>
    </row>
    <row r="73">
      <c r="A73" s="29">
        <f>CONCATENATE("NAME_PkMn_", UPPER(B73))</f>
        <v/>
      </c>
      <c r="B73" s="29" t="inlineStr">
        <is>
          <t>Tentacool</t>
        </is>
      </c>
      <c r="C73" s="29" t="inlineStr">
        <is>
          <t>メノクラゲ</t>
        </is>
      </c>
      <c r="D73" s="29">
        <f>B73</f>
        <v/>
      </c>
      <c r="E73" s="29" t="inlineStr">
        <is>
          <t>Tentacha</t>
        </is>
      </c>
      <c r="F73" s="29">
        <f>B73</f>
        <v/>
      </c>
      <c r="G73" s="29">
        <f>B73</f>
        <v/>
      </c>
      <c r="H73" s="29" t="inlineStr">
        <is>
          <t>왕눈해</t>
        </is>
      </c>
      <c r="I73" s="29" t="inlineStr">
        <is>
          <t>瑪瑙水母</t>
        </is>
      </c>
      <c r="J73" s="29">
        <f>IFERROR(__xludf.DUMMYFUNCTION("GOOGLETRANSLATE(I73,""zh_HANT"",""zh_HANS"")"),"玛瑙水母")</f>
        <v/>
      </c>
      <c r="K73" s="29">
        <f>F73</f>
        <v/>
      </c>
    </row>
    <row r="74">
      <c r="A74" s="29">
        <f>CONCATENATE("NAME_PkMn_", UPPER(B74))</f>
        <v/>
      </c>
      <c r="B74" s="29" t="inlineStr">
        <is>
          <t>Tentacruel</t>
        </is>
      </c>
      <c r="C74" s="29" t="inlineStr">
        <is>
          <t>ドククラゲ</t>
        </is>
      </c>
      <c r="D74" s="29">
        <f>B74</f>
        <v/>
      </c>
      <c r="E74" s="29" t="inlineStr">
        <is>
          <t>Tentoxa</t>
        </is>
      </c>
      <c r="F74" s="29">
        <f>B74</f>
        <v/>
      </c>
      <c r="G74" s="29">
        <f>B74</f>
        <v/>
      </c>
      <c r="H74" s="29" t="inlineStr">
        <is>
          <t>독파리</t>
        </is>
      </c>
      <c r="I74" s="29" t="inlineStr">
        <is>
          <t>毒刺水母</t>
        </is>
      </c>
      <c r="J74" s="29">
        <f>I74</f>
        <v/>
      </c>
      <c r="K74" s="29">
        <f>F74</f>
        <v/>
      </c>
    </row>
    <row r="75">
      <c r="A75" s="29">
        <f>CONCATENATE("NAME_PkMn_", UPPER(B75))</f>
        <v/>
      </c>
      <c r="B75" s="29" t="inlineStr">
        <is>
          <t>Geodude</t>
        </is>
      </c>
      <c r="C75" s="29" t="inlineStr">
        <is>
          <t>イシツブテ</t>
        </is>
      </c>
      <c r="D75" s="29" t="inlineStr">
        <is>
          <t>Racaillou</t>
        </is>
      </c>
      <c r="E75" s="29" t="inlineStr">
        <is>
          <t>Kleinstein</t>
        </is>
      </c>
      <c r="F75" s="29">
        <f>B75</f>
        <v/>
      </c>
      <c r="G75" s="29">
        <f>B75</f>
        <v/>
      </c>
      <c r="H75" s="29" t="inlineStr">
        <is>
          <t>꼬마돌</t>
        </is>
      </c>
      <c r="I75" s="29" t="inlineStr">
        <is>
          <t>小拳石</t>
        </is>
      </c>
      <c r="J75" s="29">
        <f>I75</f>
        <v/>
      </c>
      <c r="K75" s="29">
        <f>F75</f>
        <v/>
      </c>
    </row>
    <row r="76">
      <c r="A76" s="29">
        <f>CONCATENATE("NAME_PkMn_", UPPER(B76))</f>
        <v/>
      </c>
      <c r="B76" s="29" t="inlineStr">
        <is>
          <t>Graveler</t>
        </is>
      </c>
      <c r="C76" s="29" t="inlineStr">
        <is>
          <t>ゴローン</t>
        </is>
      </c>
      <c r="D76" s="29" t="inlineStr">
        <is>
          <t>Gravalanch</t>
        </is>
      </c>
      <c r="E76" s="29" t="inlineStr">
        <is>
          <t>Georok</t>
        </is>
      </c>
      <c r="F76" s="29">
        <f>B76</f>
        <v/>
      </c>
      <c r="G76" s="29">
        <f>B76</f>
        <v/>
      </c>
      <c r="H76" s="29" t="inlineStr">
        <is>
          <t>데구리</t>
        </is>
      </c>
      <c r="I76" s="29" t="inlineStr">
        <is>
          <t>隆隆石</t>
        </is>
      </c>
      <c r="J76" s="29">
        <f>I76</f>
        <v/>
      </c>
      <c r="K76" s="29">
        <f>F76</f>
        <v/>
      </c>
    </row>
    <row r="77">
      <c r="A77" s="29">
        <f>CONCATENATE("NAME_PkMn_", UPPER(B77))</f>
        <v/>
      </c>
      <c r="B77" s="29" t="inlineStr">
        <is>
          <t>Golem</t>
        </is>
      </c>
      <c r="C77" s="29" t="inlineStr">
        <is>
          <t>ゴローニャ</t>
        </is>
      </c>
      <c r="D77" s="29" t="inlineStr">
        <is>
          <t>Grolem</t>
        </is>
      </c>
      <c r="E77" s="29" t="inlineStr">
        <is>
          <t>Geowaz</t>
        </is>
      </c>
      <c r="F77" s="29">
        <f>B77</f>
        <v/>
      </c>
      <c r="G77" s="29">
        <f>B77</f>
        <v/>
      </c>
      <c r="H77" s="29" t="inlineStr">
        <is>
          <t>딱구리</t>
        </is>
      </c>
      <c r="I77" s="29" t="inlineStr">
        <is>
          <t>隆隆岩</t>
        </is>
      </c>
      <c r="J77" s="29">
        <f>I77</f>
        <v/>
      </c>
      <c r="K77" s="29">
        <f>F77</f>
        <v/>
      </c>
    </row>
    <row r="78">
      <c r="A78" s="29">
        <f>CONCATENATE("NAME_PkMn_", UPPER(B78))</f>
        <v/>
      </c>
      <c r="B78" s="29" t="inlineStr">
        <is>
          <t>Ponyta</t>
        </is>
      </c>
      <c r="C78" s="29" t="inlineStr">
        <is>
          <t>ポニータ</t>
        </is>
      </c>
      <c r="D78" s="29">
        <f>B78</f>
        <v/>
      </c>
      <c r="E78" s="29" t="inlineStr">
        <is>
          <t>Ponyta</t>
        </is>
      </c>
      <c r="F78" s="29">
        <f>B78</f>
        <v/>
      </c>
      <c r="G78" s="29">
        <f>B78</f>
        <v/>
      </c>
      <c r="H78" s="29" t="inlineStr">
        <is>
          <t>포니타</t>
        </is>
      </c>
      <c r="I78" s="29" t="inlineStr">
        <is>
          <t>小火馬</t>
        </is>
      </c>
      <c r="J78" s="29">
        <f>IFERROR(__xludf.DUMMYFUNCTION("GOOGLETRANSLATE(I78,""zh_HANT"",""zh_HANS"")"),"小火马")</f>
        <v/>
      </c>
      <c r="K78" s="29">
        <f>F78</f>
        <v/>
      </c>
    </row>
    <row r="79">
      <c r="A79" s="29">
        <f>CONCATENATE("NAME_PkMn_", UPPER(B79))</f>
        <v/>
      </c>
      <c r="B79" s="29" t="inlineStr">
        <is>
          <t>Rapidash</t>
        </is>
      </c>
      <c r="C79" s="29" t="inlineStr">
        <is>
          <t>ギャロップ</t>
        </is>
      </c>
      <c r="D79" s="29" t="inlineStr">
        <is>
          <t>Galopa</t>
        </is>
      </c>
      <c r="E79" s="29" t="inlineStr">
        <is>
          <t>Gallopa</t>
        </is>
      </c>
      <c r="F79" s="29">
        <f>B79</f>
        <v/>
      </c>
      <c r="G79" s="29">
        <f>B79</f>
        <v/>
      </c>
      <c r="H79" s="29" t="inlineStr">
        <is>
          <t>날쌩마</t>
        </is>
      </c>
      <c r="I79" s="29" t="inlineStr">
        <is>
          <t>烈焰馬</t>
        </is>
      </c>
      <c r="J79" s="29">
        <f>IFERROR(__xludf.DUMMYFUNCTION("GOOGLETRANSLATE(I79,""zh_HANT"",""zh_HANS"")"),"烈焰马")</f>
        <v/>
      </c>
      <c r="K79" s="29">
        <f>F79</f>
        <v/>
      </c>
    </row>
    <row r="80">
      <c r="A80" s="29">
        <f>CONCATENATE("NAME_PkMn_", UPPER(B80))</f>
        <v/>
      </c>
      <c r="B80" s="29" t="inlineStr">
        <is>
          <t>Slowpoke</t>
        </is>
      </c>
      <c r="C80" s="29" t="inlineStr">
        <is>
          <t>ヤドン</t>
        </is>
      </c>
      <c r="D80" s="29" t="inlineStr">
        <is>
          <t>Ramoloss</t>
        </is>
      </c>
      <c r="E80" s="29" t="inlineStr">
        <is>
          <t>Flegmon</t>
        </is>
      </c>
      <c r="F80" s="29">
        <f>B80</f>
        <v/>
      </c>
      <c r="G80" s="29">
        <f>B80</f>
        <v/>
      </c>
      <c r="H80" s="29" t="inlineStr">
        <is>
          <t>야돈</t>
        </is>
      </c>
      <c r="I80" s="29" t="inlineStr">
        <is>
          <t>呆呆獸</t>
        </is>
      </c>
      <c r="J80" s="29">
        <f>IFERROR(__xludf.DUMMYFUNCTION("GOOGLETRANSLATE(I80,""zh_HANT"",""zh_HANS"")"),"呆呆兽")</f>
        <v/>
      </c>
      <c r="K80" s="29">
        <f>F80</f>
        <v/>
      </c>
    </row>
    <row r="81">
      <c r="A81" s="29">
        <f>CONCATENATE("NAME_PkMn_", UPPER(B81))</f>
        <v/>
      </c>
      <c r="B81" s="29" t="inlineStr">
        <is>
          <t>Slowbro</t>
        </is>
      </c>
      <c r="C81" s="29" t="inlineStr">
        <is>
          <t>ヤドラン</t>
        </is>
      </c>
      <c r="D81" s="29" t="inlineStr">
        <is>
          <t>Flagadoss</t>
        </is>
      </c>
      <c r="E81" s="29" t="inlineStr">
        <is>
          <t>Lahmus</t>
        </is>
      </c>
      <c r="F81" s="29">
        <f>B81</f>
        <v/>
      </c>
      <c r="G81" s="29">
        <f>B81</f>
        <v/>
      </c>
      <c r="H81" s="29" t="inlineStr">
        <is>
          <t>야도란</t>
        </is>
      </c>
      <c r="I81" s="29">
        <f>IFERROR(__xludf.DUMMYFUNCTION("GOOGLETRANSLATE(J81,""zh_HANS"",""zh_HANT"")"),"呆殼獸")</f>
        <v/>
      </c>
      <c r="J81" s="29" t="inlineStr">
        <is>
          <t>呆壳兽</t>
        </is>
      </c>
      <c r="K81" s="29">
        <f>F81</f>
        <v/>
      </c>
    </row>
    <row r="82">
      <c r="A82" s="29">
        <f>CONCATENATE("NAME_PkMn_", UPPER(B82))</f>
        <v/>
      </c>
      <c r="B82" s="29" t="inlineStr">
        <is>
          <t>Magnemite</t>
        </is>
      </c>
      <c r="C82" s="29" t="inlineStr">
        <is>
          <t>コイル</t>
        </is>
      </c>
      <c r="D82" s="29" t="inlineStr">
        <is>
          <t>Magnéti</t>
        </is>
      </c>
      <c r="E82" s="29" t="inlineStr">
        <is>
          <t>Magnetilo</t>
        </is>
      </c>
      <c r="F82" s="29">
        <f>B82</f>
        <v/>
      </c>
      <c r="G82" s="29">
        <f>B82</f>
        <v/>
      </c>
      <c r="H82" s="29" t="inlineStr">
        <is>
          <t>코일</t>
        </is>
      </c>
      <c r="I82" s="29" t="inlineStr">
        <is>
          <t>小磁怪</t>
        </is>
      </c>
      <c r="J82" s="29">
        <f>I82</f>
        <v/>
      </c>
      <c r="K82" s="29">
        <f>F82</f>
        <v/>
      </c>
    </row>
    <row r="83">
      <c r="A83" s="29">
        <f>CONCATENATE("NAME_PkMn_", UPPER(B83))</f>
        <v/>
      </c>
      <c r="B83" s="29" t="inlineStr">
        <is>
          <t>Magneton</t>
        </is>
      </c>
      <c r="C83" s="29" t="inlineStr">
        <is>
          <t>レアコイル</t>
        </is>
      </c>
      <c r="D83" s="29" t="inlineStr">
        <is>
          <t>Magnéton</t>
        </is>
      </c>
      <c r="E83" s="29">
        <f>B83</f>
        <v/>
      </c>
      <c r="F83" s="29">
        <f>B83</f>
        <v/>
      </c>
      <c r="G83" s="29">
        <f>B83</f>
        <v/>
      </c>
      <c r="H83" s="29" t="inlineStr">
        <is>
          <t>레어코일</t>
        </is>
      </c>
      <c r="I83" s="29" t="inlineStr">
        <is>
          <t>三合一磁怪</t>
        </is>
      </c>
      <c r="J83" s="29">
        <f>IFERROR(__xludf.DUMMYFUNCTION("GOOGLETRANSLATE(I83,""zh_HANT"",""zh_HANS"")"),"三合一磁怪")</f>
        <v/>
      </c>
      <c r="K83" s="29">
        <f>F83</f>
        <v/>
      </c>
    </row>
    <row r="84">
      <c r="A84" s="29" t="inlineStr">
        <is>
          <t>NAME_PkMn_FARFETCHD</t>
        </is>
      </c>
      <c r="B84" s="29" t="inlineStr">
        <is>
          <t>Farfetch'd</t>
        </is>
      </c>
      <c r="C84" s="29" t="inlineStr">
        <is>
          <t>カモネギ</t>
        </is>
      </c>
      <c r="D84" s="29" t="inlineStr">
        <is>
          <t>Canarticho</t>
        </is>
      </c>
      <c r="E84" s="29" t="inlineStr">
        <is>
          <t>Porenta</t>
        </is>
      </c>
      <c r="F84" s="29">
        <f>B84</f>
        <v/>
      </c>
      <c r="G84" s="29">
        <f>B84</f>
        <v/>
      </c>
      <c r="H84" s="29" t="inlineStr">
        <is>
          <t>파오리</t>
        </is>
      </c>
      <c r="I84" s="29" t="inlineStr">
        <is>
          <t>大蔥鴨</t>
        </is>
      </c>
      <c r="J84" s="29">
        <f>IFERROR(__xludf.DUMMYFUNCTION("GOOGLETRANSLATE(I84,""zh_HANT"",""zh_HANS"")"),"大葱鸭")</f>
        <v/>
      </c>
      <c r="K84" s="29">
        <f>F84</f>
        <v/>
      </c>
    </row>
    <row r="85">
      <c r="A85" s="29">
        <f>CONCATENATE("NAME_PkMn_", UPPER(B85))</f>
        <v/>
      </c>
      <c r="B85" s="29" t="inlineStr">
        <is>
          <t>Doduo</t>
        </is>
      </c>
      <c r="C85" s="29" t="inlineStr">
        <is>
          <t>ドードー</t>
        </is>
      </c>
      <c r="D85" s="29">
        <f>B85</f>
        <v/>
      </c>
      <c r="E85" s="29" t="inlineStr">
        <is>
          <t>Dodu</t>
        </is>
      </c>
      <c r="F85" s="29">
        <f>B85</f>
        <v/>
      </c>
      <c r="G85" s="29">
        <f>B85</f>
        <v/>
      </c>
      <c r="H85" s="29" t="inlineStr">
        <is>
          <t>두두</t>
        </is>
      </c>
      <c r="I85" s="29" t="inlineStr">
        <is>
          <t>嘟嘟</t>
        </is>
      </c>
      <c r="J85" s="29">
        <f>I85</f>
        <v/>
      </c>
      <c r="K85" s="29">
        <f>F85</f>
        <v/>
      </c>
    </row>
    <row r="86">
      <c r="A86" s="29">
        <f>CONCATENATE("NAME_PkMn_", UPPER(B86))</f>
        <v/>
      </c>
      <c r="B86" s="29" t="inlineStr">
        <is>
          <t>Dodrio</t>
        </is>
      </c>
      <c r="C86" s="29" t="inlineStr">
        <is>
          <t>ドードリオ</t>
        </is>
      </c>
      <c r="D86" s="29">
        <f>B86</f>
        <v/>
      </c>
      <c r="E86" s="29" t="inlineStr">
        <is>
          <t>Dodri</t>
        </is>
      </c>
      <c r="F86" s="29">
        <f>B86</f>
        <v/>
      </c>
      <c r="G86" s="29">
        <f>B86</f>
        <v/>
      </c>
      <c r="H86" s="29" t="inlineStr">
        <is>
          <t>두트리오</t>
        </is>
      </c>
      <c r="I86" s="29" t="inlineStr">
        <is>
          <t>嘟嘟利</t>
        </is>
      </c>
      <c r="J86" s="29">
        <f>I86</f>
        <v/>
      </c>
      <c r="K86" s="29">
        <f>F86</f>
        <v/>
      </c>
    </row>
    <row r="87">
      <c r="A87" s="29">
        <f>CONCATENATE("NAME_PkMn_", UPPER(B87))</f>
        <v/>
      </c>
      <c r="B87" s="29" t="inlineStr">
        <is>
          <t>Seel</t>
        </is>
      </c>
      <c r="C87" s="29" t="inlineStr">
        <is>
          <t>パウワウ</t>
        </is>
      </c>
      <c r="D87" s="29" t="inlineStr">
        <is>
          <t>Otaria</t>
        </is>
      </c>
      <c r="E87" s="29" t="inlineStr">
        <is>
          <t>Jurob</t>
        </is>
      </c>
      <c r="F87" s="29">
        <f>B87</f>
        <v/>
      </c>
      <c r="G87" s="29">
        <f>B87</f>
        <v/>
      </c>
      <c r="H87" s="29" t="inlineStr">
        <is>
          <t>쥬쥬</t>
        </is>
      </c>
      <c r="I87" s="29" t="inlineStr">
        <is>
          <t>小海獅</t>
        </is>
      </c>
      <c r="J87" s="29">
        <f>IFERROR(__xludf.DUMMYFUNCTION("GOOGLETRANSLATE(I87,""zh_HANT"",""zh_HANS"")"),"小海狮")</f>
        <v/>
      </c>
      <c r="K87" s="29">
        <f>F87</f>
        <v/>
      </c>
    </row>
    <row r="88">
      <c r="A88" s="29">
        <f>CONCATENATE("NAME_PkMn_", UPPER(B88))</f>
        <v/>
      </c>
      <c r="B88" s="29" t="inlineStr">
        <is>
          <t>Dewgong</t>
        </is>
      </c>
      <c r="C88" s="29" t="inlineStr">
        <is>
          <t>ジュゴン</t>
        </is>
      </c>
      <c r="D88" s="29" t="inlineStr">
        <is>
          <t>Lamantine</t>
        </is>
      </c>
      <c r="E88" s="29" t="inlineStr">
        <is>
          <t>Jugong</t>
        </is>
      </c>
      <c r="F88" s="29">
        <f>B88</f>
        <v/>
      </c>
      <c r="G88" s="29">
        <f>B88</f>
        <v/>
      </c>
      <c r="H88" s="29" t="inlineStr">
        <is>
          <t>쥬레곤</t>
        </is>
      </c>
      <c r="I88" s="29" t="inlineStr">
        <is>
          <t>白海獅</t>
        </is>
      </c>
      <c r="J88" s="29">
        <f>IFERROR(__xludf.DUMMYFUNCTION("GOOGLETRANSLATE(I88,""zh_HANT"",""zh_HANS"")"),"白海狮")</f>
        <v/>
      </c>
      <c r="K88" s="29">
        <f>F88</f>
        <v/>
      </c>
    </row>
    <row r="89">
      <c r="A89" s="29">
        <f>CONCATENATE("NAME_PkMn_", UPPER(B89))</f>
        <v/>
      </c>
      <c r="B89" s="29" t="inlineStr">
        <is>
          <t>Grimer</t>
        </is>
      </c>
      <c r="C89" s="29" t="inlineStr">
        <is>
          <t>ベトベター</t>
        </is>
      </c>
      <c r="D89" s="29" t="inlineStr">
        <is>
          <t>Tadmorv</t>
        </is>
      </c>
      <c r="E89" s="29" t="inlineStr">
        <is>
          <t>Sleima</t>
        </is>
      </c>
      <c r="F89" s="29">
        <f>B89</f>
        <v/>
      </c>
      <c r="G89" s="29">
        <f>B89</f>
        <v/>
      </c>
      <c r="H89" s="29" t="inlineStr">
        <is>
          <t>질퍽이</t>
        </is>
      </c>
      <c r="I89" s="29" t="inlineStr">
        <is>
          <t>臭泥</t>
        </is>
      </c>
      <c r="J89" s="29">
        <f>I89</f>
        <v/>
      </c>
      <c r="K89" s="29">
        <f>F89</f>
        <v/>
      </c>
    </row>
    <row r="90">
      <c r="A90" s="29">
        <f>CONCATENATE("NAME_PkMn_", UPPER(B90))</f>
        <v/>
      </c>
      <c r="B90" s="29" t="inlineStr">
        <is>
          <t>Muk</t>
        </is>
      </c>
      <c r="C90" s="29" t="inlineStr">
        <is>
          <t>ベトベトン</t>
        </is>
      </c>
      <c r="D90" s="29" t="inlineStr">
        <is>
          <t>Grotadmorv</t>
        </is>
      </c>
      <c r="E90" s="29" t="inlineStr">
        <is>
          <t>Sleimok</t>
        </is>
      </c>
      <c r="F90" s="29">
        <f>B90</f>
        <v/>
      </c>
      <c r="G90" s="29">
        <f>B90</f>
        <v/>
      </c>
      <c r="H90" s="29" t="inlineStr">
        <is>
          <t>질뻐기</t>
        </is>
      </c>
      <c r="I90" s="29" t="inlineStr">
        <is>
          <t>臭臭泥</t>
        </is>
      </c>
      <c r="J90" s="29">
        <f>I90</f>
        <v/>
      </c>
      <c r="K90" s="29">
        <f>F90</f>
        <v/>
      </c>
    </row>
    <row r="91">
      <c r="A91" s="29">
        <f>CONCATENATE("NAME_PkMn_", UPPER(B91))</f>
        <v/>
      </c>
      <c r="B91" s="29" t="inlineStr">
        <is>
          <t>Shellder</t>
        </is>
      </c>
      <c r="C91" s="29" t="inlineStr">
        <is>
          <t>シェルダー</t>
        </is>
      </c>
      <c r="D91" s="29" t="inlineStr">
        <is>
          <t>Kokiyas</t>
        </is>
      </c>
      <c r="E91" s="29" t="inlineStr">
        <is>
          <t>Muschas</t>
        </is>
      </c>
      <c r="F91" s="29">
        <f>B91</f>
        <v/>
      </c>
      <c r="G91" s="29">
        <f>B91</f>
        <v/>
      </c>
      <c r="H91" s="29" t="inlineStr">
        <is>
          <t>셀러</t>
        </is>
      </c>
      <c r="I91" s="29" t="inlineStr">
        <is>
          <t>大舌貝</t>
        </is>
      </c>
      <c r="J91" s="29">
        <f>IFERROR(__xludf.DUMMYFUNCTION("GOOGLETRANSLATE(I91,""zh_HANT"",""zh_HANS"")"),"大舌贝")</f>
        <v/>
      </c>
      <c r="K91" s="29">
        <f>F91</f>
        <v/>
      </c>
    </row>
    <row r="92">
      <c r="A92" s="29">
        <f>CONCATENATE("NAME_PkMn_", UPPER(B92))</f>
        <v/>
      </c>
      <c r="B92" s="29" t="inlineStr">
        <is>
          <t>Cloyster</t>
        </is>
      </c>
      <c r="C92" s="29" t="inlineStr">
        <is>
          <t>パルシェン</t>
        </is>
      </c>
      <c r="D92" s="29" t="inlineStr">
        <is>
          <t>Crustabri</t>
        </is>
      </c>
      <c r="E92" s="29" t="inlineStr">
        <is>
          <t>Austos</t>
        </is>
      </c>
      <c r="F92" s="29">
        <f>B92</f>
        <v/>
      </c>
      <c r="G92" s="29">
        <f>B92</f>
        <v/>
      </c>
      <c r="H92" s="29" t="inlineStr">
        <is>
          <t>파르셀</t>
        </is>
      </c>
      <c r="I92" s="29" t="inlineStr">
        <is>
          <t>刺甲貝</t>
        </is>
      </c>
      <c r="J92" s="29">
        <f>IFERROR(__xludf.DUMMYFUNCTION("GOOGLETRANSLATE(I92,""zh_HANT"",""zh_HANS"")"),"刺甲贝")</f>
        <v/>
      </c>
      <c r="K92" s="29">
        <f>F92</f>
        <v/>
      </c>
    </row>
    <row r="93">
      <c r="A93" s="29">
        <f>CONCATENATE("NAME_PkMn_", UPPER(B93))</f>
        <v/>
      </c>
      <c r="B93" s="29" t="inlineStr">
        <is>
          <t>Gastly</t>
        </is>
      </c>
      <c r="C93" s="29" t="inlineStr">
        <is>
          <t>ゴース</t>
        </is>
      </c>
      <c r="D93" s="29" t="inlineStr">
        <is>
          <t>Fantominus</t>
        </is>
      </c>
      <c r="E93" s="29" t="inlineStr">
        <is>
          <t>Nebulak</t>
        </is>
      </c>
      <c r="F93" s="29">
        <f>B93</f>
        <v/>
      </c>
      <c r="G93" s="29">
        <f>B93</f>
        <v/>
      </c>
      <c r="H93" s="29" t="inlineStr">
        <is>
          <t>고오스</t>
        </is>
      </c>
      <c r="I93" s="29" t="inlineStr">
        <is>
          <t>鬼斯</t>
        </is>
      </c>
      <c r="J93" s="29">
        <f>I93</f>
        <v/>
      </c>
      <c r="K93" s="29">
        <f>F93</f>
        <v/>
      </c>
    </row>
    <row r="94">
      <c r="A94" s="29">
        <f>CONCATENATE("NAME_PkMn_", UPPER(B94))</f>
        <v/>
      </c>
      <c r="B94" s="29" t="inlineStr">
        <is>
          <t>Haunter</t>
        </is>
      </c>
      <c r="C94" s="29" t="inlineStr">
        <is>
          <t>ゴースト</t>
        </is>
      </c>
      <c r="D94" s="29" t="inlineStr">
        <is>
          <t>Spectrum</t>
        </is>
      </c>
      <c r="E94" s="29" t="inlineStr">
        <is>
          <t>Apollo</t>
        </is>
      </c>
      <c r="F94" s="29">
        <f>B94</f>
        <v/>
      </c>
      <c r="G94" s="29">
        <f>B94</f>
        <v/>
      </c>
      <c r="H94" s="29" t="inlineStr">
        <is>
          <t>고우스트</t>
        </is>
      </c>
      <c r="I94" s="29" t="inlineStr">
        <is>
          <t>鬼斯通</t>
        </is>
      </c>
      <c r="J94" s="29">
        <f>I94</f>
        <v/>
      </c>
      <c r="K94" s="29">
        <f>F94</f>
        <v/>
      </c>
    </row>
    <row r="95">
      <c r="A95" s="29">
        <f>CONCATENATE("NAME_PkMn_", UPPER(B95))</f>
        <v/>
      </c>
      <c r="B95" s="29" t="inlineStr">
        <is>
          <t>Gengar</t>
        </is>
      </c>
      <c r="C95" s="29" t="inlineStr">
        <is>
          <t>ゲンガー</t>
        </is>
      </c>
      <c r="D95" s="29" t="inlineStr">
        <is>
          <t>Ectoplasma</t>
        </is>
      </c>
      <c r="E95" s="29">
        <f>B95</f>
        <v/>
      </c>
      <c r="F95" s="29">
        <f>B95</f>
        <v/>
      </c>
      <c r="G95" s="29">
        <f>B95</f>
        <v/>
      </c>
      <c r="H95" s="29" t="inlineStr">
        <is>
          <t>팬텀</t>
        </is>
      </c>
      <c r="I95" s="29">
        <f>J95</f>
        <v/>
      </c>
      <c r="J95" s="29" t="inlineStr">
        <is>
          <t>耿鬼</t>
        </is>
      </c>
      <c r="K95" s="29">
        <f>F95</f>
        <v/>
      </c>
    </row>
    <row r="96">
      <c r="A96" s="29">
        <f>CONCATENATE("NAME_PkMn_", UPPER(B96))</f>
        <v/>
      </c>
      <c r="B96" s="29" t="inlineStr">
        <is>
          <t>Onix</t>
        </is>
      </c>
      <c r="C96" s="29" t="inlineStr">
        <is>
          <t>イワーク</t>
        </is>
      </c>
      <c r="D96" s="29">
        <f>B96</f>
        <v/>
      </c>
      <c r="E96" s="29">
        <f>B96</f>
        <v/>
      </c>
      <c r="F96" s="29">
        <f>B96</f>
        <v/>
      </c>
      <c r="G96" s="29">
        <f>B96</f>
        <v/>
      </c>
      <c r="H96" s="29" t="inlineStr">
        <is>
          <t>롱스톤</t>
        </is>
      </c>
      <c r="I96" s="29" t="inlineStr">
        <is>
          <t>大岩蛇</t>
        </is>
      </c>
      <c r="J96" s="29">
        <f>I96</f>
        <v/>
      </c>
      <c r="K96" s="29">
        <f>F96</f>
        <v/>
      </c>
    </row>
    <row r="97">
      <c r="A97" s="29">
        <f>CONCATENATE("NAME_PkMn_", UPPER(B97))</f>
        <v/>
      </c>
      <c r="B97" s="29" t="inlineStr">
        <is>
          <t>Drowzee</t>
        </is>
      </c>
      <c r="C97" s="29" t="inlineStr">
        <is>
          <t>スリープ</t>
        </is>
      </c>
      <c r="D97" s="29" t="inlineStr">
        <is>
          <t>Soporifik</t>
        </is>
      </c>
      <c r="E97" s="29" t="inlineStr">
        <is>
          <t>Traumato</t>
        </is>
      </c>
      <c r="F97" s="29">
        <f>B97</f>
        <v/>
      </c>
      <c r="G97" s="29">
        <f>B97</f>
        <v/>
      </c>
      <c r="H97" s="29" t="inlineStr">
        <is>
          <t>슬리프</t>
        </is>
      </c>
      <c r="I97" s="29" t="inlineStr">
        <is>
          <t>催眠貘</t>
        </is>
      </c>
      <c r="J97" s="29">
        <f>I97</f>
        <v/>
      </c>
      <c r="K97" s="29">
        <f>F97</f>
        <v/>
      </c>
    </row>
    <row r="98">
      <c r="A98" s="29">
        <f>CONCATENATE("NAME_PkMn_", UPPER(B98))</f>
        <v/>
      </c>
      <c r="B98" s="29" t="inlineStr">
        <is>
          <t>Hypno</t>
        </is>
      </c>
      <c r="C98" s="29" t="inlineStr">
        <is>
          <t>スリーパー</t>
        </is>
      </c>
      <c r="D98" s="29" t="inlineStr">
        <is>
          <t>Hypnomade</t>
        </is>
      </c>
      <c r="E98" s="29">
        <f>B98</f>
        <v/>
      </c>
      <c r="F98" s="29">
        <f>B98</f>
        <v/>
      </c>
      <c r="G98" s="29">
        <f>B98</f>
        <v/>
      </c>
      <c r="H98" s="29" t="inlineStr">
        <is>
          <t>슬리퍼</t>
        </is>
      </c>
      <c r="I98" s="29" t="inlineStr">
        <is>
          <t>引夢貘人</t>
        </is>
      </c>
      <c r="J98" s="29">
        <f>IFERROR(__xludf.DUMMYFUNCTION("GOOGLETRANSLATE(I98,""zh_HANT"",""zh_HANS"")"),"引梦貘人")</f>
        <v/>
      </c>
      <c r="K98" s="29">
        <f>F98</f>
        <v/>
      </c>
    </row>
    <row r="99">
      <c r="A99" s="29">
        <f>CONCATENATE("NAME_PkMn_", UPPER(B99))</f>
        <v/>
      </c>
      <c r="B99" s="29" t="inlineStr">
        <is>
          <t>Krabby</t>
        </is>
      </c>
      <c r="C99" s="29" t="inlineStr">
        <is>
          <t>クラブ</t>
        </is>
      </c>
      <c r="D99" s="29">
        <f>B99</f>
        <v/>
      </c>
      <c r="E99" s="29">
        <f>B99</f>
        <v/>
      </c>
      <c r="F99" s="29">
        <f>B99</f>
        <v/>
      </c>
      <c r="G99" s="29">
        <f>B99</f>
        <v/>
      </c>
      <c r="H99" s="29" t="inlineStr">
        <is>
          <t>크랩</t>
        </is>
      </c>
      <c r="I99" s="29" t="inlineStr">
        <is>
          <t>大鉗蟹</t>
        </is>
      </c>
      <c r="J99" s="29">
        <f>IFERROR(__xludf.DUMMYFUNCTION("GOOGLETRANSLATE(I99,""zh_HANT"",""zh_HANS"")"),"大钳蟹")</f>
        <v/>
      </c>
      <c r="K99" s="29">
        <f>F99</f>
        <v/>
      </c>
    </row>
    <row r="100">
      <c r="A100" s="29">
        <f>CONCATENATE("NAME_PkMn_", UPPER(B100))</f>
        <v/>
      </c>
      <c r="B100" s="29" t="inlineStr">
        <is>
          <t>Kingler</t>
        </is>
      </c>
      <c r="C100" s="29" t="inlineStr">
        <is>
          <t>キングラー</t>
        </is>
      </c>
      <c r="D100" s="29" t="inlineStr">
        <is>
          <t>Krabboss</t>
        </is>
      </c>
      <c r="E100" s="29">
        <f>B100</f>
        <v/>
      </c>
      <c r="F100" s="29">
        <f>B100</f>
        <v/>
      </c>
      <c r="G100" s="29">
        <f>B100</f>
        <v/>
      </c>
      <c r="H100" s="29" t="inlineStr">
        <is>
          <t>킹크랩</t>
        </is>
      </c>
      <c r="I100" s="29" t="inlineStr">
        <is>
          <t>巨鉗蟹</t>
        </is>
      </c>
      <c r="J100" s="29">
        <f>IFERROR(__xludf.DUMMYFUNCTION("GOOGLETRANSLATE(I100,""zh_HANT"",""zh_HANS"")"),"巨钳蟹")</f>
        <v/>
      </c>
      <c r="K100" s="29">
        <f>F100</f>
        <v/>
      </c>
    </row>
    <row r="101">
      <c r="A101" s="29">
        <f>CONCATENATE("NAME_PkMn_", UPPER(B101))</f>
        <v/>
      </c>
      <c r="B101" s="29" t="inlineStr">
        <is>
          <t>Voltorb</t>
        </is>
      </c>
      <c r="C101" s="29" t="inlineStr">
        <is>
          <t>ビリリダマ</t>
        </is>
      </c>
      <c r="D101" s="29" t="inlineStr">
        <is>
          <t>Voltorbe</t>
        </is>
      </c>
      <c r="E101" s="29" t="inlineStr">
        <is>
          <t>Voltobal</t>
        </is>
      </c>
      <c r="F101" s="29">
        <f>B101</f>
        <v/>
      </c>
      <c r="G101" s="29">
        <f>B101</f>
        <v/>
      </c>
      <c r="H101" s="29" t="inlineStr">
        <is>
          <t>찌리리공</t>
        </is>
      </c>
      <c r="I101" s="29" t="inlineStr">
        <is>
          <t>霹靂電球</t>
        </is>
      </c>
      <c r="J101" s="29">
        <f>IFERROR(__xludf.DUMMYFUNCTION("GOOGLETRANSLATE(I101,""zh_HANT"",""zh_HANS"")"),"霹雳电球")</f>
        <v/>
      </c>
      <c r="K101" s="29">
        <f>F101</f>
        <v/>
      </c>
    </row>
    <row r="102">
      <c r="A102" s="29">
        <f>CONCATENATE("NAME_PkMn_", UPPER(B102))</f>
        <v/>
      </c>
      <c r="B102" s="29" t="inlineStr">
        <is>
          <t>Electrode</t>
        </is>
      </c>
      <c r="C102" s="29" t="inlineStr">
        <is>
          <t>マルマリン</t>
        </is>
      </c>
      <c r="D102" s="29" t="inlineStr">
        <is>
          <t>Électrode</t>
        </is>
      </c>
      <c r="E102" s="29" t="inlineStr">
        <is>
          <t>Lektrobal</t>
        </is>
      </c>
      <c r="F102" s="29">
        <f>B102</f>
        <v/>
      </c>
      <c r="G102" s="29">
        <f>B102</f>
        <v/>
      </c>
      <c r="H102" s="29" t="inlineStr">
        <is>
          <t>붐볼</t>
        </is>
      </c>
      <c r="I102" s="29" t="inlineStr">
        <is>
          <t>頑皮雷彈</t>
        </is>
      </c>
      <c r="J102" s="29">
        <f>IFERROR(__xludf.DUMMYFUNCTION("GOOGLETRANSLATE(I102,""zh_HANT"",""zh_HANS"")"),"顽皮雷弹")</f>
        <v/>
      </c>
      <c r="K102" s="29">
        <f>F102</f>
        <v/>
      </c>
    </row>
    <row r="103">
      <c r="A103" s="29">
        <f>CONCATENATE("NAME_PkMn_", UPPER(B103))</f>
        <v/>
      </c>
      <c r="B103" s="29" t="inlineStr">
        <is>
          <t>Exeggcute</t>
        </is>
      </c>
      <c r="C103" s="29" t="inlineStr">
        <is>
          <t>タマタマ</t>
        </is>
      </c>
      <c r="D103" s="29" t="inlineStr">
        <is>
          <t>Noeunoeuf</t>
        </is>
      </c>
      <c r="E103" s="29" t="inlineStr">
        <is>
          <t>Owei</t>
        </is>
      </c>
      <c r="F103" s="29">
        <f>B103</f>
        <v/>
      </c>
      <c r="G103" s="29">
        <f>B103</f>
        <v/>
      </c>
      <c r="H103" s="29" t="inlineStr">
        <is>
          <t>아라리</t>
        </is>
      </c>
      <c r="I103" s="29" t="inlineStr">
        <is>
          <t>蛋蛋</t>
        </is>
      </c>
      <c r="J103" s="29">
        <f>I103</f>
        <v/>
      </c>
      <c r="K103" s="29">
        <f>F103</f>
        <v/>
      </c>
    </row>
    <row r="104">
      <c r="A104" s="29">
        <f>CONCATENATE("NAME_PkMn_", UPPER(B104))</f>
        <v/>
      </c>
      <c r="B104" s="29" t="inlineStr">
        <is>
          <t>Exeggutor</t>
        </is>
      </c>
      <c r="C104" s="29" t="inlineStr">
        <is>
          <t>ナッシー</t>
        </is>
      </c>
      <c r="D104" s="29" t="inlineStr">
        <is>
          <t>Noadkoko</t>
        </is>
      </c>
      <c r="E104" s="29" t="inlineStr">
        <is>
          <t>Kokowei</t>
        </is>
      </c>
      <c r="F104" s="29">
        <f>B104</f>
        <v/>
      </c>
      <c r="G104" s="29">
        <f>B104</f>
        <v/>
      </c>
      <c r="H104" s="29" t="inlineStr">
        <is>
          <t>나시</t>
        </is>
      </c>
      <c r="I104" s="29" t="inlineStr">
        <is>
          <t>椰蛋樹</t>
        </is>
      </c>
      <c r="J104" s="29">
        <f>IFERROR(__xludf.DUMMYFUNCTION("GOOGLETRANSLATE(I104,""zh_HANT"",""zh_HANS"")"),"椰蛋树")</f>
        <v/>
      </c>
      <c r="K104" s="29">
        <f>F104</f>
        <v/>
      </c>
    </row>
    <row r="105">
      <c r="A105" s="29">
        <f>CONCATENATE("NAME_PkMn_", UPPER(B105))</f>
        <v/>
      </c>
      <c r="B105" s="29" t="inlineStr">
        <is>
          <t>Cubone</t>
        </is>
      </c>
      <c r="C105" s="29" t="inlineStr">
        <is>
          <t>カラカラ</t>
        </is>
      </c>
      <c r="D105" s="29" t="inlineStr">
        <is>
          <t>Osselait</t>
        </is>
      </c>
      <c r="E105" s="29" t="inlineStr">
        <is>
          <t>Tragosso</t>
        </is>
      </c>
      <c r="F105" s="29">
        <f>B105</f>
        <v/>
      </c>
      <c r="G105" s="29">
        <f>B105</f>
        <v/>
      </c>
      <c r="H105" s="29" t="inlineStr">
        <is>
          <t>탕구리</t>
        </is>
      </c>
      <c r="I105" s="29" t="inlineStr">
        <is>
          <t>卡拉卡拉</t>
        </is>
      </c>
      <c r="J105" s="29">
        <f>I105</f>
        <v/>
      </c>
      <c r="K105" s="29">
        <f>F105</f>
        <v/>
      </c>
    </row>
    <row r="106">
      <c r="A106" s="29">
        <f>CONCATENATE("NAME_PkMn_", UPPER(B106))</f>
        <v/>
      </c>
      <c r="B106" s="29" t="inlineStr">
        <is>
          <t>Marowak</t>
        </is>
      </c>
      <c r="C106" s="29" t="inlineStr">
        <is>
          <t>ガラガラ</t>
        </is>
      </c>
      <c r="D106" s="29" t="inlineStr">
        <is>
          <t>Ossatueur</t>
        </is>
      </c>
      <c r="E106" s="29" t="inlineStr">
        <is>
          <t>Knogga</t>
        </is>
      </c>
      <c r="F106" s="29">
        <f>B106</f>
        <v/>
      </c>
      <c r="G106" s="29">
        <f>B106</f>
        <v/>
      </c>
      <c r="H106" s="29" t="inlineStr">
        <is>
          <t>텅구리</t>
        </is>
      </c>
      <c r="I106" s="29" t="inlineStr">
        <is>
          <t>嘎啦嘎啦</t>
        </is>
      </c>
      <c r="J106" s="29">
        <f>I106</f>
        <v/>
      </c>
      <c r="K106" s="29">
        <f>F106</f>
        <v/>
      </c>
    </row>
    <row r="107">
      <c r="A107" s="29">
        <f>CONCATENATE("NAME_PkMn_", UPPER(B107))</f>
        <v/>
      </c>
      <c r="B107" s="29" t="inlineStr">
        <is>
          <t>Hitmonlee</t>
        </is>
      </c>
      <c r="C107" s="29" t="inlineStr">
        <is>
          <t>サワムラー</t>
        </is>
      </c>
      <c r="D107" s="29" t="inlineStr">
        <is>
          <t>Kicklee</t>
        </is>
      </c>
      <c r="E107" s="29" t="inlineStr">
        <is>
          <t>Kicklee</t>
        </is>
      </c>
      <c r="F107" s="29">
        <f>B107</f>
        <v/>
      </c>
      <c r="G107" s="29">
        <f>B107</f>
        <v/>
      </c>
      <c r="H107" s="29" t="inlineStr">
        <is>
          <t>시라소몬</t>
        </is>
      </c>
      <c r="I107" s="29" t="inlineStr">
        <is>
          <t>飛腿郎</t>
        </is>
      </c>
      <c r="J107" s="29">
        <f>IFERROR(__xludf.DUMMYFUNCTION("GOOGLETRANSLATE(I107,""zh_HANT"",""zh_HANS"")"),"飞腿郎")</f>
        <v/>
      </c>
      <c r="K107" s="29">
        <f>F107</f>
        <v/>
      </c>
    </row>
    <row r="108">
      <c r="A108" s="29">
        <f>CONCATENATE("NAME_PkMn_", UPPER(B108))</f>
        <v/>
      </c>
      <c r="B108" s="29" t="inlineStr">
        <is>
          <t>Hitmonchan</t>
        </is>
      </c>
      <c r="C108" s="29" t="inlineStr">
        <is>
          <t>エビワラー</t>
        </is>
      </c>
      <c r="D108" s="29" t="inlineStr">
        <is>
          <t>Tygnon</t>
        </is>
      </c>
      <c r="E108" s="29" t="inlineStr">
        <is>
          <t>Nokchan</t>
        </is>
      </c>
      <c r="F108" s="29">
        <f>B108</f>
        <v/>
      </c>
      <c r="G108" s="29">
        <f>B108</f>
        <v/>
      </c>
      <c r="H108" s="29" t="inlineStr">
        <is>
          <t>홍수몬</t>
        </is>
      </c>
      <c r="I108" s="29" t="inlineStr">
        <is>
          <t>快拳郎</t>
        </is>
      </c>
      <c r="J108" s="29">
        <f>I108</f>
        <v/>
      </c>
      <c r="K108" s="29">
        <f>F108</f>
        <v/>
      </c>
    </row>
    <row r="109">
      <c r="A109" s="29">
        <f>CONCATENATE("NAME_PkMn_", UPPER(B109))</f>
        <v/>
      </c>
      <c r="B109" s="29" t="inlineStr">
        <is>
          <t>Lickitung</t>
        </is>
      </c>
      <c r="C109" s="29" t="inlineStr">
        <is>
          <t>ベロリンガ</t>
        </is>
      </c>
      <c r="D109" s="29" t="inlineStr">
        <is>
          <t>Excelangue</t>
        </is>
      </c>
      <c r="E109" s="29" t="inlineStr">
        <is>
          <t>Schlurp</t>
        </is>
      </c>
      <c r="F109" s="29">
        <f>B109</f>
        <v/>
      </c>
      <c r="G109" s="29">
        <f>B109</f>
        <v/>
      </c>
      <c r="H109" s="29" t="inlineStr">
        <is>
          <t>내루미</t>
        </is>
      </c>
      <c r="I109" s="29" t="inlineStr">
        <is>
          <t>大舌頭</t>
        </is>
      </c>
      <c r="J109" s="29">
        <f>IFERROR(__xludf.DUMMYFUNCTION("GOOGLETRANSLATE(I109,""zh_HANT"",""zh_HANS"")"),"大舌头")</f>
        <v/>
      </c>
      <c r="K109" s="29">
        <f>F109</f>
        <v/>
      </c>
    </row>
    <row r="110">
      <c r="A110" s="29">
        <f>CONCATENATE("NAME_PkMn_", UPPER(B110))</f>
        <v/>
      </c>
      <c r="B110" s="29" t="inlineStr">
        <is>
          <t>Koffing</t>
        </is>
      </c>
      <c r="C110" s="29" t="inlineStr">
        <is>
          <t>ドガース</t>
        </is>
      </c>
      <c r="D110" s="29" t="inlineStr">
        <is>
          <t>Smogo</t>
        </is>
      </c>
      <c r="E110" s="29" t="inlineStr">
        <is>
          <t>Smogon</t>
        </is>
      </c>
      <c r="F110" s="29">
        <f>B110</f>
        <v/>
      </c>
      <c r="G110" s="29">
        <f>B110</f>
        <v/>
      </c>
      <c r="H110" s="29" t="inlineStr">
        <is>
          <t>또가스</t>
        </is>
      </c>
      <c r="I110" s="29" t="inlineStr">
        <is>
          <t>瓦斯彈</t>
        </is>
      </c>
      <c r="J110" s="29">
        <f>IFERROR(__xludf.DUMMYFUNCTION("GOOGLETRANSLATE(I110,""zh_HANT"",""zh_HANS"")"),"瓦斯弹")</f>
        <v/>
      </c>
      <c r="K110" s="29">
        <f>F110</f>
        <v/>
      </c>
    </row>
    <row r="111">
      <c r="A111" s="29">
        <f>CONCATENATE("NAME_PkMn_", UPPER(B111))</f>
        <v/>
      </c>
      <c r="B111" s="29" t="inlineStr">
        <is>
          <t>Weezing</t>
        </is>
      </c>
      <c r="C111" s="29" t="inlineStr">
        <is>
          <t>マタドカース</t>
        </is>
      </c>
      <c r="D111" s="29" t="inlineStr">
        <is>
          <t>Smogogo</t>
        </is>
      </c>
      <c r="E111" s="29" t="inlineStr">
        <is>
          <t>Smogmog</t>
        </is>
      </c>
      <c r="F111" s="29">
        <f>B111</f>
        <v/>
      </c>
      <c r="G111" s="29">
        <f>B111</f>
        <v/>
      </c>
      <c r="H111" s="29" t="inlineStr">
        <is>
          <t>또도가스</t>
        </is>
      </c>
      <c r="I111" s="29" t="inlineStr">
        <is>
          <t>雙彈瓦斯</t>
        </is>
      </c>
      <c r="J111" s="29">
        <f>IFERROR(__xludf.DUMMYFUNCTION("GOOGLETRANSLATE(I111,""zh_HANT"",""zh_HANS"")"),"双弹瓦斯")</f>
        <v/>
      </c>
      <c r="K111" s="29">
        <f>F111</f>
        <v/>
      </c>
    </row>
    <row r="112">
      <c r="A112" s="29">
        <f>CONCATENATE("NAME_PkMn_", UPPER(B112))</f>
        <v/>
      </c>
      <c r="B112" s="29" t="inlineStr">
        <is>
          <t>Rhyhorn</t>
        </is>
      </c>
      <c r="C112" s="29" t="inlineStr">
        <is>
          <t>サイホーン</t>
        </is>
      </c>
      <c r="D112" s="29" t="inlineStr">
        <is>
          <t>Rhinocorne</t>
        </is>
      </c>
      <c r="E112" s="29" t="inlineStr">
        <is>
          <t>Rihorn</t>
        </is>
      </c>
      <c r="F112" s="29">
        <f>B112</f>
        <v/>
      </c>
      <c r="G112" s="29">
        <f>B112</f>
        <v/>
      </c>
      <c r="H112" s="29" t="inlineStr">
        <is>
          <t>뿔카노</t>
        </is>
      </c>
      <c r="I112" s="29" t="inlineStr">
        <is>
          <t>獨角犀牛</t>
        </is>
      </c>
      <c r="J112" s="29">
        <f>IFERROR(__xludf.DUMMYFUNCTION("GOOGLETRANSLATE(I112,""zh_HANT"",""zh_HANS"")"),"独角犀牛")</f>
        <v/>
      </c>
      <c r="K112" s="29">
        <f>F112</f>
        <v/>
      </c>
    </row>
    <row r="113">
      <c r="A113" s="29">
        <f>CONCATENATE("NAME_PkMn_", UPPER(B113))</f>
        <v/>
      </c>
      <c r="B113" s="29" t="inlineStr">
        <is>
          <t>Rhydon</t>
        </is>
      </c>
      <c r="C113" s="29" t="inlineStr">
        <is>
          <t>サイドン</t>
        </is>
      </c>
      <c r="D113" s="29" t="inlineStr">
        <is>
          <t>Rhinoféros</t>
        </is>
      </c>
      <c r="E113" s="29" t="inlineStr">
        <is>
          <t>Rizeros</t>
        </is>
      </c>
      <c r="F113" s="29">
        <f>B113</f>
        <v/>
      </c>
      <c r="G113" s="29">
        <f>B113</f>
        <v/>
      </c>
      <c r="H113" s="29" t="inlineStr">
        <is>
          <t>코뿌리</t>
        </is>
      </c>
      <c r="I113" s="29" t="inlineStr">
        <is>
          <t>鑽角犀獸</t>
        </is>
      </c>
      <c r="J113" s="29">
        <f>IFERROR(__xludf.DUMMYFUNCTION("GOOGLETRANSLATE(I113,""zh_HANT"",""zh_HANS"")"),"钻角犀兽")</f>
        <v/>
      </c>
      <c r="K113" s="29">
        <f>F113</f>
        <v/>
      </c>
    </row>
    <row r="114">
      <c r="A114" s="29">
        <f>CONCATENATE("NAME_PkMn_", UPPER(B114))</f>
        <v/>
      </c>
      <c r="B114" s="29" t="inlineStr">
        <is>
          <t>Chansey</t>
        </is>
      </c>
      <c r="C114" s="29" t="inlineStr">
        <is>
          <t>ラッキ</t>
        </is>
      </c>
      <c r="D114" s="29" t="inlineStr">
        <is>
          <t>Leveinard</t>
        </is>
      </c>
      <c r="E114" s="29" t="inlineStr">
        <is>
          <t>Chaneira</t>
        </is>
      </c>
      <c r="F114" s="29">
        <f>B114</f>
        <v/>
      </c>
      <c r="G114" s="29">
        <f>B114</f>
        <v/>
      </c>
      <c r="H114" s="29" t="inlineStr">
        <is>
          <t>럭키</t>
        </is>
      </c>
      <c r="I114" s="29" t="inlineStr">
        <is>
          <t>吉利蛋</t>
        </is>
      </c>
      <c r="J114" s="29">
        <f>I114</f>
        <v/>
      </c>
      <c r="K114" s="29">
        <f>F114</f>
        <v/>
      </c>
    </row>
    <row r="115">
      <c r="A115" s="29">
        <f>CONCATENATE("NAME_PkMn_", UPPER(B115))</f>
        <v/>
      </c>
      <c r="B115" s="29" t="inlineStr">
        <is>
          <t>Tangela</t>
        </is>
      </c>
      <c r="C115" s="29" t="inlineStr">
        <is>
          <t>モンジャラ</t>
        </is>
      </c>
      <c r="D115" s="29" t="inlineStr">
        <is>
          <t>Saquedeneu</t>
        </is>
      </c>
      <c r="E115" s="29">
        <f>B115</f>
        <v/>
      </c>
      <c r="F115" s="29">
        <f>B115</f>
        <v/>
      </c>
      <c r="G115" s="29">
        <f>B115</f>
        <v/>
      </c>
      <c r="H115" s="29" t="inlineStr">
        <is>
          <t>덩구리</t>
        </is>
      </c>
      <c r="I115" s="29" t="inlineStr">
        <is>
          <t>蔓藤怪</t>
        </is>
      </c>
      <c r="J115" s="29">
        <f>I115</f>
        <v/>
      </c>
      <c r="K115" s="29">
        <f>F115</f>
        <v/>
      </c>
    </row>
    <row r="116">
      <c r="A116" s="29">
        <f>CONCATENATE("NAME_PkMn_", UPPER(B116))</f>
        <v/>
      </c>
      <c r="B116" s="29" t="inlineStr">
        <is>
          <t>Kangaskhan</t>
        </is>
      </c>
      <c r="C116" s="29" t="inlineStr">
        <is>
          <t>ガルーラ</t>
        </is>
      </c>
      <c r="D116" s="29" t="inlineStr">
        <is>
          <t>Kangourex</t>
        </is>
      </c>
      <c r="E116" s="29" t="inlineStr">
        <is>
          <t>Kangama</t>
        </is>
      </c>
      <c r="F116" s="29">
        <f>B116</f>
        <v/>
      </c>
      <c r="G116" s="29">
        <f>B116</f>
        <v/>
      </c>
      <c r="H116" s="29" t="inlineStr">
        <is>
          <t>캥카</t>
        </is>
      </c>
      <c r="I116" s="29">
        <f>IFERROR(__xludf.DUMMYFUNCTION("GOOGLETRANSLATE(J116,""zh_HANS"",""zh_HANT"")"),"袋獸")</f>
        <v/>
      </c>
      <c r="J116" s="29" t="inlineStr">
        <is>
          <t>袋兽</t>
        </is>
      </c>
      <c r="K116" s="29">
        <f>F116</f>
        <v/>
      </c>
    </row>
    <row r="117">
      <c r="A117" s="29">
        <f>CONCATENATE("NAME_PkMn_", UPPER(B117))</f>
        <v/>
      </c>
      <c r="B117" s="29" t="inlineStr">
        <is>
          <t>Horsea</t>
        </is>
      </c>
      <c r="C117" s="29" t="inlineStr">
        <is>
          <t>タッツー</t>
        </is>
      </c>
      <c r="D117" s="29" t="inlineStr">
        <is>
          <t>Hypotrempe</t>
        </is>
      </c>
      <c r="E117" s="29" t="inlineStr">
        <is>
          <t>Seeper</t>
        </is>
      </c>
      <c r="F117" s="29">
        <f>B117</f>
        <v/>
      </c>
      <c r="G117" s="29">
        <f>B117</f>
        <v/>
      </c>
      <c r="H117" s="29" t="inlineStr">
        <is>
          <t>쏘드라</t>
        </is>
      </c>
      <c r="I117" s="29" t="inlineStr">
        <is>
          <t>墨海馬</t>
        </is>
      </c>
      <c r="J117" s="29">
        <f>IFERROR(__xludf.DUMMYFUNCTION("GOOGLETRANSLATE(I117,""zh_HANT"",""zh_HANS"")"),"墨海马")</f>
        <v/>
      </c>
      <c r="K117" s="29">
        <f>F117</f>
        <v/>
      </c>
    </row>
    <row r="118">
      <c r="A118" s="29">
        <f>CONCATENATE("NAME_PkMn_", UPPER(B118))</f>
        <v/>
      </c>
      <c r="B118" s="29" t="inlineStr">
        <is>
          <t>Seadra</t>
        </is>
      </c>
      <c r="C118" s="29" t="inlineStr">
        <is>
          <t>シードラ</t>
        </is>
      </c>
      <c r="D118" s="29" t="inlineStr">
        <is>
          <t>Hypocéan</t>
        </is>
      </c>
      <c r="E118" s="29" t="inlineStr">
        <is>
          <t>Seemon</t>
        </is>
      </c>
      <c r="F118" s="29">
        <f>B118</f>
        <v/>
      </c>
      <c r="G118" s="29">
        <f>B118</f>
        <v/>
      </c>
      <c r="H118" s="29" t="inlineStr">
        <is>
          <t>시드라</t>
        </is>
      </c>
      <c r="I118" s="29" t="inlineStr">
        <is>
          <t>海刺龍</t>
        </is>
      </c>
      <c r="J118" s="29">
        <f>IFERROR(__xludf.DUMMYFUNCTION("GOOGLETRANSLATE(I118,""zh_HANT"",""zh_HANS"")"),"海刺龙")</f>
        <v/>
      </c>
      <c r="K118" s="29">
        <f>F118</f>
        <v/>
      </c>
    </row>
    <row r="119">
      <c r="A119" s="29">
        <f>CONCATENATE("NAME_PkMn_", UPPER(B119))</f>
        <v/>
      </c>
      <c r="B119" s="29" t="inlineStr">
        <is>
          <t>Goldeen</t>
        </is>
      </c>
      <c r="C119" s="29" t="inlineStr">
        <is>
          <t>トサキント</t>
        </is>
      </c>
      <c r="D119" s="29" t="inlineStr">
        <is>
          <t>Poissirène</t>
        </is>
      </c>
      <c r="E119" s="29" t="inlineStr">
        <is>
          <t>Goldini</t>
        </is>
      </c>
      <c r="F119" s="29">
        <f>B119</f>
        <v/>
      </c>
      <c r="G119" s="29">
        <f>B119</f>
        <v/>
      </c>
      <c r="H119" s="29" t="inlineStr">
        <is>
          <t>콘치</t>
        </is>
      </c>
      <c r="I119" s="29" t="inlineStr">
        <is>
          <t>角金魚</t>
        </is>
      </c>
      <c r="J119" s="29">
        <f>IFERROR(__xludf.DUMMYFUNCTION("GOOGLETRANSLATE(I119,""zh_HANT"",""zh_HANS"")"),"角金鱼")</f>
        <v/>
      </c>
      <c r="K119" s="29">
        <f>F119</f>
        <v/>
      </c>
    </row>
    <row r="120">
      <c r="A120" s="29">
        <f>CONCATENATE("NAME_PkMn_", UPPER(B120))</f>
        <v/>
      </c>
      <c r="B120" s="29" t="inlineStr">
        <is>
          <t>Seaking</t>
        </is>
      </c>
      <c r="C120" s="29" t="inlineStr">
        <is>
          <t>アズマオウ</t>
        </is>
      </c>
      <c r="D120" s="29" t="inlineStr">
        <is>
          <t>Poissoroy</t>
        </is>
      </c>
      <c r="E120" s="29" t="inlineStr">
        <is>
          <t>Golking</t>
        </is>
      </c>
      <c r="F120" s="29">
        <f>B120</f>
        <v/>
      </c>
      <c r="G120" s="29">
        <f>B120</f>
        <v/>
      </c>
      <c r="H120" s="29" t="inlineStr">
        <is>
          <t>왕콘치</t>
        </is>
      </c>
      <c r="I120" s="29" t="inlineStr">
        <is>
          <t>金魚王</t>
        </is>
      </c>
      <c r="J120" s="29">
        <f>IFERROR(__xludf.DUMMYFUNCTION("GOOGLETRANSLATE(I120,""zh_HANT"",""zh_HANS"")"),"金鱼王")</f>
        <v/>
      </c>
      <c r="K120" s="29">
        <f>F120</f>
        <v/>
      </c>
    </row>
    <row r="121">
      <c r="A121" s="29">
        <f>CONCATENATE("NAME_PkMn_", UPPER(B121))</f>
        <v/>
      </c>
      <c r="B121" s="29" t="inlineStr">
        <is>
          <t>Staryu</t>
        </is>
      </c>
      <c r="C121" s="29" t="inlineStr">
        <is>
          <t>ヒトデマン</t>
        </is>
      </c>
      <c r="D121" s="29" t="inlineStr">
        <is>
          <t>Stari</t>
        </is>
      </c>
      <c r="E121" s="29" t="inlineStr">
        <is>
          <t>Sterndu</t>
        </is>
      </c>
      <c r="F121" s="29">
        <f>B121</f>
        <v/>
      </c>
      <c r="G121" s="29">
        <f>B121</f>
        <v/>
      </c>
      <c r="H121" s="29" t="inlineStr">
        <is>
          <t>별가사리</t>
        </is>
      </c>
      <c r="I121" s="29" t="inlineStr">
        <is>
          <t>海星星</t>
        </is>
      </c>
      <c r="J121" s="29">
        <f>I121</f>
        <v/>
      </c>
      <c r="K121" s="29">
        <f>F121</f>
        <v/>
      </c>
    </row>
    <row r="122">
      <c r="A122" s="29">
        <f>CONCATENATE("NAME_PkMn_", UPPER(B122))</f>
        <v/>
      </c>
      <c r="B122" s="29" t="inlineStr">
        <is>
          <t>Starmie</t>
        </is>
      </c>
      <c r="C122" s="29" t="inlineStr">
        <is>
          <t>スターミー</t>
        </is>
      </c>
      <c r="D122" s="29" t="inlineStr">
        <is>
          <t>Staross</t>
        </is>
      </c>
      <c r="E122" s="29">
        <f>B122</f>
        <v/>
      </c>
      <c r="F122" s="29">
        <f>B122</f>
        <v/>
      </c>
      <c r="G122" s="29">
        <f>B122</f>
        <v/>
      </c>
      <c r="H122" s="29" t="inlineStr">
        <is>
          <t>아쿠스타</t>
        </is>
      </c>
      <c r="I122" s="29" t="inlineStr">
        <is>
          <t>寶石海星</t>
        </is>
      </c>
      <c r="J122" s="29">
        <f>IFERROR(__xludf.DUMMYFUNCTION("GOOGLETRANSLATE(I122,""zh_HANT"",""zh_HANS"")"),"宝石海星")</f>
        <v/>
      </c>
      <c r="K122" s="29">
        <f>F122</f>
        <v/>
      </c>
    </row>
    <row r="123">
      <c r="A123" s="29" t="inlineStr">
        <is>
          <t>NAME_PkMn_MRMIME</t>
        </is>
      </c>
      <c r="B123" s="29" t="inlineStr">
        <is>
          <t>Mr. Mime</t>
        </is>
      </c>
      <c r="C123" s="29" t="inlineStr">
        <is>
          <t>バリヤード</t>
        </is>
      </c>
      <c r="D123" s="29" t="inlineStr">
        <is>
          <t>M. Mime</t>
        </is>
      </c>
      <c r="E123" s="29" t="inlineStr">
        <is>
          <t>Pantimos</t>
        </is>
      </c>
      <c r="F123" s="29">
        <f>B123</f>
        <v/>
      </c>
      <c r="G123" s="29">
        <f>B123</f>
        <v/>
      </c>
      <c r="H123" s="29" t="inlineStr">
        <is>
          <t>마임맨</t>
        </is>
      </c>
      <c r="I123" s="29" t="inlineStr">
        <is>
          <t>魔牆人偶</t>
        </is>
      </c>
      <c r="J123" s="29">
        <f>IFERROR(__xludf.DUMMYFUNCTION("GOOGLETRANSLATE(I123,""zh_HANT"",""zh_HANS"")"),"魔墙人偶")</f>
        <v/>
      </c>
      <c r="K123" s="29">
        <f>F123</f>
        <v/>
      </c>
    </row>
    <row r="124">
      <c r="A124" s="29">
        <f>CONCATENATE("NAME_PkMn_", UPPER(B124))</f>
        <v/>
      </c>
      <c r="B124" s="29" t="inlineStr">
        <is>
          <t>Scyther</t>
        </is>
      </c>
      <c r="C124" s="29" t="inlineStr">
        <is>
          <t>ストライク</t>
        </is>
      </c>
      <c r="D124" s="29" t="inlineStr">
        <is>
          <t>Insécateur</t>
        </is>
      </c>
      <c r="E124" s="29" t="inlineStr">
        <is>
          <t>Sichlor</t>
        </is>
      </c>
      <c r="F124" s="29">
        <f>B124</f>
        <v/>
      </c>
      <c r="G124" s="29">
        <f>B124</f>
        <v/>
      </c>
      <c r="H124" s="29" t="inlineStr">
        <is>
          <t>스라크</t>
        </is>
      </c>
      <c r="I124" s="29" t="inlineStr">
        <is>
          <t>飛天螳螂</t>
        </is>
      </c>
      <c r="J124" s="29">
        <f>IFERROR(__xludf.DUMMYFUNCTION("GOOGLETRANSLATE(I124,""zh_HANT"",""zh_HANS"")"),"飞天螳螂")</f>
        <v/>
      </c>
      <c r="K124" s="29">
        <f>F124</f>
        <v/>
      </c>
    </row>
    <row r="125">
      <c r="A125" s="29">
        <f>CONCATENATE("NAME_PkMn_", UPPER(B125))</f>
        <v/>
      </c>
      <c r="B125" s="29" t="inlineStr">
        <is>
          <t>Jynx</t>
        </is>
      </c>
      <c r="C125" s="29" t="inlineStr">
        <is>
          <t>ルージュラ</t>
        </is>
      </c>
      <c r="D125" s="29" t="inlineStr">
        <is>
          <t>Lippoutou</t>
        </is>
      </c>
      <c r="E125" s="29" t="inlineStr">
        <is>
          <t>Rossana</t>
        </is>
      </c>
      <c r="F125" s="29">
        <f>B125</f>
        <v/>
      </c>
      <c r="G125" s="29">
        <f>B125</f>
        <v/>
      </c>
      <c r="H125" s="29" t="inlineStr">
        <is>
          <t>루주라</t>
        </is>
      </c>
      <c r="I125" s="29" t="inlineStr">
        <is>
          <t>迷唇姐</t>
        </is>
      </c>
      <c r="J125" s="29">
        <f>I125</f>
        <v/>
      </c>
      <c r="K125" s="29">
        <f>F125</f>
        <v/>
      </c>
    </row>
    <row r="126">
      <c r="A126" s="29">
        <f>CONCATENATE("NAME_PkMn_", UPPER(B126))</f>
        <v/>
      </c>
      <c r="B126" s="29" t="inlineStr">
        <is>
          <t>Electabuzz</t>
        </is>
      </c>
      <c r="C126" s="29" t="inlineStr">
        <is>
          <t>エレブー</t>
        </is>
      </c>
      <c r="D126" s="29" t="inlineStr">
        <is>
          <t>Élektek</t>
        </is>
      </c>
      <c r="E126" s="29" t="inlineStr">
        <is>
          <t>Elektek</t>
        </is>
      </c>
      <c r="F126" s="29">
        <f>B126</f>
        <v/>
      </c>
      <c r="G126" s="29">
        <f>B126</f>
        <v/>
      </c>
      <c r="H126" s="29" t="inlineStr">
        <is>
          <t>에레브</t>
        </is>
      </c>
      <c r="I126" s="29" t="inlineStr">
        <is>
          <t>電擊獸</t>
        </is>
      </c>
      <c r="J126" s="29">
        <f>IFERROR(__xludf.DUMMYFUNCTION("GOOGLETRANSLATE(I126,""zh_HANT"",""zh_HANS"")"),"电击兽")</f>
        <v/>
      </c>
      <c r="K126" s="29">
        <f>F126</f>
        <v/>
      </c>
    </row>
    <row r="127">
      <c r="A127" s="29">
        <f>CONCATENATE("NAME_PkMn_", UPPER(B127))</f>
        <v/>
      </c>
      <c r="B127" s="29" t="inlineStr">
        <is>
          <t>Magmar</t>
        </is>
      </c>
      <c r="C127" s="29" t="inlineStr">
        <is>
          <t>ブーバー</t>
        </is>
      </c>
      <c r="D127" s="29">
        <f>B127</f>
        <v/>
      </c>
      <c r="E127" s="29">
        <f>B127</f>
        <v/>
      </c>
      <c r="F127" s="29">
        <f>B127</f>
        <v/>
      </c>
      <c r="G127" s="29">
        <f>B127</f>
        <v/>
      </c>
      <c r="H127" s="29" t="inlineStr">
        <is>
          <t>마그마</t>
        </is>
      </c>
      <c r="I127" s="29" t="inlineStr">
        <is>
          <t>鴨嘴火獸</t>
        </is>
      </c>
      <c r="J127" s="29">
        <f>IFERROR(__xludf.DUMMYFUNCTION("GOOGLETRANSLATE(I127,""zh_HANT"",""zh_HANS"")"),"鸭嘴火兽")</f>
        <v/>
      </c>
      <c r="K127" s="29">
        <f>F127</f>
        <v/>
      </c>
    </row>
    <row r="128">
      <c r="A128" s="29">
        <f>CONCATENATE("NAME_PkMn_", UPPER(B128))</f>
        <v/>
      </c>
      <c r="B128" s="29" t="inlineStr">
        <is>
          <t>Pinsir</t>
        </is>
      </c>
      <c r="C128" s="29" t="inlineStr">
        <is>
          <t>カイロス</t>
        </is>
      </c>
      <c r="D128" s="29" t="inlineStr">
        <is>
          <t>Scarabrute</t>
        </is>
      </c>
      <c r="E128" s="29">
        <f>B128</f>
        <v/>
      </c>
      <c r="F128" s="29">
        <f>B128</f>
        <v/>
      </c>
      <c r="G128" s="29">
        <f>B128</f>
        <v/>
      </c>
      <c r="H128" s="29" t="inlineStr">
        <is>
          <t>쁘사이저</t>
        </is>
      </c>
      <c r="I128" s="29">
        <f>IFERROR(__xludf.DUMMYFUNCTION("GOOGLETRANSLATE(J128,""zh_HANS"",""zh_HANT"")"),"凱羅斯")</f>
        <v/>
      </c>
      <c r="J128" s="29" t="inlineStr">
        <is>
          <t>凯罗斯</t>
        </is>
      </c>
      <c r="K128" s="29">
        <f>F128</f>
        <v/>
      </c>
    </row>
    <row r="129">
      <c r="A129" s="29">
        <f>CONCATENATE("NAME_PkMn_", UPPER(B129))</f>
        <v/>
      </c>
      <c r="B129" s="29" t="inlineStr">
        <is>
          <t>Tauros</t>
        </is>
      </c>
      <c r="C129" s="29" t="inlineStr">
        <is>
          <t>ケンタロス</t>
        </is>
      </c>
      <c r="D129" s="29">
        <f>B129</f>
        <v/>
      </c>
      <c r="E129" s="29">
        <f>B129</f>
        <v/>
      </c>
      <c r="F129" s="29">
        <f>B129</f>
        <v/>
      </c>
      <c r="G129" s="29">
        <f>B129</f>
        <v/>
      </c>
      <c r="H129" s="29" t="inlineStr">
        <is>
          <t>켄타로스</t>
        </is>
      </c>
      <c r="I129" s="29" t="inlineStr">
        <is>
          <t>肯泰羅</t>
        </is>
      </c>
      <c r="J129" s="29">
        <f>IFERROR(__xludf.DUMMYFUNCTION("GOOGLETRANSLATE(I129,""zh_HANT"",""zh_HANS"")"),"肯泰罗")</f>
        <v/>
      </c>
      <c r="K129" s="29">
        <f>F129</f>
        <v/>
      </c>
    </row>
    <row r="130">
      <c r="A130" s="29">
        <f>CONCATENATE("NAME_PkMn_", UPPER(B130))</f>
        <v/>
      </c>
      <c r="B130" s="29" t="inlineStr">
        <is>
          <t>Magikarp</t>
        </is>
      </c>
      <c r="C130" s="29" t="inlineStr">
        <is>
          <t>コイキング</t>
        </is>
      </c>
      <c r="D130" s="29" t="inlineStr">
        <is>
          <t>Magicarpe</t>
        </is>
      </c>
      <c r="E130" s="29">
        <f>B130</f>
        <v/>
      </c>
      <c r="F130" s="29">
        <f>B130</f>
        <v/>
      </c>
      <c r="G130" s="29">
        <f>B130</f>
        <v/>
      </c>
      <c r="H130" s="29" t="inlineStr">
        <is>
          <t>잉어킹</t>
        </is>
      </c>
      <c r="I130" s="29" t="inlineStr">
        <is>
          <t>鯉魚王</t>
        </is>
      </c>
      <c r="J130" s="29">
        <f>IFERROR(__xludf.DUMMYFUNCTION("GOOGLETRANSLATE(I130,""zh_HANT"",""zh_HANS"")"),"鲤鱼王")</f>
        <v/>
      </c>
      <c r="K130" s="29">
        <f>F130</f>
        <v/>
      </c>
    </row>
    <row r="131">
      <c r="A131" s="29">
        <f>CONCATENATE("NAME_PkMn_", UPPER(B131))</f>
        <v/>
      </c>
      <c r="B131" s="29" t="inlineStr">
        <is>
          <t>Gyarados</t>
        </is>
      </c>
      <c r="C131" s="29" t="inlineStr">
        <is>
          <t>ギャラドス</t>
        </is>
      </c>
      <c r="D131" s="29" t="inlineStr">
        <is>
          <t>Léviator</t>
        </is>
      </c>
      <c r="E131" s="29" t="inlineStr">
        <is>
          <t>Garados</t>
        </is>
      </c>
      <c r="F131" s="29">
        <f>B131</f>
        <v/>
      </c>
      <c r="G131" s="29">
        <f>B131</f>
        <v/>
      </c>
      <c r="H131" s="29" t="inlineStr">
        <is>
          <t>갸라도스</t>
        </is>
      </c>
      <c r="I131" s="29">
        <f>IFERROR(__xludf.DUMMYFUNCTION("GOOGLETRANSLATE(J131,""zh_HANS"",""zh_HANT"")"),"暴鯉龍")</f>
        <v/>
      </c>
      <c r="J131" s="29" t="inlineStr">
        <is>
          <t>暴鲤龙</t>
        </is>
      </c>
      <c r="K131" s="29">
        <f>F131</f>
        <v/>
      </c>
    </row>
    <row r="132">
      <c r="A132" s="29">
        <f>CONCATENATE("NAME_PkMn_", UPPER(B132))</f>
        <v/>
      </c>
      <c r="B132" s="29" t="inlineStr">
        <is>
          <t>Lapras</t>
        </is>
      </c>
      <c r="C132" s="29" t="inlineStr">
        <is>
          <t>ラプラス</t>
        </is>
      </c>
      <c r="D132" s="29" t="inlineStr">
        <is>
          <t>Lokhlass</t>
        </is>
      </c>
      <c r="E132" s="29">
        <f>B132</f>
        <v/>
      </c>
      <c r="F132" s="29">
        <f>B132</f>
        <v/>
      </c>
      <c r="G132" s="29">
        <f>B132</f>
        <v/>
      </c>
      <c r="H132" s="29" t="inlineStr">
        <is>
          <t>라프라스</t>
        </is>
      </c>
      <c r="I132" s="29" t="inlineStr">
        <is>
          <t>拉普拉斯</t>
        </is>
      </c>
      <c r="J132" s="29">
        <f>I132</f>
        <v/>
      </c>
      <c r="K132" s="29">
        <f>F132</f>
        <v/>
      </c>
    </row>
    <row r="133">
      <c r="A133" s="29">
        <f>CONCATENATE("NAME_PkMn_", UPPER(B133))</f>
        <v/>
      </c>
      <c r="B133" s="29" t="inlineStr">
        <is>
          <t>Ditto</t>
        </is>
      </c>
      <c r="C133" s="29" t="inlineStr">
        <is>
          <t>メタモン</t>
        </is>
      </c>
      <c r="D133" s="29" t="inlineStr">
        <is>
          <t>Métamorph</t>
        </is>
      </c>
      <c r="E133" s="29">
        <f>B133</f>
        <v/>
      </c>
      <c r="F133" s="29">
        <f>B133</f>
        <v/>
      </c>
      <c r="G133" s="29">
        <f>B133</f>
        <v/>
      </c>
      <c r="H133" s="29" t="inlineStr">
        <is>
          <t>메타몽</t>
        </is>
      </c>
      <c r="I133" s="29" t="inlineStr">
        <is>
          <t>百變怪</t>
        </is>
      </c>
      <c r="J133" s="29">
        <f>IFERROR(__xludf.DUMMYFUNCTION("GOOGLETRANSLATE(I133,""zh_HANT"",""zh_HANS"")"),"百变怪")</f>
        <v/>
      </c>
      <c r="K133" s="29">
        <f>F133</f>
        <v/>
      </c>
    </row>
    <row r="134">
      <c r="A134" s="29">
        <f>CONCATENATE("NAME_PkMn_", UPPER(B134))</f>
        <v/>
      </c>
      <c r="B134" s="29" t="inlineStr">
        <is>
          <t>Eevee</t>
        </is>
      </c>
      <c r="C134" s="29" t="inlineStr">
        <is>
          <t>イーブイ</t>
        </is>
      </c>
      <c r="D134" s="29" t="inlineStr">
        <is>
          <t>Évoli</t>
        </is>
      </c>
      <c r="E134" s="29" t="inlineStr">
        <is>
          <t>Evoli</t>
        </is>
      </c>
      <c r="F134" s="29">
        <f>B134</f>
        <v/>
      </c>
      <c r="G134" s="29">
        <f>B134</f>
        <v/>
      </c>
      <c r="H134" s="29" t="inlineStr">
        <is>
          <t>이브이</t>
        </is>
      </c>
      <c r="I134" s="29">
        <f>J134</f>
        <v/>
      </c>
      <c r="J134" s="29" t="inlineStr">
        <is>
          <t>伊布</t>
        </is>
      </c>
      <c r="K134" s="29">
        <f>F134</f>
        <v/>
      </c>
    </row>
    <row r="135">
      <c r="A135" s="29">
        <f>CONCATENATE("NAME_PkMn_", UPPER(B135))</f>
        <v/>
      </c>
      <c r="B135" s="29" t="inlineStr">
        <is>
          <t>Vaporeon</t>
        </is>
      </c>
      <c r="C135" s="29" t="inlineStr">
        <is>
          <t>シャワーズ</t>
        </is>
      </c>
      <c r="D135" s="29" t="inlineStr">
        <is>
          <t>Aquali</t>
        </is>
      </c>
      <c r="E135" s="29" t="inlineStr">
        <is>
          <t>Aquana</t>
        </is>
      </c>
      <c r="F135" s="29">
        <f>B135</f>
        <v/>
      </c>
      <c r="G135" s="29">
        <f>B135</f>
        <v/>
      </c>
      <c r="H135" s="29" t="inlineStr">
        <is>
          <t>샤미드</t>
        </is>
      </c>
      <c r="I135" s="29" t="inlineStr">
        <is>
          <t>水伊布</t>
        </is>
      </c>
      <c r="J135" s="29">
        <f>I135</f>
        <v/>
      </c>
      <c r="K135" s="29">
        <f>F135</f>
        <v/>
      </c>
    </row>
    <row r="136">
      <c r="A136" s="29">
        <f>CONCATENATE("NAME_PkMn_", UPPER(B136))</f>
        <v/>
      </c>
      <c r="B136" s="29" t="inlineStr">
        <is>
          <t>Jolteon</t>
        </is>
      </c>
      <c r="C136" s="29" t="inlineStr">
        <is>
          <t>サンダース</t>
        </is>
      </c>
      <c r="D136" s="29" t="inlineStr">
        <is>
          <t>Voltali</t>
        </is>
      </c>
      <c r="E136" s="29" t="inlineStr">
        <is>
          <t>Blitza</t>
        </is>
      </c>
      <c r="F136" s="29">
        <f>B136</f>
        <v/>
      </c>
      <c r="G136" s="29">
        <f>B136</f>
        <v/>
      </c>
      <c r="H136" s="29" t="inlineStr">
        <is>
          <t>쥬피썬더</t>
        </is>
      </c>
      <c r="I136" s="29" t="inlineStr">
        <is>
          <t>雷伊布</t>
        </is>
      </c>
      <c r="J136" s="29">
        <f>I136</f>
        <v/>
      </c>
      <c r="K136" s="29">
        <f>F136</f>
        <v/>
      </c>
    </row>
    <row r="137">
      <c r="A137" s="29">
        <f>CONCATENATE("NAME_PkMn_", UPPER(B137))</f>
        <v/>
      </c>
      <c r="B137" s="29" t="inlineStr">
        <is>
          <t>Flareon</t>
        </is>
      </c>
      <c r="C137" s="29" t="inlineStr">
        <is>
          <t>ブースター</t>
        </is>
      </c>
      <c r="D137" s="29" t="inlineStr">
        <is>
          <t>Pyroli</t>
        </is>
      </c>
      <c r="E137" s="29" t="inlineStr">
        <is>
          <t>Flamara</t>
        </is>
      </c>
      <c r="F137" s="29">
        <f>B137</f>
        <v/>
      </c>
      <c r="G137" s="29">
        <f>B137</f>
        <v/>
      </c>
      <c r="H137" s="29" t="inlineStr">
        <is>
          <t>부스터</t>
        </is>
      </c>
      <c r="I137" s="29" t="inlineStr">
        <is>
          <t>火伊布</t>
        </is>
      </c>
      <c r="J137" s="29">
        <f>I137</f>
        <v/>
      </c>
      <c r="K137" s="29">
        <f>F137</f>
        <v/>
      </c>
    </row>
    <row r="138">
      <c r="A138" s="29">
        <f>CONCATENATE("NAME_PkMn_", UPPER(B138))</f>
        <v/>
      </c>
      <c r="B138" s="29" t="inlineStr">
        <is>
          <t>Porygon</t>
        </is>
      </c>
      <c r="C138" s="29" t="inlineStr">
        <is>
          <t>ポリゴン</t>
        </is>
      </c>
      <c r="D138" s="29">
        <f>B138</f>
        <v/>
      </c>
      <c r="E138" s="29">
        <f>B138</f>
        <v/>
      </c>
      <c r="F138" s="29">
        <f>B138</f>
        <v/>
      </c>
      <c r="G138" s="29">
        <f>B138</f>
        <v/>
      </c>
      <c r="H138" s="29" t="inlineStr">
        <is>
          <t>폴리곤</t>
        </is>
      </c>
      <c r="I138" s="29">
        <f>IFERROR(__xludf.DUMMYFUNCTION("GOOGLETRANSLATE(J138,""zh_HANS"",""zh_HANT"")"),"多邊獸")</f>
        <v/>
      </c>
      <c r="J138" s="29" t="inlineStr">
        <is>
          <t>多边兽</t>
        </is>
      </c>
      <c r="K138" s="29">
        <f>F138</f>
        <v/>
      </c>
    </row>
    <row r="139">
      <c r="A139" s="29">
        <f>CONCATENATE("NAME_PkMn_", UPPER(B139))</f>
        <v/>
      </c>
      <c r="B139" s="29" t="inlineStr">
        <is>
          <t>Omanyte</t>
        </is>
      </c>
      <c r="C139" s="29" t="inlineStr">
        <is>
          <t>オムナイト</t>
        </is>
      </c>
      <c r="D139" s="29" t="inlineStr">
        <is>
          <t>Amonita</t>
        </is>
      </c>
      <c r="E139" s="29" t="inlineStr">
        <is>
          <t>Amonitas</t>
        </is>
      </c>
      <c r="F139" s="29">
        <f>B139</f>
        <v/>
      </c>
      <c r="G139" s="29">
        <f>B139</f>
        <v/>
      </c>
      <c r="H139" s="29" t="inlineStr">
        <is>
          <t>암나이트</t>
        </is>
      </c>
      <c r="I139" s="29" t="inlineStr">
        <is>
          <t>菊石獸</t>
        </is>
      </c>
      <c r="J139" s="29">
        <f>IFERROR(__xludf.DUMMYFUNCTION("GOOGLETRANSLATE(I139,""zh_HANT"",""zh_HANS"")"),"菊石兽")</f>
        <v/>
      </c>
      <c r="K139" s="29">
        <f>F139</f>
        <v/>
      </c>
    </row>
    <row r="140">
      <c r="A140" s="29">
        <f>CONCATENATE("NAME_PkMn_", UPPER(B140))</f>
        <v/>
      </c>
      <c r="B140" s="29" t="inlineStr">
        <is>
          <t>Omastar</t>
        </is>
      </c>
      <c r="C140" s="29" t="inlineStr">
        <is>
          <t>オムスター</t>
        </is>
      </c>
      <c r="D140" s="29" t="inlineStr">
        <is>
          <t>Amonistar</t>
        </is>
      </c>
      <c r="E140" s="29" t="inlineStr">
        <is>
          <t>Amoroso</t>
        </is>
      </c>
      <c r="F140" s="29">
        <f>B140</f>
        <v/>
      </c>
      <c r="G140" s="29">
        <f>B140</f>
        <v/>
      </c>
      <c r="H140" s="29" t="inlineStr">
        <is>
          <t>암스타</t>
        </is>
      </c>
      <c r="I140" s="29" t="inlineStr">
        <is>
          <t>多刺菊石獸</t>
        </is>
      </c>
      <c r="J140" s="29">
        <f>IFERROR(__xludf.DUMMYFUNCTION("GOOGLETRANSLATE(I140,""zh_HANT"",""zh_HANS"")"),"多刺菊石兽")</f>
        <v/>
      </c>
      <c r="K140" s="29">
        <f>F140</f>
        <v/>
      </c>
    </row>
    <row r="141">
      <c r="A141" s="29">
        <f>CONCATENATE("NAME_PkMn_", UPPER(B141))</f>
        <v/>
      </c>
      <c r="B141" s="29" t="inlineStr">
        <is>
          <t>Kabuto</t>
        </is>
      </c>
      <c r="C141" s="29" t="inlineStr">
        <is>
          <t>カブト</t>
        </is>
      </c>
      <c r="D141" s="29">
        <f>B141</f>
        <v/>
      </c>
      <c r="E141" s="29">
        <f>B141</f>
        <v/>
      </c>
      <c r="F141" s="29">
        <f>B141</f>
        <v/>
      </c>
      <c r="G141" s="29">
        <f>B141</f>
        <v/>
      </c>
      <c r="H141" s="29" t="inlineStr">
        <is>
          <t>투구</t>
        </is>
      </c>
      <c r="I141" s="29" t="inlineStr">
        <is>
          <t>化石盔</t>
        </is>
      </c>
      <c r="J141" s="29">
        <f>I141</f>
        <v/>
      </c>
      <c r="K141" s="29">
        <f>F141</f>
        <v/>
      </c>
    </row>
    <row r="142">
      <c r="A142" s="29">
        <f>CONCATENATE("NAME_PkMn_", UPPER(B142))</f>
        <v/>
      </c>
      <c r="B142" s="29" t="inlineStr">
        <is>
          <t>Kabutops</t>
        </is>
      </c>
      <c r="C142" s="29" t="inlineStr">
        <is>
          <t>カブトプス</t>
        </is>
      </c>
      <c r="D142" s="29">
        <f>B142</f>
        <v/>
      </c>
      <c r="E142" s="29">
        <f>B142</f>
        <v/>
      </c>
      <c r="F142" s="29">
        <f>B142</f>
        <v/>
      </c>
      <c r="G142" s="29">
        <f>B142</f>
        <v/>
      </c>
      <c r="H142" s="29" t="inlineStr">
        <is>
          <t>투구푸스</t>
        </is>
      </c>
      <c r="I142" s="29" t="inlineStr">
        <is>
          <t>鐮刀盔</t>
        </is>
      </c>
      <c r="J142" s="29">
        <f>IFERROR(__xludf.DUMMYFUNCTION("GOOGLETRANSLATE(I142,""zh_HANT"",""zh_HANS"")"),"镰刀盔")</f>
        <v/>
      </c>
      <c r="K142" s="29">
        <f>F142</f>
        <v/>
      </c>
    </row>
    <row r="143">
      <c r="A143" s="29">
        <f>CONCATENATE("NAME_PkMn_", UPPER(B143))</f>
        <v/>
      </c>
      <c r="B143" s="29" t="inlineStr">
        <is>
          <t>Aerodactyl</t>
        </is>
      </c>
      <c r="C143" s="29" t="inlineStr">
        <is>
          <t>プテラ</t>
        </is>
      </c>
      <c r="D143" s="29" t="inlineStr">
        <is>
          <t>Ptéra</t>
        </is>
      </c>
      <c r="E143" s="29">
        <f>B143</f>
        <v/>
      </c>
      <c r="F143" s="29">
        <f>B143</f>
        <v/>
      </c>
      <c r="G143" s="29">
        <f>B143</f>
        <v/>
      </c>
      <c r="H143" s="29" t="inlineStr">
        <is>
          <t>프테라</t>
        </is>
      </c>
      <c r="I143" s="29">
        <f>IFERROR(__xludf.DUMMYFUNCTION("GOOGLETRANSLATE(J143,""zh_HANS"",""zh_HANT"")"),"化石翼龍")</f>
        <v/>
      </c>
      <c r="J143" s="29" t="inlineStr">
        <is>
          <t>化石翼龙</t>
        </is>
      </c>
      <c r="K143" s="29">
        <f>F143</f>
        <v/>
      </c>
    </row>
    <row r="144">
      <c r="A144" s="29">
        <f>CONCATENATE("NAME_PkMn_", UPPER(B144))</f>
        <v/>
      </c>
      <c r="B144" s="29" t="inlineStr">
        <is>
          <t>Snorlax</t>
        </is>
      </c>
      <c r="C144" s="29" t="inlineStr">
        <is>
          <t>カビゴン</t>
        </is>
      </c>
      <c r="D144" s="29" t="inlineStr">
        <is>
          <t>Ronflex</t>
        </is>
      </c>
      <c r="E144" s="29" t="inlineStr">
        <is>
          <t>Relaxo</t>
        </is>
      </c>
      <c r="F144" s="29">
        <f>B144</f>
        <v/>
      </c>
      <c r="G144" s="29">
        <f>B144</f>
        <v/>
      </c>
      <c r="H144" s="29" t="inlineStr">
        <is>
          <t>잠만보</t>
        </is>
      </c>
      <c r="I144" s="29">
        <f>IFERROR(__xludf.DUMMYFUNCTION("GOOGLETRANSLATE(J144,""zh_HANS"",""zh_HANT"")"),"卡比獸")</f>
        <v/>
      </c>
      <c r="J144" s="29" t="inlineStr">
        <is>
          <t>卡比兽</t>
        </is>
      </c>
      <c r="K144" s="29">
        <f>F144</f>
        <v/>
      </c>
    </row>
    <row r="145">
      <c r="A145" s="29">
        <f>CONCATENATE("NAME_PkMn_", UPPER(B145))</f>
        <v/>
      </c>
      <c r="B145" s="29" t="inlineStr">
        <is>
          <t>Articuno</t>
        </is>
      </c>
      <c r="C145" s="29" t="inlineStr">
        <is>
          <t>フリーザー</t>
        </is>
      </c>
      <c r="D145" s="29" t="inlineStr">
        <is>
          <t>Artikodin</t>
        </is>
      </c>
      <c r="E145" s="29" t="inlineStr">
        <is>
          <t>Arktos</t>
        </is>
      </c>
      <c r="F145" s="29">
        <f>B145</f>
        <v/>
      </c>
      <c r="G145" s="29">
        <f>B145</f>
        <v/>
      </c>
      <c r="H145" s="29" t="inlineStr">
        <is>
          <t>프리져</t>
        </is>
      </c>
      <c r="I145" s="29" t="inlineStr">
        <is>
          <t>急凍鳥</t>
        </is>
      </c>
      <c r="J145" s="29">
        <f>IFERROR(__xludf.DUMMYFUNCTION("GOOGLETRANSLATE(I145,""zh_HANT"",""zh_HANS"")"),"急冻鸟")</f>
        <v/>
      </c>
      <c r="K145" s="29">
        <f>F145</f>
        <v/>
      </c>
    </row>
    <row r="146">
      <c r="A146" s="29">
        <f>CONCATENATE("NAME_PkMn_", UPPER(B146))</f>
        <v/>
      </c>
      <c r="B146" s="29" t="inlineStr">
        <is>
          <t>Zapdos</t>
        </is>
      </c>
      <c r="C146" s="29" t="inlineStr">
        <is>
          <t>サンダー</t>
        </is>
      </c>
      <c r="D146" s="29" t="inlineStr">
        <is>
          <t>Électhor</t>
        </is>
      </c>
      <c r="E146" s="29" t="inlineStr">
        <is>
          <t>Zapdos</t>
        </is>
      </c>
      <c r="F146" s="29">
        <f>B146</f>
        <v/>
      </c>
      <c r="G146" s="29">
        <f>B146</f>
        <v/>
      </c>
      <c r="H146" s="29" t="inlineStr">
        <is>
          <t>썬더</t>
        </is>
      </c>
      <c r="I146" s="29" t="inlineStr">
        <is>
          <t>閃電鳥</t>
        </is>
      </c>
      <c r="J146" s="29">
        <f>IFERROR(__xludf.DUMMYFUNCTION("GOOGLETRANSLATE(I146,""zh_HANT"",""zh_HANS"")"),"闪电鸟")</f>
        <v/>
      </c>
      <c r="K146" s="29">
        <f>F146</f>
        <v/>
      </c>
    </row>
    <row r="147">
      <c r="A147" s="29">
        <f>CONCATENATE("NAME_PkMn_", UPPER(B147))</f>
        <v/>
      </c>
      <c r="B147" s="29" t="inlineStr">
        <is>
          <t>Moltres</t>
        </is>
      </c>
      <c r="C147" s="29" t="inlineStr">
        <is>
          <t>ファイヤー</t>
        </is>
      </c>
      <c r="D147" s="29" t="inlineStr">
        <is>
          <t>Sulfura</t>
        </is>
      </c>
      <c r="E147" s="29" t="inlineStr">
        <is>
          <t>Lavados</t>
        </is>
      </c>
      <c r="F147" s="29">
        <f>B147</f>
        <v/>
      </c>
      <c r="G147" s="29">
        <f>B147</f>
        <v/>
      </c>
      <c r="H147" s="29" t="inlineStr">
        <is>
          <t>파이어</t>
        </is>
      </c>
      <c r="I147" s="29" t="inlineStr">
        <is>
          <t>火焰鳥</t>
        </is>
      </c>
      <c r="J147" s="29">
        <f>IFERROR(__xludf.DUMMYFUNCTION("GOOGLETRANSLATE(I147,""zh_HANT"",""zh_HANS"")"),"火焰鸟")</f>
        <v/>
      </c>
      <c r="K147" s="29">
        <f>F147</f>
        <v/>
      </c>
    </row>
    <row r="148">
      <c r="A148" s="29">
        <f>CONCATENATE("NAME_PkMn_", UPPER(B148))</f>
        <v/>
      </c>
      <c r="B148" s="29" t="inlineStr">
        <is>
          <t>Dratini</t>
        </is>
      </c>
      <c r="C148" s="29" t="inlineStr">
        <is>
          <t>ミニリュウ</t>
        </is>
      </c>
      <c r="D148" s="29" t="inlineStr">
        <is>
          <t>Minidraco</t>
        </is>
      </c>
      <c r="E148" s="29">
        <f>B148</f>
        <v/>
      </c>
      <c r="F148" s="29">
        <f>B148</f>
        <v/>
      </c>
      <c r="G148" s="29">
        <f>B148</f>
        <v/>
      </c>
      <c r="H148" s="29" t="inlineStr">
        <is>
          <t>미뇽</t>
        </is>
      </c>
      <c r="I148" s="29" t="inlineStr">
        <is>
          <t>迷你龍</t>
        </is>
      </c>
      <c r="J148" s="29">
        <f>IFERROR(__xludf.DUMMYFUNCTION("GOOGLETRANSLATE(I148,""zh_HANT"",""zh_HANS"")"),"迷你龙")</f>
        <v/>
      </c>
      <c r="K148" s="29">
        <f>F148</f>
        <v/>
      </c>
    </row>
    <row r="149">
      <c r="A149" s="29">
        <f>CONCATENATE("NAME_PkMn_", UPPER(B149))</f>
        <v/>
      </c>
      <c r="B149" s="29" t="inlineStr">
        <is>
          <t>Dragonair</t>
        </is>
      </c>
      <c r="C149" s="29" t="inlineStr">
        <is>
          <t>ハクリュウ</t>
        </is>
      </c>
      <c r="D149" s="29" t="inlineStr">
        <is>
          <t>Draco</t>
        </is>
      </c>
      <c r="E149" s="29" t="inlineStr">
        <is>
          <t>Dragonir</t>
        </is>
      </c>
      <c r="F149" s="29">
        <f>B149</f>
        <v/>
      </c>
      <c r="G149" s="29">
        <f>B149</f>
        <v/>
      </c>
      <c r="H149" s="29" t="inlineStr">
        <is>
          <t>신뇽</t>
        </is>
      </c>
      <c r="I149" s="29" t="inlineStr">
        <is>
          <t>哈克龍</t>
        </is>
      </c>
      <c r="J149" s="29">
        <f>IFERROR(__xludf.DUMMYFUNCTION("GOOGLETRANSLATE(I149,""zh_HANT"",""zh_HANS"")"),"哈克龙")</f>
        <v/>
      </c>
      <c r="K149" s="29">
        <f>F149</f>
        <v/>
      </c>
    </row>
    <row r="150">
      <c r="A150" s="29">
        <f>CONCATENATE("NAME_PkMn_", UPPER(B150))</f>
        <v/>
      </c>
      <c r="B150" s="29" t="inlineStr">
        <is>
          <t>Dragonite</t>
        </is>
      </c>
      <c r="C150" s="29" t="inlineStr">
        <is>
          <t>カイリュウ</t>
        </is>
      </c>
      <c r="D150" s="29" t="inlineStr">
        <is>
          <t>Dracolosse</t>
        </is>
      </c>
      <c r="E150" s="29" t="inlineStr">
        <is>
          <t>Dragoran</t>
        </is>
      </c>
      <c r="F150" s="29">
        <f>B150</f>
        <v/>
      </c>
      <c r="G150" s="29">
        <f>B150</f>
        <v/>
      </c>
      <c r="H150" s="29" t="inlineStr">
        <is>
          <t>망나뇽</t>
        </is>
      </c>
      <c r="I150" s="29" t="inlineStr">
        <is>
          <t>快龍</t>
        </is>
      </c>
      <c r="J150" s="29">
        <f>IFERROR(__xludf.DUMMYFUNCTION("GOOGLETRANSLATE(I150,""zh_HANT"",""zh_HANS"")"),"快龙")</f>
        <v/>
      </c>
      <c r="K150" s="29">
        <f>F150</f>
        <v/>
      </c>
    </row>
    <row r="151">
      <c r="A151" s="29">
        <f>CONCATENATE("NAME_PkMn_", UPPER(B151))</f>
        <v/>
      </c>
      <c r="B151" s="29" t="inlineStr">
        <is>
          <t>Mewtwo</t>
        </is>
      </c>
      <c r="C151" s="29" t="inlineStr">
        <is>
          <t>ミュウツー</t>
        </is>
      </c>
      <c r="D151" s="29">
        <f>B151</f>
        <v/>
      </c>
      <c r="E151" s="29" t="inlineStr">
        <is>
          <t>Mewtu</t>
        </is>
      </c>
      <c r="F151" s="29">
        <f>B151</f>
        <v/>
      </c>
      <c r="G151" s="29">
        <f>B151</f>
        <v/>
      </c>
      <c r="H151" s="29" t="inlineStr">
        <is>
          <t>뮤츠</t>
        </is>
      </c>
      <c r="I151" s="29">
        <f>IFERROR(__xludf.DUMMYFUNCTION("GOOGLETRANSLATE(J151,""zh_HANS"",""zh_HANT"")"),"超夢")</f>
        <v/>
      </c>
      <c r="J151" s="29" t="inlineStr">
        <is>
          <t>超梦</t>
        </is>
      </c>
      <c r="K151" s="29">
        <f>F151</f>
        <v/>
      </c>
    </row>
    <row r="152">
      <c r="A152" s="29">
        <f>CONCATENATE("NAME_PkMn_", UPPER(B152))</f>
        <v/>
      </c>
      <c r="B152" s="29" t="inlineStr">
        <is>
          <t>Mew</t>
        </is>
      </c>
      <c r="C152" s="29" t="inlineStr">
        <is>
          <t>ミュウ</t>
        </is>
      </c>
      <c r="D152" s="29">
        <f>B152</f>
        <v/>
      </c>
      <c r="E152" s="29">
        <f>B152</f>
        <v/>
      </c>
      <c r="F152" s="29">
        <f>B152</f>
        <v/>
      </c>
      <c r="G152" s="29">
        <f>B152</f>
        <v/>
      </c>
      <c r="H152" s="29" t="inlineStr">
        <is>
          <t>뮤</t>
        </is>
      </c>
      <c r="I152" s="29">
        <f>IFERROR(__xludf.DUMMYFUNCTION("GOOGLETRANSLATE(J152,""zh_HANS"",""zh_HANT"")"),"夢幻")</f>
        <v/>
      </c>
      <c r="J152" s="29" t="inlineStr">
        <is>
          <t>梦幻</t>
        </is>
      </c>
      <c r="K152" s="29">
        <f>F152</f>
        <v/>
      </c>
    </row>
    <row r="153">
      <c r="A153" s="29">
        <f>CONCATENATE("NAME_PkMn_", UPPER(B153))</f>
        <v/>
      </c>
      <c r="B153" s="29" t="inlineStr">
        <is>
          <t>Chikorita</t>
        </is>
      </c>
      <c r="C153" s="29" t="inlineStr">
        <is>
          <t>チコリータ</t>
        </is>
      </c>
      <c r="D153" s="29" t="inlineStr">
        <is>
          <t>Germinion</t>
        </is>
      </c>
      <c r="E153" s="29" t="inlineStr">
        <is>
          <t>Endivie</t>
        </is>
      </c>
      <c r="F153" s="29">
        <f>B153</f>
        <v/>
      </c>
      <c r="G153" s="29">
        <f>B153</f>
        <v/>
      </c>
      <c r="H153" s="29" t="inlineStr">
        <is>
          <t>치코리타</t>
        </is>
      </c>
      <c r="I153" s="29" t="inlineStr">
        <is>
          <t>菊草葉</t>
        </is>
      </c>
      <c r="J153" s="29">
        <f>IFERROR(__xludf.DUMMYFUNCTION("GOOGLETRANSLATE(I153,""zh_HANT"",""zh_HANS"")"),"菊草叶")</f>
        <v/>
      </c>
      <c r="K153" s="29">
        <f>F153</f>
        <v/>
      </c>
    </row>
    <row r="154">
      <c r="A154" s="29">
        <f>CONCATENATE("NAME_PkMn_", UPPER(B154))</f>
        <v/>
      </c>
      <c r="B154" s="29" t="inlineStr">
        <is>
          <t>Bayleef</t>
        </is>
      </c>
      <c r="C154" s="29" t="inlineStr">
        <is>
          <t>ベイリーフ</t>
        </is>
      </c>
      <c r="D154" s="29" t="inlineStr">
        <is>
          <t>Macronium</t>
        </is>
      </c>
      <c r="E154" s="29" t="inlineStr">
        <is>
          <t>Lorblatt</t>
        </is>
      </c>
      <c r="F154" s="29">
        <f>B154</f>
        <v/>
      </c>
      <c r="G154" s="29">
        <f>B154</f>
        <v/>
      </c>
      <c r="H154" s="29" t="inlineStr">
        <is>
          <t>베이리프</t>
        </is>
      </c>
      <c r="I154" s="29" t="inlineStr">
        <is>
          <t>月桂葉</t>
        </is>
      </c>
      <c r="J154" s="29">
        <f>IFERROR(__xludf.DUMMYFUNCTION("GOOGLETRANSLATE(I154,""zh_HANT"",""zh_HANS"")"),"月桂叶")</f>
        <v/>
      </c>
      <c r="K154" s="29">
        <f>F154</f>
        <v/>
      </c>
    </row>
    <row r="155">
      <c r="A155" s="29">
        <f>CONCATENATE("NAME_PkMn_", UPPER(B155))</f>
        <v/>
      </c>
      <c r="B155" s="29" t="inlineStr">
        <is>
          <t>Meganium</t>
        </is>
      </c>
      <c r="C155" s="29" t="inlineStr">
        <is>
          <t>メガニウム</t>
        </is>
      </c>
      <c r="D155" s="29" t="inlineStr">
        <is>
          <t>Méganium</t>
        </is>
      </c>
      <c r="E155" s="29" t="inlineStr">
        <is>
          <t>Meganie</t>
        </is>
      </c>
      <c r="F155" s="29">
        <f>B155</f>
        <v/>
      </c>
      <c r="G155" s="29">
        <f>B155</f>
        <v/>
      </c>
      <c r="H155" s="29" t="inlineStr">
        <is>
          <t>메가니움</t>
        </is>
      </c>
      <c r="I155" s="29" t="inlineStr">
        <is>
          <t>大竺葵</t>
        </is>
      </c>
      <c r="J155" s="29">
        <f>I155</f>
        <v/>
      </c>
      <c r="K155" s="29">
        <f>F155</f>
        <v/>
      </c>
    </row>
    <row r="156">
      <c r="A156" s="29">
        <f>CONCATENATE("NAME_PkMn_", UPPER(B156))</f>
        <v/>
      </c>
      <c r="B156" s="29" t="inlineStr">
        <is>
          <t>Cyndaquil</t>
        </is>
      </c>
      <c r="C156" s="29" t="inlineStr">
        <is>
          <t>ヒノアラシ</t>
        </is>
      </c>
      <c r="D156" s="29" t="inlineStr">
        <is>
          <t>Héricendre</t>
        </is>
      </c>
      <c r="E156" s="29" t="inlineStr">
        <is>
          <t>Feuriegel</t>
        </is>
      </c>
      <c r="F156" s="29">
        <f>B156</f>
        <v/>
      </c>
      <c r="G156" s="29">
        <f>B156</f>
        <v/>
      </c>
      <c r="H156" s="29" t="inlineStr">
        <is>
          <t>브케인</t>
        </is>
      </c>
      <c r="I156" s="29" t="inlineStr">
        <is>
          <t>火球鼠</t>
        </is>
      </c>
      <c r="J156" s="29">
        <f>I156</f>
        <v/>
      </c>
      <c r="K156" s="29">
        <f>F156</f>
        <v/>
      </c>
    </row>
    <row r="157">
      <c r="A157" s="29">
        <f>CONCATENATE("NAME_PkMn_", UPPER(B157))</f>
        <v/>
      </c>
      <c r="B157" s="29" t="inlineStr">
        <is>
          <t>Quilava</t>
        </is>
      </c>
      <c r="C157" s="29" t="inlineStr">
        <is>
          <t>マグマラシ</t>
        </is>
      </c>
      <c r="D157" s="29" t="inlineStr">
        <is>
          <t>Feurisson</t>
        </is>
      </c>
      <c r="E157" s="29" t="inlineStr">
        <is>
          <t>Igelavar</t>
        </is>
      </c>
      <c r="F157" s="29">
        <f>B157</f>
        <v/>
      </c>
      <c r="G157" s="29">
        <f>B157</f>
        <v/>
      </c>
      <c r="H157" s="29" t="inlineStr">
        <is>
          <t>마그케인</t>
        </is>
      </c>
      <c r="I157" s="29" t="inlineStr">
        <is>
          <t>火岩鼠</t>
        </is>
      </c>
      <c r="J157" s="29">
        <f>I157</f>
        <v/>
      </c>
      <c r="K157" s="29">
        <f>F157</f>
        <v/>
      </c>
    </row>
    <row r="158">
      <c r="A158" s="29">
        <f>CONCATENATE("NAME_PkMn_", UPPER(B158))</f>
        <v/>
      </c>
      <c r="B158" s="29" t="inlineStr">
        <is>
          <t>Typhlosion</t>
        </is>
      </c>
      <c r="C158" s="29" t="inlineStr">
        <is>
          <t>バクフーン</t>
        </is>
      </c>
      <c r="D158" s="29">
        <f>B158</f>
        <v/>
      </c>
      <c r="E158" s="29" t="inlineStr">
        <is>
          <t>Tornupto</t>
        </is>
      </c>
      <c r="F158" s="29">
        <f>B158</f>
        <v/>
      </c>
      <c r="G158" s="29">
        <f>B158</f>
        <v/>
      </c>
      <c r="H158" s="29" t="inlineStr">
        <is>
          <t>블레이범</t>
        </is>
      </c>
      <c r="I158" s="29" t="inlineStr">
        <is>
          <t>火爆獸</t>
        </is>
      </c>
      <c r="J158" s="29">
        <f>IFERROR(__xludf.DUMMYFUNCTION("GOOGLETRANSLATE(I158,""zh_HANT"",""zh_HANS"")"),"火爆兽")</f>
        <v/>
      </c>
      <c r="K158" s="29">
        <f>F158</f>
        <v/>
      </c>
    </row>
    <row r="159">
      <c r="A159" s="29">
        <f>CONCATENATE("NAME_PkMn_", UPPER(B159))</f>
        <v/>
      </c>
      <c r="B159" s="29" t="inlineStr">
        <is>
          <t>Totodile</t>
        </is>
      </c>
      <c r="C159" s="29" t="inlineStr">
        <is>
          <t>ワニノコ</t>
        </is>
      </c>
      <c r="D159" s="29" t="inlineStr">
        <is>
          <t>Kaiminus</t>
        </is>
      </c>
      <c r="E159" s="29" t="inlineStr">
        <is>
          <t>Karnimani</t>
        </is>
      </c>
      <c r="F159" s="29">
        <f>B159</f>
        <v/>
      </c>
      <c r="G159" s="29">
        <f>B159</f>
        <v/>
      </c>
      <c r="H159" s="29" t="inlineStr">
        <is>
          <t>리아코</t>
        </is>
      </c>
      <c r="I159" s="29" t="inlineStr">
        <is>
          <t>小鋸鱷</t>
        </is>
      </c>
      <c r="J159" s="29">
        <f>IFERROR(__xludf.DUMMYFUNCTION("GOOGLETRANSLATE(I159,""zh_HANT"",""zh_HANS"")"),"小锯鳄")</f>
        <v/>
      </c>
      <c r="K159" s="29">
        <f>F159</f>
        <v/>
      </c>
    </row>
    <row r="160">
      <c r="A160" s="29">
        <f>CONCATENATE("NAME_PkMn_", UPPER(B160))</f>
        <v/>
      </c>
      <c r="B160" s="29" t="inlineStr">
        <is>
          <t>Croconaw</t>
        </is>
      </c>
      <c r="C160" s="29" t="inlineStr">
        <is>
          <t>アリゲイツ</t>
        </is>
      </c>
      <c r="D160" s="29" t="inlineStr">
        <is>
          <t>Crocrodil</t>
        </is>
      </c>
      <c r="E160" s="29" t="inlineStr">
        <is>
          <t>Tyracroc</t>
        </is>
      </c>
      <c r="F160" s="29">
        <f>B160</f>
        <v/>
      </c>
      <c r="G160" s="29">
        <f>B160</f>
        <v/>
      </c>
      <c r="H160" s="29" t="inlineStr">
        <is>
          <t>엘리게이</t>
        </is>
      </c>
      <c r="I160" s="29" t="inlineStr">
        <is>
          <t>藍鱷</t>
        </is>
      </c>
      <c r="J160" s="29">
        <f>IFERROR(__xludf.DUMMYFUNCTION("GOOGLETRANSLATE(I160,""zh_HANT"",""zh_HANS"")"),"蓝鳄")</f>
        <v/>
      </c>
      <c r="K160" s="29">
        <f>F160</f>
        <v/>
      </c>
    </row>
    <row r="161">
      <c r="A161" s="29">
        <f>CONCATENATE("NAME_PkMn_", UPPER(B161))</f>
        <v/>
      </c>
      <c r="B161" s="29" t="inlineStr">
        <is>
          <t>Feraligatr</t>
        </is>
      </c>
      <c r="C161" s="29" t="inlineStr">
        <is>
          <t>オーダイル</t>
        </is>
      </c>
      <c r="D161" s="29" t="inlineStr">
        <is>
          <t>Aligatueur</t>
        </is>
      </c>
      <c r="E161" s="29" t="inlineStr">
        <is>
          <t>Impergator</t>
        </is>
      </c>
      <c r="F161" s="29">
        <f>B161</f>
        <v/>
      </c>
      <c r="G161" s="29">
        <f>B161</f>
        <v/>
      </c>
      <c r="H161" s="29" t="inlineStr">
        <is>
          <t>장크로다일</t>
        </is>
      </c>
      <c r="I161" s="29" t="inlineStr">
        <is>
          <t>大力鱷</t>
        </is>
      </c>
      <c r="J161" s="29">
        <f>IFERROR(__xludf.DUMMYFUNCTION("GOOGLETRANSLATE(I161,""zh_HANT"",""zh_HANS"")"),"大力鳄")</f>
        <v/>
      </c>
      <c r="K161" s="29">
        <f>F161</f>
        <v/>
      </c>
    </row>
    <row r="162">
      <c r="A162" s="29">
        <f>CONCATENATE("NAME_PkMn_", UPPER(B162))</f>
        <v/>
      </c>
      <c r="B162" s="29" t="inlineStr">
        <is>
          <t>Sentret</t>
        </is>
      </c>
      <c r="C162" s="29" t="inlineStr">
        <is>
          <t>オタチ</t>
        </is>
      </c>
      <c r="D162" s="29" t="inlineStr">
        <is>
          <t>Fouinette</t>
        </is>
      </c>
      <c r="E162" s="29" t="inlineStr">
        <is>
          <t>Wiesor</t>
        </is>
      </c>
      <c r="F162" s="29">
        <f>B162</f>
        <v/>
      </c>
      <c r="G162" s="29">
        <f>B162</f>
        <v/>
      </c>
      <c r="H162" s="29" t="inlineStr">
        <is>
          <t>꼬리선</t>
        </is>
      </c>
      <c r="I162" s="29" t="inlineStr">
        <is>
          <t>尾立</t>
        </is>
      </c>
      <c r="J162" s="29">
        <f>I162</f>
        <v/>
      </c>
      <c r="K162" s="29">
        <f>F162</f>
        <v/>
      </c>
    </row>
    <row r="163">
      <c r="A163" s="29">
        <f>CONCATENATE("NAME_PkMn_", UPPER(B163))</f>
        <v/>
      </c>
      <c r="B163" s="29" t="inlineStr">
        <is>
          <t>Furret</t>
        </is>
      </c>
      <c r="C163" s="29" t="inlineStr">
        <is>
          <t>オオタチ</t>
        </is>
      </c>
      <c r="D163" s="29" t="inlineStr">
        <is>
          <t>Fouinar</t>
        </is>
      </c>
      <c r="E163" s="29" t="inlineStr">
        <is>
          <t>Wiesenior</t>
        </is>
      </c>
      <c r="F163" s="29">
        <f>B163</f>
        <v/>
      </c>
      <c r="G163" s="29">
        <f>B163</f>
        <v/>
      </c>
      <c r="H163" s="29" t="inlineStr">
        <is>
          <t>다꼬리</t>
        </is>
      </c>
      <c r="I163" s="29" t="inlineStr">
        <is>
          <t>大尾立</t>
        </is>
      </c>
      <c r="J163" s="29">
        <f>I163</f>
        <v/>
      </c>
      <c r="K163" s="29">
        <f>F163</f>
        <v/>
      </c>
    </row>
    <row r="164">
      <c r="A164" s="29">
        <f>CONCATENATE("NAME_PkMn_", UPPER(B164))</f>
        <v/>
      </c>
      <c r="B164" s="29" t="inlineStr">
        <is>
          <t>Hoothoot</t>
        </is>
      </c>
      <c r="C164" s="29" t="inlineStr">
        <is>
          <t>ホホーホー</t>
        </is>
      </c>
      <c r="D164" s="29">
        <f>B164</f>
        <v/>
      </c>
      <c r="E164" s="29" t="inlineStr">
        <is>
          <t>Hoothoot</t>
        </is>
      </c>
      <c r="F164" s="29">
        <f>B164</f>
        <v/>
      </c>
      <c r="G164" s="29">
        <f>B164</f>
        <v/>
      </c>
      <c r="H164" s="29" t="inlineStr">
        <is>
          <t>부우부</t>
        </is>
      </c>
      <c r="I164" s="29" t="inlineStr">
        <is>
          <t>咕咕</t>
        </is>
      </c>
      <c r="J164" s="29">
        <f>I164</f>
        <v/>
      </c>
      <c r="K164" s="29">
        <f>F164</f>
        <v/>
      </c>
    </row>
    <row r="165">
      <c r="A165" s="29">
        <f>CONCATENATE("NAME_PkMn_", UPPER(B165))</f>
        <v/>
      </c>
      <c r="B165" s="29" t="inlineStr">
        <is>
          <t>Noctowl</t>
        </is>
      </c>
      <c r="C165" s="29" t="inlineStr">
        <is>
          <t>ヨルノズク</t>
        </is>
      </c>
      <c r="D165" s="29" t="inlineStr">
        <is>
          <t>Noarfang</t>
        </is>
      </c>
      <c r="E165" s="29" t="inlineStr">
        <is>
          <t>Noctuh</t>
        </is>
      </c>
      <c r="F165" s="29">
        <f>B165</f>
        <v/>
      </c>
      <c r="G165" s="29">
        <f>B165</f>
        <v/>
      </c>
      <c r="H165" s="29" t="inlineStr">
        <is>
          <t>야부엉</t>
        </is>
      </c>
      <c r="I165" s="29" t="inlineStr">
        <is>
          <t>貓頭夜鷹</t>
        </is>
      </c>
      <c r="J165" s="29">
        <f>IFERROR(__xludf.DUMMYFUNCTION("GOOGLETRANSLATE(I165,""zh_HANT"",""zh_HANS"")"),"猫头夜鹰")</f>
        <v/>
      </c>
      <c r="K165" s="29">
        <f>F165</f>
        <v/>
      </c>
    </row>
    <row r="166">
      <c r="A166" s="29">
        <f>CONCATENATE("NAME_PkMn_", UPPER(B166))</f>
        <v/>
      </c>
      <c r="B166" s="29" t="inlineStr">
        <is>
          <t>Ledyba</t>
        </is>
      </c>
      <c r="C166" s="29" t="inlineStr">
        <is>
          <t>レヂィバ</t>
        </is>
      </c>
      <c r="D166" s="29" t="inlineStr">
        <is>
          <t>Coxy</t>
        </is>
      </c>
      <c r="E166" s="29">
        <f>B166</f>
        <v/>
      </c>
      <c r="F166" s="29">
        <f>B166</f>
        <v/>
      </c>
      <c r="G166" s="29">
        <f>B166</f>
        <v/>
      </c>
      <c r="H166" s="29" t="inlineStr">
        <is>
          <t>레디바</t>
        </is>
      </c>
      <c r="I166" s="29" t="inlineStr">
        <is>
          <t>芭瓢蟲</t>
        </is>
      </c>
      <c r="J166" s="29">
        <f>IFERROR(__xludf.DUMMYFUNCTION("GOOGLETRANSLATE(I166,""zh_HANT"",""zh_HANS"")"),"芭瓢虫")</f>
        <v/>
      </c>
      <c r="K166" s="29">
        <f>F166</f>
        <v/>
      </c>
    </row>
    <row r="167">
      <c r="A167" s="29">
        <f>CONCATENATE("NAME_PkMn_", UPPER(B167))</f>
        <v/>
      </c>
      <c r="B167" s="29" t="inlineStr">
        <is>
          <t>Ledian</t>
        </is>
      </c>
      <c r="C167" s="29" t="inlineStr">
        <is>
          <t>レヂィアン</t>
        </is>
      </c>
      <c r="D167" s="29" t="inlineStr">
        <is>
          <t>Coxyclaque</t>
        </is>
      </c>
      <c r="E167" s="29">
        <f>B167</f>
        <v/>
      </c>
      <c r="F167" s="29">
        <f>B167</f>
        <v/>
      </c>
      <c r="G167" s="29">
        <f>B167</f>
        <v/>
      </c>
      <c r="H167" s="29" t="inlineStr">
        <is>
          <t>레디안</t>
        </is>
      </c>
      <c r="I167" s="29" t="inlineStr">
        <is>
          <t>安瓢蟲</t>
        </is>
      </c>
      <c r="J167" s="29">
        <f>IFERROR(__xludf.DUMMYFUNCTION("GOOGLETRANSLATE(I167,""zh_HANT"",""zh_HANS"")"),"安瓢虫")</f>
        <v/>
      </c>
      <c r="K167" s="29">
        <f>F167</f>
        <v/>
      </c>
    </row>
    <row r="168">
      <c r="A168" s="29">
        <f>CONCATENATE("NAME_PkMn_", UPPER(B168))</f>
        <v/>
      </c>
      <c r="B168" s="29" t="inlineStr">
        <is>
          <t>Spinarak</t>
        </is>
      </c>
      <c r="C168" s="29" t="inlineStr">
        <is>
          <t>イトマル</t>
        </is>
      </c>
      <c r="D168" s="29" t="inlineStr">
        <is>
          <t>Mimigal</t>
        </is>
      </c>
      <c r="E168" s="29" t="inlineStr">
        <is>
          <t>Webarak</t>
        </is>
      </c>
      <c r="F168" s="29">
        <f>B168</f>
        <v/>
      </c>
      <c r="G168" s="29">
        <f>B168</f>
        <v/>
      </c>
      <c r="H168" s="29" t="inlineStr">
        <is>
          <t>페이검</t>
        </is>
      </c>
      <c r="I168" s="29" t="inlineStr">
        <is>
          <t>圓絲蛛</t>
        </is>
      </c>
      <c r="J168" s="29">
        <f>IFERROR(__xludf.DUMMYFUNCTION("GOOGLETRANSLATE(I168,""zh_HANT"",""zh_HANS"")"),"圆丝蛛")</f>
        <v/>
      </c>
      <c r="K168" s="29">
        <f>F168</f>
        <v/>
      </c>
    </row>
    <row r="169">
      <c r="A169" s="29">
        <f>CONCATENATE("NAME_PkMn_", UPPER(B169))</f>
        <v/>
      </c>
      <c r="B169" s="29" t="inlineStr">
        <is>
          <t>Ariados</t>
        </is>
      </c>
      <c r="C169" s="29" t="inlineStr">
        <is>
          <t>アリアドス</t>
        </is>
      </c>
      <c r="D169" s="29" t="inlineStr">
        <is>
          <t>Migalos</t>
        </is>
      </c>
      <c r="E169" s="29" t="inlineStr">
        <is>
          <t>Ariados</t>
        </is>
      </c>
      <c r="F169" s="29">
        <f>B169</f>
        <v/>
      </c>
      <c r="G169" s="29">
        <f>B169</f>
        <v/>
      </c>
      <c r="H169" s="29" t="inlineStr">
        <is>
          <t>아리아도스</t>
        </is>
      </c>
      <c r="I169" s="29" t="inlineStr">
        <is>
          <t>阿利多斯</t>
        </is>
      </c>
      <c r="J169" s="29">
        <f>I169</f>
        <v/>
      </c>
      <c r="K169" s="29">
        <f>F169</f>
        <v/>
      </c>
    </row>
    <row r="170">
      <c r="A170" s="29">
        <f>CONCATENATE("NAME_PkMn_", UPPER(B170))</f>
        <v/>
      </c>
      <c r="B170" s="29" t="inlineStr">
        <is>
          <t>Crobat</t>
        </is>
      </c>
      <c r="C170" s="29" t="inlineStr">
        <is>
          <t>クロバット</t>
        </is>
      </c>
      <c r="D170" s="29" t="inlineStr">
        <is>
          <t>Nostenfer</t>
        </is>
      </c>
      <c r="E170" s="29" t="inlineStr">
        <is>
          <t>Iksbat</t>
        </is>
      </c>
      <c r="F170" s="29">
        <f>B170</f>
        <v/>
      </c>
      <c r="G170" s="29">
        <f>B170</f>
        <v/>
      </c>
      <c r="H170" s="29" t="inlineStr">
        <is>
          <t>크로뱃</t>
        </is>
      </c>
      <c r="I170" s="29" t="inlineStr">
        <is>
          <t>叉字蝠</t>
        </is>
      </c>
      <c r="J170" s="29">
        <f>I170</f>
        <v/>
      </c>
      <c r="K170" s="29">
        <f>F170</f>
        <v/>
      </c>
    </row>
    <row r="171">
      <c r="A171" s="29">
        <f>CONCATENATE("NAME_PkMn_", UPPER(B171))</f>
        <v/>
      </c>
      <c r="B171" s="29" t="inlineStr">
        <is>
          <t>Chinchou</t>
        </is>
      </c>
      <c r="C171" s="29" t="inlineStr">
        <is>
          <t>チョンチー</t>
        </is>
      </c>
      <c r="D171" s="29" t="inlineStr">
        <is>
          <t>Loupio</t>
        </is>
      </c>
      <c r="E171" s="29" t="inlineStr">
        <is>
          <t>Lampi</t>
        </is>
      </c>
      <c r="F171" s="29">
        <f>B171</f>
        <v/>
      </c>
      <c r="G171" s="29">
        <f>B171</f>
        <v/>
      </c>
      <c r="H171" s="29" t="inlineStr">
        <is>
          <t>초라기</t>
        </is>
      </c>
      <c r="I171" s="29" t="inlineStr">
        <is>
          <t>燈籠魚</t>
        </is>
      </c>
      <c r="J171" s="29">
        <f>IFERROR(__xludf.DUMMYFUNCTION("GOOGLETRANSLATE(I171,""zh_HANT"",""zh_HANS"")"),"灯笼鱼")</f>
        <v/>
      </c>
      <c r="K171" s="29">
        <f>F171</f>
        <v/>
      </c>
    </row>
    <row r="172">
      <c r="A172" s="29">
        <f>CONCATENATE("NAME_PkMn_", UPPER(B172))</f>
        <v/>
      </c>
      <c r="B172" s="29" t="inlineStr">
        <is>
          <t>Lanturn</t>
        </is>
      </c>
      <c r="C172" s="29" t="inlineStr">
        <is>
          <t>ランターン</t>
        </is>
      </c>
      <c r="D172" s="29">
        <f>B172</f>
        <v/>
      </c>
      <c r="E172" s="29">
        <f>B172</f>
        <v/>
      </c>
      <c r="F172" s="29">
        <f>B172</f>
        <v/>
      </c>
      <c r="G172" s="29">
        <f>B172</f>
        <v/>
      </c>
      <c r="H172" s="29" t="inlineStr">
        <is>
          <t>랜턴</t>
        </is>
      </c>
      <c r="I172" s="29" t="inlineStr">
        <is>
          <t>電燈怪</t>
        </is>
      </c>
      <c r="J172" s="29">
        <f>IFERROR(__xludf.DUMMYFUNCTION("GOOGLETRANSLATE(I172,""zh_HANT"",""zh_HANS"")"),"电灯怪")</f>
        <v/>
      </c>
      <c r="K172" s="29">
        <f>F172</f>
        <v/>
      </c>
    </row>
    <row r="173">
      <c r="A173" s="29">
        <f>CONCATENATE("NAME_PkMn_", UPPER(B173))</f>
        <v/>
      </c>
      <c r="B173" s="29" t="inlineStr">
        <is>
          <t>Pichu</t>
        </is>
      </c>
      <c r="C173" s="29" t="inlineStr">
        <is>
          <t>ピチュウ</t>
        </is>
      </c>
      <c r="D173" s="29">
        <f>B173</f>
        <v/>
      </c>
      <c r="E173" s="29">
        <f>B173</f>
        <v/>
      </c>
      <c r="F173" s="29">
        <f>B173</f>
        <v/>
      </c>
      <c r="G173" s="29">
        <f>B173</f>
        <v/>
      </c>
      <c r="H173" s="29" t="inlineStr">
        <is>
          <t>피츄</t>
        </is>
      </c>
      <c r="I173" s="29" t="inlineStr">
        <is>
          <t>皮丘</t>
        </is>
      </c>
      <c r="J173" s="29">
        <f>I173</f>
        <v/>
      </c>
      <c r="K173" s="29">
        <f>F173</f>
        <v/>
      </c>
    </row>
    <row r="174">
      <c r="A174" s="29">
        <f>CONCATENATE("NAME_PkMn_", UPPER(B174))</f>
        <v/>
      </c>
      <c r="B174" s="29" t="inlineStr">
        <is>
          <t>Cleffa</t>
        </is>
      </c>
      <c r="C174" s="29" t="inlineStr">
        <is>
          <t>ピィ</t>
        </is>
      </c>
      <c r="D174" s="29" t="inlineStr">
        <is>
          <t>Mélo</t>
        </is>
      </c>
      <c r="E174" s="29" t="inlineStr">
        <is>
          <t>Pii</t>
        </is>
      </c>
      <c r="F174" s="29">
        <f>B174</f>
        <v/>
      </c>
      <c r="G174" s="29">
        <f>B174</f>
        <v/>
      </c>
      <c r="H174" s="29" t="inlineStr">
        <is>
          <t>삐</t>
        </is>
      </c>
      <c r="I174" s="29" t="inlineStr">
        <is>
          <t>皮寶寶</t>
        </is>
      </c>
      <c r="J174" s="29">
        <f>IFERROR(__xludf.DUMMYFUNCTION("GOOGLETRANSLATE(I174,""zh_HANT"",""zh_HANS"")"),"皮宝宝")</f>
        <v/>
      </c>
      <c r="K174" s="29">
        <f>F174</f>
        <v/>
      </c>
    </row>
    <row r="175">
      <c r="A175" s="29">
        <f>CONCATENATE("NAME_PkMn_", UPPER(B175))</f>
        <v/>
      </c>
      <c r="B175" s="29" t="inlineStr">
        <is>
          <t>Igglybuff</t>
        </is>
      </c>
      <c r="C175" s="29" t="inlineStr">
        <is>
          <t>ププリン</t>
        </is>
      </c>
      <c r="D175" s="29" t="inlineStr">
        <is>
          <t>Toudoudou</t>
        </is>
      </c>
      <c r="E175" s="29" t="inlineStr">
        <is>
          <t>Fluffefeluff</t>
        </is>
      </c>
      <c r="F175" s="29">
        <f>B175</f>
        <v/>
      </c>
      <c r="G175" s="29">
        <f>B175</f>
        <v/>
      </c>
      <c r="H175" s="29" t="inlineStr">
        <is>
          <t>푸푸린</t>
        </is>
      </c>
      <c r="I175" s="29" t="inlineStr">
        <is>
          <t>寶寶丁</t>
        </is>
      </c>
      <c r="J175" s="29">
        <f>IFERROR(__xludf.DUMMYFUNCTION("GOOGLETRANSLATE(I175,""zh_HANT"",""zh_HANS"")"),"宝宝丁")</f>
        <v/>
      </c>
      <c r="K175" s="29">
        <f>F175</f>
        <v/>
      </c>
    </row>
    <row r="176">
      <c r="A176" s="29">
        <f>CONCATENATE("NAME_PkMn_", UPPER(B176))</f>
        <v/>
      </c>
      <c r="B176" s="29" t="inlineStr">
        <is>
          <t>Togepi</t>
        </is>
      </c>
      <c r="C176" s="29" t="inlineStr">
        <is>
          <t>トゲピー</t>
        </is>
      </c>
      <c r="D176" s="29">
        <f>B176</f>
        <v/>
      </c>
      <c r="E176" s="29">
        <f>B176</f>
        <v/>
      </c>
      <c r="F176" s="29">
        <f>B176</f>
        <v/>
      </c>
      <c r="G176" s="29">
        <f>B176</f>
        <v/>
      </c>
      <c r="H176" s="29" t="inlineStr">
        <is>
          <t>토게피</t>
        </is>
      </c>
      <c r="I176" s="29" t="inlineStr">
        <is>
          <t>波克比</t>
        </is>
      </c>
      <c r="J176" s="29">
        <f>I176</f>
        <v/>
      </c>
      <c r="K176" s="29">
        <f>F176</f>
        <v/>
      </c>
    </row>
    <row r="177">
      <c r="A177" s="29">
        <f>CONCATENATE("NAME_PkMn_", UPPER(B177))</f>
        <v/>
      </c>
      <c r="B177" s="29" t="inlineStr">
        <is>
          <t>Togetic</t>
        </is>
      </c>
      <c r="C177" s="29" t="inlineStr">
        <is>
          <t>トゲチック</t>
        </is>
      </c>
      <c r="D177" s="29">
        <f>B177</f>
        <v/>
      </c>
      <c r="E177" s="29">
        <f>B177</f>
        <v/>
      </c>
      <c r="F177" s="29">
        <f>B177</f>
        <v/>
      </c>
      <c r="G177" s="29">
        <f>B177</f>
        <v/>
      </c>
      <c r="H177" s="29" t="inlineStr">
        <is>
          <t>토게틱</t>
        </is>
      </c>
      <c r="I177" s="29" t="inlineStr">
        <is>
          <t>波克基古</t>
        </is>
      </c>
      <c r="J177" s="29">
        <f>I177</f>
        <v/>
      </c>
      <c r="K177" s="29">
        <f>F177</f>
        <v/>
      </c>
    </row>
    <row r="178">
      <c r="A178" s="29">
        <f>CONCATENATE("NAME_PkMn_", UPPER(B178))</f>
        <v/>
      </c>
      <c r="B178" s="29" t="inlineStr">
        <is>
          <t>Natu</t>
        </is>
      </c>
      <c r="C178" s="29" t="inlineStr">
        <is>
          <t>ネイチィ</t>
        </is>
      </c>
      <c r="D178" s="29">
        <f>B178</f>
        <v/>
      </c>
      <c r="E178" s="29">
        <f>B178</f>
        <v/>
      </c>
      <c r="F178" s="29">
        <f>B178</f>
        <v/>
      </c>
      <c r="G178" s="29">
        <f>B178</f>
        <v/>
      </c>
      <c r="H178" s="29" t="inlineStr">
        <is>
          <t>네이티</t>
        </is>
      </c>
      <c r="I178" s="29" t="inlineStr">
        <is>
          <t>天然雀</t>
        </is>
      </c>
      <c r="J178" s="29">
        <f>I178</f>
        <v/>
      </c>
      <c r="K178" s="29">
        <f>F178</f>
        <v/>
      </c>
    </row>
    <row r="179">
      <c r="A179" s="29">
        <f>CONCATENATE("NAME_PkMn_", UPPER(B179))</f>
        <v/>
      </c>
      <c r="B179" s="29" t="inlineStr">
        <is>
          <t>Xatu</t>
        </is>
      </c>
      <c r="C179" s="29" t="inlineStr">
        <is>
          <t>ネイチィオ</t>
        </is>
      </c>
      <c r="D179" s="29">
        <f>B179</f>
        <v/>
      </c>
      <c r="E179" s="29">
        <f>B179</f>
        <v/>
      </c>
      <c r="F179" s="29">
        <f>B179</f>
        <v/>
      </c>
      <c r="G179" s="29">
        <f>B179</f>
        <v/>
      </c>
      <c r="H179" s="29" t="inlineStr">
        <is>
          <t>네이티오</t>
        </is>
      </c>
      <c r="I179" s="29" t="inlineStr">
        <is>
          <t>天然鳥</t>
        </is>
      </c>
      <c r="J179" s="29">
        <f>IFERROR(__xludf.DUMMYFUNCTION("GOOGLETRANSLATE(I179,""zh_HANT"",""zh_HANS"")"),"天然鸟")</f>
        <v/>
      </c>
      <c r="K179" s="29">
        <f>F179</f>
        <v/>
      </c>
    </row>
    <row r="180">
      <c r="A180" s="29">
        <f>CONCATENATE("NAME_PkMn_", UPPER(B180))</f>
        <v/>
      </c>
      <c r="B180" s="29" t="inlineStr">
        <is>
          <t>Mareep</t>
        </is>
      </c>
      <c r="C180" s="29" t="inlineStr">
        <is>
          <t>メリープ</t>
        </is>
      </c>
      <c r="D180" s="29" t="inlineStr">
        <is>
          <t>Wattouat</t>
        </is>
      </c>
      <c r="E180" s="29" t="inlineStr">
        <is>
          <t>Voltilamm</t>
        </is>
      </c>
      <c r="F180" s="29">
        <f>B180</f>
        <v/>
      </c>
      <c r="G180" s="29">
        <f>B180</f>
        <v/>
      </c>
      <c r="H180" s="29" t="inlineStr">
        <is>
          <t>메리프</t>
        </is>
      </c>
      <c r="I180" s="29" t="inlineStr">
        <is>
          <t>咩利羊</t>
        </is>
      </c>
      <c r="J180" s="29">
        <f>I180</f>
        <v/>
      </c>
      <c r="K180" s="29">
        <f>F180</f>
        <v/>
      </c>
    </row>
    <row r="181">
      <c r="A181" s="29">
        <f>CONCATENATE("NAME_PkMn_", UPPER(B181))</f>
        <v/>
      </c>
      <c r="B181" s="29" t="inlineStr">
        <is>
          <t>Flaaffy</t>
        </is>
      </c>
      <c r="C181" s="29" t="inlineStr">
        <is>
          <t>モココ</t>
        </is>
      </c>
      <c r="D181" s="29" t="inlineStr">
        <is>
          <t>Lainergie</t>
        </is>
      </c>
      <c r="E181" s="29" t="inlineStr">
        <is>
          <t>Waaty</t>
        </is>
      </c>
      <c r="F181" s="29">
        <f>B181</f>
        <v/>
      </c>
      <c r="G181" s="29">
        <f>B181</f>
        <v/>
      </c>
      <c r="H181" s="29" t="inlineStr">
        <is>
          <t>보송송</t>
        </is>
      </c>
      <c r="I181" s="29" t="inlineStr">
        <is>
          <t>茸茸羊</t>
        </is>
      </c>
      <c r="J181" s="29">
        <f>I181</f>
        <v/>
      </c>
      <c r="K181" s="29">
        <f>F181</f>
        <v/>
      </c>
    </row>
    <row r="182">
      <c r="A182" s="29">
        <f>CONCATENATE("NAME_PkMn_", UPPER(B182))</f>
        <v/>
      </c>
      <c r="B182" s="29" t="inlineStr">
        <is>
          <t>Ampharos</t>
        </is>
      </c>
      <c r="C182" s="29" t="inlineStr">
        <is>
          <t>デンリュウ</t>
        </is>
      </c>
      <c r="D182" s="29" t="inlineStr">
        <is>
          <t>Pharamp</t>
        </is>
      </c>
      <c r="E182" s="29" t="inlineStr">
        <is>
          <t>mpharos</t>
        </is>
      </c>
      <c r="F182" s="29">
        <f>B182</f>
        <v/>
      </c>
      <c r="G182" s="29">
        <f>B182</f>
        <v/>
      </c>
      <c r="H182" s="29" t="inlineStr">
        <is>
          <t>전룡</t>
        </is>
      </c>
      <c r="I182" s="29">
        <f>IFERROR(__xludf.DUMMYFUNCTION("GOOGLETRANSLATE(J182,""zh_HANS"",""zh_HANT"")"),"電龍")</f>
        <v/>
      </c>
      <c r="J182" s="29" t="inlineStr">
        <is>
          <t>电龙</t>
        </is>
      </c>
      <c r="K182" s="29">
        <f>F182</f>
        <v/>
      </c>
    </row>
    <row r="183">
      <c r="A183" s="29">
        <f>CONCATENATE("NAME_PkMn_", UPPER(B183))</f>
        <v/>
      </c>
      <c r="B183" s="29" t="inlineStr">
        <is>
          <t>Bellossom</t>
        </is>
      </c>
      <c r="C183" s="29" t="inlineStr">
        <is>
          <t>キレイハナ</t>
        </is>
      </c>
      <c r="D183" s="29" t="inlineStr">
        <is>
          <t>Joliflor</t>
        </is>
      </c>
      <c r="E183" s="29" t="inlineStr">
        <is>
          <t>Blubella</t>
        </is>
      </c>
      <c r="F183" s="29">
        <f>B183</f>
        <v/>
      </c>
      <c r="G183" s="29">
        <f>B183</f>
        <v/>
      </c>
      <c r="H183" s="29" t="inlineStr">
        <is>
          <t>아르코</t>
        </is>
      </c>
      <c r="I183" s="29" t="inlineStr">
        <is>
          <t>美麗花</t>
        </is>
      </c>
      <c r="J183" s="29">
        <f>IFERROR(__xludf.DUMMYFUNCTION("GOOGLETRANSLATE(I183,""zh_HANT"",""zh_HANS"")"),"美丽花")</f>
        <v/>
      </c>
      <c r="K183" s="29">
        <f>F183</f>
        <v/>
      </c>
    </row>
    <row r="184">
      <c r="A184" s="29">
        <f>CONCATENATE("NAME_PkMn_", UPPER(B184))</f>
        <v/>
      </c>
      <c r="B184" s="29" t="inlineStr">
        <is>
          <t>Marill</t>
        </is>
      </c>
      <c r="C184" s="29" t="inlineStr">
        <is>
          <t>マリル</t>
        </is>
      </c>
      <c r="D184" s="29">
        <f>B184</f>
        <v/>
      </c>
      <c r="E184" s="29">
        <f>B184</f>
        <v/>
      </c>
      <c r="F184" s="29">
        <f>B184</f>
        <v/>
      </c>
      <c r="G184" s="29">
        <f>B184</f>
        <v/>
      </c>
      <c r="H184" s="29" t="inlineStr">
        <is>
          <t>마릴</t>
        </is>
      </c>
      <c r="I184" s="29" t="inlineStr">
        <is>
          <t>瑪力露</t>
        </is>
      </c>
      <c r="J184" s="29">
        <f>IFERROR(__xludf.DUMMYFUNCTION("GOOGLETRANSLATE(I184,""zh_HANT"",""zh_HANS"")"),"玛力露")</f>
        <v/>
      </c>
      <c r="K184" s="29">
        <f>F184</f>
        <v/>
      </c>
    </row>
    <row r="185">
      <c r="A185" s="29">
        <f>CONCATENATE("NAME_PkMn_", UPPER(B185))</f>
        <v/>
      </c>
      <c r="B185" s="29" t="inlineStr">
        <is>
          <t>Azumarill</t>
        </is>
      </c>
      <c r="C185" s="29" t="inlineStr">
        <is>
          <t>マリルリ</t>
        </is>
      </c>
      <c r="D185" s="29">
        <f>B185</f>
        <v/>
      </c>
      <c r="E185" s="29">
        <f>B185</f>
        <v/>
      </c>
      <c r="F185" s="29">
        <f>B185</f>
        <v/>
      </c>
      <c r="G185" s="29">
        <f>B185</f>
        <v/>
      </c>
      <c r="H185" s="29" t="inlineStr">
        <is>
          <t>마릴리</t>
        </is>
      </c>
      <c r="I185" s="29" t="inlineStr">
        <is>
          <t>瑪力露麗</t>
        </is>
      </c>
      <c r="J185" s="29">
        <f>IFERROR(__xludf.DUMMYFUNCTION("GOOGLETRANSLATE(I185,""zh_HANT"",""zh_HANS"")"),"玛力露丽")</f>
        <v/>
      </c>
      <c r="K185" s="29">
        <f>F185</f>
        <v/>
      </c>
    </row>
    <row r="186">
      <c r="A186" s="29">
        <f>CONCATENATE("NAME_PkMn_", UPPER(B186))</f>
        <v/>
      </c>
      <c r="B186" s="29" t="inlineStr">
        <is>
          <t>Sudowoodo</t>
        </is>
      </c>
      <c r="C186" s="29" t="inlineStr">
        <is>
          <t>ウソッキー</t>
        </is>
      </c>
      <c r="D186" s="29" t="inlineStr">
        <is>
          <t>Simularbre</t>
        </is>
      </c>
      <c r="E186" s="29" t="inlineStr">
        <is>
          <t>Mogelbaum</t>
        </is>
      </c>
      <c r="F186" s="29">
        <f>B186</f>
        <v/>
      </c>
      <c r="G186" s="29">
        <f>B186</f>
        <v/>
      </c>
      <c r="H186" s="29" t="inlineStr">
        <is>
          <t>꼬지모</t>
        </is>
      </c>
      <c r="I186" s="29" t="inlineStr">
        <is>
          <t>樹才怪</t>
        </is>
      </c>
      <c r="J186" s="29">
        <f>IFERROR(__xludf.DUMMYFUNCTION("GOOGLETRANSLATE(I186,""zh_HANT"",""zh_HANS"")"),"树才怪")</f>
        <v/>
      </c>
      <c r="K186" s="29">
        <f>F186</f>
        <v/>
      </c>
    </row>
    <row r="187">
      <c r="A187" s="29">
        <f>CONCATENATE("NAME_PkMn_", UPPER(B187))</f>
        <v/>
      </c>
      <c r="B187" s="29" t="inlineStr">
        <is>
          <t>Politoed</t>
        </is>
      </c>
      <c r="C187" s="29" t="inlineStr">
        <is>
          <t>ニョロトノ</t>
        </is>
      </c>
      <c r="D187" s="29" t="inlineStr">
        <is>
          <t>Tarpaud</t>
        </is>
      </c>
      <c r="E187" s="29" t="inlineStr">
        <is>
          <t>Quaxo</t>
        </is>
      </c>
      <c r="F187" s="29">
        <f>B187</f>
        <v/>
      </c>
      <c r="G187" s="29">
        <f>B187</f>
        <v/>
      </c>
      <c r="H187" s="29" t="inlineStr">
        <is>
          <t>왕구리</t>
        </is>
      </c>
      <c r="I187" s="29" t="inlineStr">
        <is>
          <t>蚊香蛙皇</t>
        </is>
      </c>
      <c r="J187" s="29">
        <f>I187</f>
        <v/>
      </c>
      <c r="K187" s="29">
        <f>F187</f>
        <v/>
      </c>
    </row>
    <row r="188">
      <c r="A188" s="29">
        <f>CONCATENATE("NAME_PkMn_", UPPER(B188))</f>
        <v/>
      </c>
      <c r="B188" s="29" t="inlineStr">
        <is>
          <t>Hoppip</t>
        </is>
      </c>
      <c r="C188" s="29" t="inlineStr">
        <is>
          <t>ハネッコ</t>
        </is>
      </c>
      <c r="D188" s="29" t="inlineStr">
        <is>
          <t>Granivol</t>
        </is>
      </c>
      <c r="E188" s="29" t="inlineStr">
        <is>
          <t>Hoppspross</t>
        </is>
      </c>
      <c r="F188" s="29">
        <f>B188</f>
        <v/>
      </c>
      <c r="G188" s="29">
        <f>B188</f>
        <v/>
      </c>
      <c r="H188" s="29" t="inlineStr">
        <is>
          <t>통통코</t>
        </is>
      </c>
      <c r="I188" s="29" t="inlineStr">
        <is>
          <t>毽子草</t>
        </is>
      </c>
      <c r="J188" s="29">
        <f>I188</f>
        <v/>
      </c>
      <c r="K188" s="29">
        <f>F188</f>
        <v/>
      </c>
    </row>
    <row r="189">
      <c r="A189" s="29">
        <f>CONCATENATE("NAME_PkMn_", UPPER(B189))</f>
        <v/>
      </c>
      <c r="B189" s="29" t="inlineStr">
        <is>
          <t>Skiploom</t>
        </is>
      </c>
      <c r="C189" s="29" t="inlineStr">
        <is>
          <t>ポポッコ</t>
        </is>
      </c>
      <c r="D189" s="29" t="inlineStr">
        <is>
          <t>Floravol</t>
        </is>
      </c>
      <c r="E189" s="29" t="inlineStr">
        <is>
          <t>Hubelupf</t>
        </is>
      </c>
      <c r="F189" s="29">
        <f>B189</f>
        <v/>
      </c>
      <c r="G189" s="29">
        <f>B189</f>
        <v/>
      </c>
      <c r="H189" s="29" t="inlineStr">
        <is>
          <t>두코</t>
        </is>
      </c>
      <c r="I189" s="29" t="inlineStr">
        <is>
          <t>毽子花</t>
        </is>
      </c>
      <c r="J189" s="29">
        <f>I189</f>
        <v/>
      </c>
      <c r="K189" s="29">
        <f>F189</f>
        <v/>
      </c>
    </row>
    <row r="190">
      <c r="A190" s="29">
        <f>CONCATENATE("NAME_PkMn_", UPPER(B190))</f>
        <v/>
      </c>
      <c r="B190" s="29" t="inlineStr">
        <is>
          <t>Jumpluff</t>
        </is>
      </c>
      <c r="C190" s="29" t="inlineStr">
        <is>
          <t>ワタッコ</t>
        </is>
      </c>
      <c r="D190" s="29" t="inlineStr">
        <is>
          <t>Cotovol</t>
        </is>
      </c>
      <c r="E190" s="29" t="inlineStr">
        <is>
          <t>Papungha</t>
        </is>
      </c>
      <c r="F190" s="29">
        <f>B190</f>
        <v/>
      </c>
      <c r="G190" s="29">
        <f>B190</f>
        <v/>
      </c>
      <c r="H190" s="29" t="inlineStr">
        <is>
          <t>솜솜코</t>
        </is>
      </c>
      <c r="I190" s="29" t="inlineStr">
        <is>
          <t>毽子棉</t>
        </is>
      </c>
      <c r="J190" s="29">
        <f>I190</f>
        <v/>
      </c>
      <c r="K190" s="29">
        <f>F190</f>
        <v/>
      </c>
    </row>
    <row r="191">
      <c r="A191" s="29">
        <f>CONCATENATE("NAME_PkMn_", UPPER(B191))</f>
        <v/>
      </c>
      <c r="B191" s="29" t="inlineStr">
        <is>
          <t>Aipom</t>
        </is>
      </c>
      <c r="C191" s="29" t="inlineStr">
        <is>
          <t>エイパム</t>
        </is>
      </c>
      <c r="D191" s="29" t="inlineStr">
        <is>
          <t>Capumain</t>
        </is>
      </c>
      <c r="E191" s="29" t="inlineStr">
        <is>
          <t>Griffel</t>
        </is>
      </c>
      <c r="F191" s="29">
        <f>B191</f>
        <v/>
      </c>
      <c r="G191" s="29">
        <f>B191</f>
        <v/>
      </c>
      <c r="H191" s="29" t="inlineStr">
        <is>
          <t>에이팜</t>
        </is>
      </c>
      <c r="I191" s="29" t="inlineStr">
        <is>
          <t>長尾怪手</t>
        </is>
      </c>
      <c r="J191" s="29">
        <f>IFERROR(__xludf.DUMMYFUNCTION("GOOGLETRANSLATE(I191,""zh_HANT"",""zh_HANS"")"),"长尾怪手")</f>
        <v/>
      </c>
      <c r="K191" s="29">
        <f>F191</f>
        <v/>
      </c>
    </row>
    <row r="192">
      <c r="A192" s="29">
        <f>CONCATENATE("NAME_PkMn_", UPPER(B192))</f>
        <v/>
      </c>
      <c r="B192" s="29" t="inlineStr">
        <is>
          <t>Sunkern</t>
        </is>
      </c>
      <c r="C192" s="29" t="inlineStr">
        <is>
          <t>ヒマナッツ</t>
        </is>
      </c>
      <c r="D192" s="29" t="inlineStr">
        <is>
          <t>Tournegrain</t>
        </is>
      </c>
      <c r="E192" s="29" t="inlineStr">
        <is>
          <t>Sonnkern</t>
        </is>
      </c>
      <c r="F192" s="29">
        <f>B192</f>
        <v/>
      </c>
      <c r="G192" s="29">
        <f>B192</f>
        <v/>
      </c>
      <c r="H192" s="29" t="inlineStr">
        <is>
          <t>해너츠</t>
        </is>
      </c>
      <c r="I192" s="29" t="inlineStr">
        <is>
          <t>向日種子</t>
        </is>
      </c>
      <c r="J192" s="29">
        <f>IFERROR(__xludf.DUMMYFUNCTION("GOOGLETRANSLATE(I192,""zh_HANT"",""zh_HANS"")"),"向日种子")</f>
        <v/>
      </c>
      <c r="K192" s="29">
        <f>F192</f>
        <v/>
      </c>
    </row>
    <row r="193">
      <c r="A193" s="29">
        <f>CONCATENATE("NAME_PkMn_", UPPER(B193))</f>
        <v/>
      </c>
      <c r="B193" s="29" t="inlineStr">
        <is>
          <t>Sunflora</t>
        </is>
      </c>
      <c r="C193" s="29" t="inlineStr">
        <is>
          <t>キミワリ</t>
        </is>
      </c>
      <c r="D193" s="29" t="inlineStr">
        <is>
          <t>Héliatronc</t>
        </is>
      </c>
      <c r="E193" s="29" t="inlineStr">
        <is>
          <t>Sonflora</t>
        </is>
      </c>
      <c r="F193" s="29">
        <f>B193</f>
        <v/>
      </c>
      <c r="G193" s="29">
        <f>B193</f>
        <v/>
      </c>
      <c r="H193" s="29" t="inlineStr">
        <is>
          <t>해루미</t>
        </is>
      </c>
      <c r="I193" s="29" t="inlineStr">
        <is>
          <t>向日花怪</t>
        </is>
      </c>
      <c r="J193" s="29">
        <f>I193</f>
        <v/>
      </c>
      <c r="K193" s="29">
        <f>F193</f>
        <v/>
      </c>
    </row>
    <row r="194">
      <c r="A194" s="29">
        <f>CONCATENATE("NAME_PkMn_", UPPER(B194))</f>
        <v/>
      </c>
      <c r="B194" s="29" t="inlineStr">
        <is>
          <t>Yanma</t>
        </is>
      </c>
      <c r="C194" s="29" t="inlineStr">
        <is>
          <t>ヤンヤンマ</t>
        </is>
      </c>
      <c r="D194" s="29">
        <f>B194</f>
        <v/>
      </c>
      <c r="E194" s="29">
        <f>B194</f>
        <v/>
      </c>
      <c r="F194" s="29">
        <f>B194</f>
        <v/>
      </c>
      <c r="G194" s="29">
        <f>B194</f>
        <v/>
      </c>
      <c r="H194" s="29" t="inlineStr">
        <is>
          <t>왕자리</t>
        </is>
      </c>
      <c r="I194" s="29" t="inlineStr">
        <is>
          <t>蜻蜻蜓</t>
        </is>
      </c>
      <c r="J194" s="29">
        <f>I194</f>
        <v/>
      </c>
      <c r="K194" s="29">
        <f>F194</f>
        <v/>
      </c>
    </row>
    <row r="195">
      <c r="A195" s="29">
        <f>CONCATENATE("NAME_PkMn_", UPPER(B195))</f>
        <v/>
      </c>
      <c r="B195" s="29" t="inlineStr">
        <is>
          <t>Wooper</t>
        </is>
      </c>
      <c r="C195" s="29" t="inlineStr">
        <is>
          <t>ウパー</t>
        </is>
      </c>
      <c r="D195" s="29" t="inlineStr">
        <is>
          <t>Axoloto</t>
        </is>
      </c>
      <c r="E195" s="29" t="inlineStr">
        <is>
          <t>Felino</t>
        </is>
      </c>
      <c r="F195" s="29">
        <f>B195</f>
        <v/>
      </c>
      <c r="G195" s="29">
        <f>B195</f>
        <v/>
      </c>
      <c r="H195" s="29" t="inlineStr">
        <is>
          <t>우파</t>
        </is>
      </c>
      <c r="I195" s="29" t="inlineStr">
        <is>
          <t>烏波</t>
        </is>
      </c>
      <c r="J195" s="29">
        <f>IFERROR(__xludf.DUMMYFUNCTION("GOOGLETRANSLATE(I195,""zh_HANT"",""zh_HANS"")"),"乌波")</f>
        <v/>
      </c>
      <c r="K195" s="29">
        <f>F195</f>
        <v/>
      </c>
    </row>
    <row r="196">
      <c r="A196" s="29">
        <f>CONCATENATE("NAME_PkMn_", UPPER(B196))</f>
        <v/>
      </c>
      <c r="B196" s="29" t="inlineStr">
        <is>
          <t>Quagsire</t>
        </is>
      </c>
      <c r="C196" s="29" t="inlineStr">
        <is>
          <t>ヌオー</t>
        </is>
      </c>
      <c r="D196" s="29" t="inlineStr">
        <is>
          <t>Maraiste</t>
        </is>
      </c>
      <c r="E196" s="29" t="inlineStr">
        <is>
          <t>Morlord</t>
        </is>
      </c>
      <c r="F196" s="29">
        <f>B196</f>
        <v/>
      </c>
      <c r="G196" s="29">
        <f>B196</f>
        <v/>
      </c>
      <c r="H196" s="29" t="inlineStr">
        <is>
          <t>누오</t>
        </is>
      </c>
      <c r="I196" s="29" t="inlineStr">
        <is>
          <t>沼王</t>
        </is>
      </c>
      <c r="J196" s="29">
        <f>I196</f>
        <v/>
      </c>
      <c r="K196" s="29">
        <f>F196</f>
        <v/>
      </c>
    </row>
    <row r="197">
      <c r="A197" s="29">
        <f>CONCATENATE("NAME_PkMn_", UPPER(B197))</f>
        <v/>
      </c>
      <c r="B197" s="29" t="inlineStr">
        <is>
          <t>Espeon</t>
        </is>
      </c>
      <c r="C197" s="29" t="inlineStr">
        <is>
          <t>エーフィ</t>
        </is>
      </c>
      <c r="D197" s="29" t="inlineStr">
        <is>
          <t>Mentali</t>
        </is>
      </c>
      <c r="E197" s="29" t="inlineStr">
        <is>
          <t>Psiana</t>
        </is>
      </c>
      <c r="F197" s="29">
        <f>B197</f>
        <v/>
      </c>
      <c r="G197" s="29">
        <f>B197</f>
        <v/>
      </c>
      <c r="H197" s="29" t="inlineStr">
        <is>
          <t>에브이</t>
        </is>
      </c>
      <c r="I197" s="29" t="inlineStr">
        <is>
          <t>太陽伊布</t>
        </is>
      </c>
      <c r="J197" s="29">
        <f>IFERROR(__xludf.DUMMYFUNCTION("GOOGLETRANSLATE(I197,""zh_HANT"",""zh_HANS"")"),"太阳伊布")</f>
        <v/>
      </c>
      <c r="K197" s="29">
        <f>F197</f>
        <v/>
      </c>
    </row>
    <row r="198">
      <c r="A198" s="29">
        <f>CONCATENATE("NAME_PkMn_", UPPER(B198))</f>
        <v/>
      </c>
      <c r="B198" s="29" t="inlineStr">
        <is>
          <t>Umbreon</t>
        </is>
      </c>
      <c r="C198" s="29" t="inlineStr">
        <is>
          <t>ブラッキー</t>
        </is>
      </c>
      <c r="D198" s="29" t="inlineStr">
        <is>
          <t>Noctali</t>
        </is>
      </c>
      <c r="E198" s="29" t="inlineStr">
        <is>
          <t>Nachtara</t>
        </is>
      </c>
      <c r="F198" s="29">
        <f>B198</f>
        <v/>
      </c>
      <c r="G198" s="29">
        <f>B198</f>
        <v/>
      </c>
      <c r="H198" s="29" t="inlineStr">
        <is>
          <t>블래키</t>
        </is>
      </c>
      <c r="I198" s="29" t="inlineStr">
        <is>
          <t>月亮伊布</t>
        </is>
      </c>
      <c r="J198" s="29">
        <f>I198</f>
        <v/>
      </c>
      <c r="K198" s="29">
        <f>F198</f>
        <v/>
      </c>
    </row>
    <row r="199">
      <c r="A199" s="29">
        <f>CONCATENATE("NAME_PkMn_", UPPER(B199))</f>
        <v/>
      </c>
      <c r="B199" s="29" t="inlineStr">
        <is>
          <t>Murkrow</t>
        </is>
      </c>
      <c r="C199" s="29" t="inlineStr">
        <is>
          <t>ヤミカラス</t>
        </is>
      </c>
      <c r="D199" s="29" t="inlineStr">
        <is>
          <t>Cornèbre</t>
        </is>
      </c>
      <c r="E199" s="29" t="inlineStr">
        <is>
          <t>Kramurx</t>
        </is>
      </c>
      <c r="F199" s="29">
        <f>B199</f>
        <v/>
      </c>
      <c r="G199" s="29">
        <f>B199</f>
        <v/>
      </c>
      <c r="H199" s="29" t="inlineStr">
        <is>
          <t>니로우</t>
        </is>
      </c>
      <c r="I199" s="29" t="inlineStr">
        <is>
          <t>黑暗鴉</t>
        </is>
      </c>
      <c r="J199" s="29">
        <f>IFERROR(__xludf.DUMMYFUNCTION("GOOGLETRANSLATE(I199,""zh_HANT"",""zh_HANS"")"),"黑暗鸦")</f>
        <v/>
      </c>
      <c r="K199" s="29">
        <f>F199</f>
        <v/>
      </c>
    </row>
    <row r="200">
      <c r="A200" s="29">
        <f>CONCATENATE("NAME_PkMn_", UPPER(B200))</f>
        <v/>
      </c>
      <c r="B200" s="29" t="inlineStr">
        <is>
          <t>Slowking</t>
        </is>
      </c>
      <c r="C200" s="29" t="inlineStr">
        <is>
          <t>ヤドキング</t>
        </is>
      </c>
      <c r="D200" s="29" t="inlineStr">
        <is>
          <t>Roigada</t>
        </is>
      </c>
      <c r="E200" s="29" t="inlineStr">
        <is>
          <t>Laschoking</t>
        </is>
      </c>
      <c r="F200" s="29">
        <f>B200</f>
        <v/>
      </c>
      <c r="G200" s="29">
        <f>B200</f>
        <v/>
      </c>
      <c r="H200" s="29" t="inlineStr">
        <is>
          <t>야도킹</t>
        </is>
      </c>
      <c r="I200" s="29" t="inlineStr">
        <is>
          <t>呆呆王</t>
        </is>
      </c>
      <c r="J200" s="29">
        <f>I200</f>
        <v/>
      </c>
      <c r="K200" s="29">
        <f>F200</f>
        <v/>
      </c>
    </row>
    <row r="201">
      <c r="A201" s="29">
        <f>CONCATENATE("NAME_PkMn_", UPPER(B201))</f>
        <v/>
      </c>
      <c r="B201" s="29" t="inlineStr">
        <is>
          <t>Misdreavus</t>
        </is>
      </c>
      <c r="C201" s="29" t="inlineStr">
        <is>
          <t>ムウマ</t>
        </is>
      </c>
      <c r="D201" s="29" t="inlineStr">
        <is>
          <t>Feuforève</t>
        </is>
      </c>
      <c r="E201" s="29" t="inlineStr">
        <is>
          <t>Traunmagil</t>
        </is>
      </c>
      <c r="F201" s="29">
        <f>B201</f>
        <v/>
      </c>
      <c r="G201" s="29">
        <f>B201</f>
        <v/>
      </c>
      <c r="H201" s="29" t="inlineStr">
        <is>
          <t>무우마</t>
        </is>
      </c>
      <c r="I201" s="29" t="inlineStr">
        <is>
          <t>夢妖</t>
        </is>
      </c>
      <c r="J201" s="29">
        <f>IFERROR(__xludf.DUMMYFUNCTION("GOOGLETRANSLATE(I201,""zh_HANT"",""zh_HANS"")"),"梦妖")</f>
        <v/>
      </c>
      <c r="K201" s="29">
        <f>F201</f>
        <v/>
      </c>
    </row>
    <row r="202">
      <c r="A202" s="29">
        <f>CONCATENATE("NAME_PkMn_", UPPER(B202))</f>
        <v/>
      </c>
      <c r="B202" s="29" t="inlineStr">
        <is>
          <t>Unown</t>
        </is>
      </c>
      <c r="C202" s="29" t="inlineStr">
        <is>
          <t>アンノーン</t>
        </is>
      </c>
      <c r="D202" s="29" t="inlineStr">
        <is>
          <t>Zarbi</t>
        </is>
      </c>
      <c r="E202" s="29" t="inlineStr">
        <is>
          <t>Icognito</t>
        </is>
      </c>
      <c r="F202" s="29">
        <f>B202</f>
        <v/>
      </c>
      <c r="G202" s="29">
        <f>B202</f>
        <v/>
      </c>
      <c r="H202" s="29" t="inlineStr">
        <is>
          <t>안농</t>
        </is>
      </c>
      <c r="I202" s="29" t="inlineStr">
        <is>
          <t>未知圖騰</t>
        </is>
      </c>
      <c r="J202" s="29">
        <f>IFERROR(__xludf.DUMMYFUNCTION("GOOGLETRANSLATE(I202,""zh_HANT"",""zh_HANS"")"),"未知图腾")</f>
        <v/>
      </c>
      <c r="K202" s="29">
        <f>F202</f>
        <v/>
      </c>
    </row>
    <row r="203">
      <c r="A203" s="29">
        <f>CONCATENATE("NAME_PkMn_", UPPER(B203))</f>
        <v/>
      </c>
      <c r="B203" s="29" t="inlineStr">
        <is>
          <t>Wobbuffet</t>
        </is>
      </c>
      <c r="C203" s="29" t="inlineStr">
        <is>
          <t>ソーナンス</t>
        </is>
      </c>
      <c r="D203" s="29" t="inlineStr">
        <is>
          <t>Qulbutoké</t>
        </is>
      </c>
      <c r="E203" s="29" t="inlineStr">
        <is>
          <t>Woingenau</t>
        </is>
      </c>
      <c r="F203" s="29">
        <f>B203</f>
        <v/>
      </c>
      <c r="G203" s="29">
        <f>B203</f>
        <v/>
      </c>
      <c r="H203" s="29" t="inlineStr">
        <is>
          <t>마자용</t>
        </is>
      </c>
      <c r="I203" s="29" t="inlineStr">
        <is>
          <t>果然翁</t>
        </is>
      </c>
      <c r="J203" s="29">
        <f>I203</f>
        <v/>
      </c>
      <c r="K203" s="29">
        <f>F203</f>
        <v/>
      </c>
    </row>
    <row r="204">
      <c r="A204" s="29">
        <f>CONCATENATE("NAME_PkMn_", UPPER(B204))</f>
        <v/>
      </c>
      <c r="B204" s="29" t="inlineStr">
        <is>
          <t>Girafarig</t>
        </is>
      </c>
      <c r="C204" s="29" t="inlineStr">
        <is>
          <t>キリンリキ</t>
        </is>
      </c>
      <c r="D204" s="29">
        <f>B204</f>
        <v/>
      </c>
      <c r="E204" s="29">
        <f>B204</f>
        <v/>
      </c>
      <c r="F204" s="29">
        <f>B204</f>
        <v/>
      </c>
      <c r="G204" s="29">
        <f>B204</f>
        <v/>
      </c>
      <c r="H204" s="6" t="inlineStr">
        <is>
          <t>키링키</t>
        </is>
      </c>
      <c r="I204" s="29" t="inlineStr">
        <is>
          <t>麒麟奇</t>
        </is>
      </c>
      <c r="J204" s="29">
        <f>I204</f>
        <v/>
      </c>
      <c r="K204" s="29">
        <f>F204</f>
        <v/>
      </c>
    </row>
    <row r="205">
      <c r="A205" s="29">
        <f>CONCATENATE("NAME_PkMn_", UPPER(B205))</f>
        <v/>
      </c>
      <c r="B205" s="29" t="inlineStr">
        <is>
          <t>Pineco</t>
        </is>
      </c>
      <c r="C205" s="29" t="inlineStr">
        <is>
          <t>クヌギダマ</t>
        </is>
      </c>
      <c r="D205" s="29" t="inlineStr">
        <is>
          <t>Pomdepik</t>
        </is>
      </c>
      <c r="E205" s="29" t="inlineStr">
        <is>
          <t>Tanza</t>
        </is>
      </c>
      <c r="F205" s="29">
        <f>B205</f>
        <v/>
      </c>
      <c r="G205" s="29">
        <f>B205</f>
        <v/>
      </c>
      <c r="H205" s="29" t="inlineStr">
        <is>
          <t>피콘</t>
        </is>
      </c>
      <c r="I205" s="29" t="inlineStr">
        <is>
          <t>榛果球</t>
        </is>
      </c>
      <c r="J205" s="29">
        <f>I205</f>
        <v/>
      </c>
      <c r="K205" s="29">
        <f>F205</f>
        <v/>
      </c>
    </row>
    <row r="206">
      <c r="A206" s="29">
        <f>CONCATENATE("NAME_PkMn_", UPPER(B206))</f>
        <v/>
      </c>
      <c r="B206" s="29" t="inlineStr">
        <is>
          <t>Forretress</t>
        </is>
      </c>
      <c r="C206" s="29" t="inlineStr">
        <is>
          <t>フォレトス</t>
        </is>
      </c>
      <c r="D206" s="29" t="inlineStr">
        <is>
          <t>Foretress</t>
        </is>
      </c>
      <c r="E206" s="29" t="inlineStr">
        <is>
          <t>Forstellka</t>
        </is>
      </c>
      <c r="F206" s="29">
        <f>B206</f>
        <v/>
      </c>
      <c r="G206" s="29">
        <f>B206</f>
        <v/>
      </c>
      <c r="H206" s="29" t="inlineStr">
        <is>
          <t>쏘콘</t>
        </is>
      </c>
      <c r="I206" s="29" t="inlineStr">
        <is>
          <t>佛烈托斯</t>
        </is>
      </c>
      <c r="J206" s="29">
        <f>I206</f>
        <v/>
      </c>
      <c r="K206" s="29">
        <f>F206</f>
        <v/>
      </c>
    </row>
    <row r="207">
      <c r="A207" s="29">
        <f>CONCATENATE("NAME_PkMn_", UPPER(B207))</f>
        <v/>
      </c>
      <c r="B207" s="29" t="inlineStr">
        <is>
          <t>Dunsparce</t>
        </is>
      </c>
      <c r="C207" s="29" t="inlineStr">
        <is>
          <t>ノコッチ</t>
        </is>
      </c>
      <c r="D207" s="29" t="inlineStr">
        <is>
          <t>Insolourdo</t>
        </is>
      </c>
      <c r="E207" s="29" t="inlineStr">
        <is>
          <t>Dummisel</t>
        </is>
      </c>
      <c r="F207" s="29">
        <f>B207</f>
        <v/>
      </c>
      <c r="G207" s="29">
        <f>B207</f>
        <v/>
      </c>
      <c r="H207" s="29" t="inlineStr">
        <is>
          <t>노고치</t>
        </is>
      </c>
      <c r="I207" s="29" t="inlineStr">
        <is>
          <t>土龍弟弟</t>
        </is>
      </c>
      <c r="J207" s="29">
        <f>IFERROR(__xludf.DUMMYFUNCTION("GOOGLETRANSLATE(I207,""zh_HANT"",""zh_HANS"")"),"土龙弟弟")</f>
        <v/>
      </c>
      <c r="K207" s="29">
        <f>F207</f>
        <v/>
      </c>
    </row>
    <row r="208">
      <c r="A208" s="29">
        <f>CONCATENATE("NAME_PkMn_", UPPER(B208))</f>
        <v/>
      </c>
      <c r="B208" s="29" t="inlineStr">
        <is>
          <t>Gligar</t>
        </is>
      </c>
      <c r="C208" s="29" t="inlineStr">
        <is>
          <t>グライガー</t>
        </is>
      </c>
      <c r="D208" s="29" t="inlineStr">
        <is>
          <t>Scorplane</t>
        </is>
      </c>
      <c r="E208" s="29" t="inlineStr">
        <is>
          <t>Skorgla</t>
        </is>
      </c>
      <c r="F208" s="29">
        <f>B208</f>
        <v/>
      </c>
      <c r="G208" s="29">
        <f>B208</f>
        <v/>
      </c>
      <c r="H208" s="29" t="inlineStr">
        <is>
          <t>글라이거</t>
        </is>
      </c>
      <c r="I208" s="29" t="inlineStr">
        <is>
          <t>天蠍</t>
        </is>
      </c>
      <c r="J208" s="29">
        <f>IFERROR(__xludf.DUMMYFUNCTION("GOOGLETRANSLATE(I208,""zh_HANT"",""zh_HANS"")"),"天蝎")</f>
        <v/>
      </c>
      <c r="K208" s="29">
        <f>F208</f>
        <v/>
      </c>
    </row>
    <row r="209">
      <c r="A209" s="29">
        <f>CONCATENATE("NAME_PkMn_", UPPER(B209))</f>
        <v/>
      </c>
      <c r="B209" s="29" t="inlineStr">
        <is>
          <t>Steelix</t>
        </is>
      </c>
      <c r="C209" s="29" t="inlineStr">
        <is>
          <t>ハガネール</t>
        </is>
      </c>
      <c r="D209" s="29">
        <f>B209</f>
        <v/>
      </c>
      <c r="E209" s="29" t="inlineStr">
        <is>
          <t>Stahlos</t>
        </is>
      </c>
      <c r="F209" s="29">
        <f>B209</f>
        <v/>
      </c>
      <c r="G209" s="29">
        <f>B209</f>
        <v/>
      </c>
      <c r="H209" s="29" t="inlineStr">
        <is>
          <t>강철톤</t>
        </is>
      </c>
      <c r="I209" s="29">
        <f>IFERROR(__xludf.DUMMYFUNCTION("GOOGLETRANSLATE(J209,""zh_HANS"",""zh_HANT"")"),"大鋼蛇")</f>
        <v/>
      </c>
      <c r="J209" s="29" t="inlineStr">
        <is>
          <t>大钢蛇</t>
        </is>
      </c>
      <c r="K209" s="29">
        <f>F209</f>
        <v/>
      </c>
    </row>
    <row r="210">
      <c r="A210" s="29">
        <f>CONCATENATE("NAME_PkMn_", UPPER(B210))</f>
        <v/>
      </c>
      <c r="B210" s="29" t="inlineStr">
        <is>
          <t>Snubbull</t>
        </is>
      </c>
      <c r="C210" s="29" t="inlineStr">
        <is>
          <t>ブルー</t>
        </is>
      </c>
      <c r="D210" s="29">
        <f>B210</f>
        <v/>
      </c>
      <c r="E210" s="29">
        <f>B210</f>
        <v/>
      </c>
      <c r="F210" s="29">
        <f>B210</f>
        <v/>
      </c>
      <c r="G210" s="29">
        <f>B210</f>
        <v/>
      </c>
      <c r="H210" s="29" t="inlineStr">
        <is>
          <t>블루</t>
        </is>
      </c>
      <c r="I210" s="29" t="inlineStr">
        <is>
          <t>布魯</t>
        </is>
      </c>
      <c r="J210" s="29">
        <f>IFERROR(__xludf.DUMMYFUNCTION("GOOGLETRANSLATE(I210,""zh_HANT"",""zh_HANS"")"),"布鲁")</f>
        <v/>
      </c>
      <c r="K210" s="29">
        <f>F210</f>
        <v/>
      </c>
    </row>
    <row r="211">
      <c r="A211" s="29">
        <f>CONCATENATE("NAME_PkMn_", UPPER(B211))</f>
        <v/>
      </c>
      <c r="B211" s="29" t="inlineStr">
        <is>
          <t>Granbull</t>
        </is>
      </c>
      <c r="C211" s="29" t="inlineStr">
        <is>
          <t>グランブル</t>
        </is>
      </c>
      <c r="D211" s="29">
        <f>B211</f>
        <v/>
      </c>
      <c r="E211" s="29">
        <f>B211</f>
        <v/>
      </c>
      <c r="F211" s="29">
        <f>B211</f>
        <v/>
      </c>
      <c r="G211" s="29">
        <f>B211</f>
        <v/>
      </c>
      <c r="H211" s="29" t="inlineStr">
        <is>
          <t>그랑블루</t>
        </is>
      </c>
      <c r="I211" s="29" t="inlineStr">
        <is>
          <t>布魯皇</t>
        </is>
      </c>
      <c r="J211" s="29">
        <f>IFERROR(__xludf.DUMMYFUNCTION("GOOGLETRANSLATE(I211,""zh_HANT"",""zh_HANS"")"),"布鲁皇")</f>
        <v/>
      </c>
      <c r="K211" s="29">
        <f>F211</f>
        <v/>
      </c>
    </row>
    <row r="212">
      <c r="A212" s="29">
        <f>CONCATENATE("NAME_PkMn_", UPPER(B212))</f>
        <v/>
      </c>
      <c r="B212" s="29" t="inlineStr">
        <is>
          <t>Qwilfish</t>
        </is>
      </c>
      <c r="C212" s="29" t="inlineStr">
        <is>
          <t>ハリーセン</t>
        </is>
      </c>
      <c r="D212" s="29">
        <f>B212</f>
        <v/>
      </c>
      <c r="E212" s="29" t="inlineStr">
        <is>
          <t>Baldorfish</t>
        </is>
      </c>
      <c r="F212" s="29">
        <f>B212</f>
        <v/>
      </c>
      <c r="G212" s="29">
        <f>B212</f>
        <v/>
      </c>
      <c r="H212" s="29" t="inlineStr">
        <is>
          <t>침바루</t>
        </is>
      </c>
      <c r="I212" s="29" t="inlineStr">
        <is>
          <t>千針魚</t>
        </is>
      </c>
      <c r="J212" s="29">
        <f>IFERROR(__xludf.DUMMYFUNCTION("GOOGLETRANSLATE(I212,""zh_HANT"",""zh_HANS"")"),"千针鱼")</f>
        <v/>
      </c>
      <c r="K212" s="29">
        <f>F212</f>
        <v/>
      </c>
    </row>
    <row r="213">
      <c r="A213" s="29">
        <f>CONCATENATE("NAME_PkMn_", UPPER(B213))</f>
        <v/>
      </c>
      <c r="B213" s="29" t="inlineStr">
        <is>
          <t>Scizor</t>
        </is>
      </c>
      <c r="C213" s="29" t="inlineStr">
        <is>
          <t>ハッサム</t>
        </is>
      </c>
      <c r="D213" s="29" t="inlineStr">
        <is>
          <t>Cizayox</t>
        </is>
      </c>
      <c r="E213" s="29" t="inlineStr">
        <is>
          <t>Scherox</t>
        </is>
      </c>
      <c r="F213" s="29">
        <f>B213</f>
        <v/>
      </c>
      <c r="G213" s="29">
        <f>B213</f>
        <v/>
      </c>
      <c r="H213" s="29" t="inlineStr">
        <is>
          <t>핫삼나</t>
        </is>
      </c>
      <c r="I213" s="29">
        <f>IFERROR(__xludf.DUMMYFUNCTION("GOOGLETRANSLATE(J213,""zh_HANS"",""zh_HANT"")"),"巨鉗螳螂")</f>
        <v/>
      </c>
      <c r="J213" s="29" t="inlineStr">
        <is>
          <t>巨钳螳螂</t>
        </is>
      </c>
      <c r="K213" s="29">
        <f>F213</f>
        <v/>
      </c>
    </row>
    <row r="214">
      <c r="A214" s="29">
        <f>CONCATENATE("NAME_PkMn_", UPPER(B214))</f>
        <v/>
      </c>
      <c r="B214" s="29" t="inlineStr">
        <is>
          <t>Shuckle</t>
        </is>
      </c>
      <c r="C214" s="29" t="inlineStr">
        <is>
          <t>ツボツボ</t>
        </is>
      </c>
      <c r="D214" s="29" t="inlineStr">
        <is>
          <t>Caratroc</t>
        </is>
      </c>
      <c r="E214" s="29" t="inlineStr">
        <is>
          <t>Pottrott</t>
        </is>
      </c>
      <c r="F214" s="29">
        <f>B214</f>
        <v/>
      </c>
      <c r="G214" s="29">
        <f>B214</f>
        <v/>
      </c>
      <c r="H214" s="29" t="inlineStr">
        <is>
          <t>단단지</t>
        </is>
      </c>
      <c r="I214" s="29" t="inlineStr">
        <is>
          <t>壺壺</t>
        </is>
      </c>
      <c r="J214" s="29">
        <f>IFERROR(__xludf.DUMMYFUNCTION("GOOGLETRANSLATE(I214,""zh_HANT"",""zh_HANS"")"),"壶壶")</f>
        <v/>
      </c>
      <c r="K214" s="29">
        <f>F214</f>
        <v/>
      </c>
    </row>
    <row r="215">
      <c r="A215" s="29">
        <f>CONCATENATE("NAME_PkMn_", UPPER(B215))</f>
        <v/>
      </c>
      <c r="B215" s="29" t="inlineStr">
        <is>
          <t>Heracross</t>
        </is>
      </c>
      <c r="C215" s="29" t="inlineStr">
        <is>
          <t>ヘラクロス</t>
        </is>
      </c>
      <c r="D215" s="29" t="inlineStr">
        <is>
          <t>Scarhino</t>
        </is>
      </c>
      <c r="E215" s="29" t="inlineStr">
        <is>
          <t>Skarabon</t>
        </is>
      </c>
      <c r="F215" s="29">
        <f>B215</f>
        <v/>
      </c>
      <c r="G215" s="29">
        <f>B215</f>
        <v/>
      </c>
      <c r="H215" s="29" t="inlineStr">
        <is>
          <t>헤라크로스</t>
        </is>
      </c>
      <c r="I215" s="29">
        <f>IFERROR(__xludf.DUMMYFUNCTION("GOOGLETRANSLATE(J215,""zh_HANS"",""zh_HANT"")"),"赫拉克羅斯")</f>
        <v/>
      </c>
      <c r="J215" s="29" t="inlineStr">
        <is>
          <t>赫拉克罗斯</t>
        </is>
      </c>
      <c r="K215" s="29">
        <f>F215</f>
        <v/>
      </c>
    </row>
    <row r="216">
      <c r="A216" s="29">
        <f>CONCATENATE("NAME_PkMn_", UPPER(B216))</f>
        <v/>
      </c>
      <c r="B216" s="29" t="inlineStr">
        <is>
          <t>Sneasel</t>
        </is>
      </c>
      <c r="C216" s="29" t="inlineStr">
        <is>
          <t>ニューラ</t>
        </is>
      </c>
      <c r="D216" s="29" t="inlineStr">
        <is>
          <t>Farfuret</t>
        </is>
      </c>
      <c r="E216" s="29" t="inlineStr">
        <is>
          <t>Sniebel</t>
        </is>
      </c>
      <c r="F216" s="29">
        <f>B216</f>
        <v/>
      </c>
      <c r="G216" s="29">
        <f>B216</f>
        <v/>
      </c>
      <c r="H216" s="29" t="inlineStr">
        <is>
          <t>포푸니</t>
        </is>
      </c>
      <c r="I216" s="29" t="inlineStr">
        <is>
          <t>狃拉</t>
        </is>
      </c>
      <c r="J216" s="29">
        <f>I216</f>
        <v/>
      </c>
      <c r="K216" s="29">
        <f>F216</f>
        <v/>
      </c>
    </row>
    <row r="217">
      <c r="A217" s="29">
        <f>CONCATENATE("NAME_PkMn_", UPPER(B217))</f>
        <v/>
      </c>
      <c r="B217" s="29" t="inlineStr">
        <is>
          <t>Teddiursa</t>
        </is>
      </c>
      <c r="C217" s="29" t="inlineStr">
        <is>
          <t>ヒメグマ</t>
        </is>
      </c>
      <c r="D217" s="29">
        <f>B217</f>
        <v/>
      </c>
      <c r="E217" s="29">
        <f>B217</f>
        <v/>
      </c>
      <c r="F217" s="29">
        <f>B217</f>
        <v/>
      </c>
      <c r="G217" s="29">
        <f>B217</f>
        <v/>
      </c>
      <c r="H217" s="29" t="inlineStr">
        <is>
          <t>깜지곰</t>
        </is>
      </c>
      <c r="I217" s="29" t="inlineStr">
        <is>
          <t>熊寶寶</t>
        </is>
      </c>
      <c r="J217" s="29">
        <f>IFERROR(__xludf.DUMMYFUNCTION("GOOGLETRANSLATE(I217,""zh_HANT"",""zh_HANS"")"),"熊宝宝")</f>
        <v/>
      </c>
      <c r="K217" s="29">
        <f>F217</f>
        <v/>
      </c>
    </row>
    <row r="218">
      <c r="A218" s="29">
        <f>CONCATENATE("NAME_PkMn_", UPPER(B218))</f>
        <v/>
      </c>
      <c r="B218" s="29" t="inlineStr">
        <is>
          <t>Ursaring</t>
        </is>
      </c>
      <c r="C218" s="29" t="inlineStr">
        <is>
          <t>リングマ</t>
        </is>
      </c>
      <c r="D218" s="29">
        <f>B218</f>
        <v/>
      </c>
      <c r="E218" s="29">
        <f>B218</f>
        <v/>
      </c>
      <c r="F218" s="29">
        <f>B218</f>
        <v/>
      </c>
      <c r="G218" s="29">
        <f>B218</f>
        <v/>
      </c>
      <c r="H218" s="29" t="inlineStr">
        <is>
          <t>링곰</t>
        </is>
      </c>
      <c r="I218" s="29" t="inlineStr">
        <is>
          <t>圈圈熊</t>
        </is>
      </c>
      <c r="J218" s="29">
        <f>IFERROR(__xludf.DUMMYFUNCTION("GOOGLETRANSLATE(I218,""zh_HANT"",""zh_HANS"")"),"圈圈熊")</f>
        <v/>
      </c>
      <c r="K218" s="29">
        <f>F218</f>
        <v/>
      </c>
    </row>
    <row r="219">
      <c r="A219" s="29">
        <f>CONCATENATE("NAME_PkMn_", UPPER(B219))</f>
        <v/>
      </c>
      <c r="B219" s="29" t="inlineStr">
        <is>
          <t>Slugma</t>
        </is>
      </c>
      <c r="C219" s="29" t="inlineStr">
        <is>
          <t>マグマッグ</t>
        </is>
      </c>
      <c r="D219" s="29" t="inlineStr">
        <is>
          <t>Limagma</t>
        </is>
      </c>
      <c r="E219" s="29" t="inlineStr">
        <is>
          <t>Schneckmag</t>
        </is>
      </c>
      <c r="F219" s="29">
        <f>B219</f>
        <v/>
      </c>
      <c r="G219" s="29">
        <f>B219</f>
        <v/>
      </c>
      <c r="H219" s="29" t="inlineStr">
        <is>
          <t>마그마그</t>
        </is>
      </c>
      <c r="I219" s="29" t="inlineStr">
        <is>
          <t>熔岩蟲</t>
        </is>
      </c>
      <c r="J219" s="29">
        <f>IFERROR(__xludf.DUMMYFUNCTION("GOOGLETRANSLATE(I219,""zh_HANT"",""zh_HANS"")"),"熔岩虫")</f>
        <v/>
      </c>
      <c r="K219" s="29">
        <f>F219</f>
        <v/>
      </c>
    </row>
    <row r="220">
      <c r="A220" s="29">
        <f>CONCATENATE("NAME_PkMn_", UPPER(B220))</f>
        <v/>
      </c>
      <c r="B220" s="29" t="inlineStr">
        <is>
          <t>Magcargo</t>
        </is>
      </c>
      <c r="C220" s="29" t="inlineStr">
        <is>
          <t>マグカルゴ</t>
        </is>
      </c>
      <c r="D220" s="29" t="inlineStr">
        <is>
          <t>Volcaropod</t>
        </is>
      </c>
      <c r="E220" s="29">
        <f>B220</f>
        <v/>
      </c>
      <c r="F220" s="29">
        <f>B220</f>
        <v/>
      </c>
      <c r="G220" s="29">
        <f>B220</f>
        <v/>
      </c>
      <c r="H220" s="29" t="inlineStr">
        <is>
          <t>마그카르고</t>
        </is>
      </c>
      <c r="I220" s="29" t="inlineStr">
        <is>
          <t>熔岩蝸牛</t>
        </is>
      </c>
      <c r="J220" s="29">
        <f>IFERROR(__xludf.DUMMYFUNCTION("GOOGLETRANSLATE(I220,""zh_HANT"",""zh_HANS"")"),"熔岩蜗牛")</f>
        <v/>
      </c>
      <c r="K220" s="29">
        <f>F220</f>
        <v/>
      </c>
    </row>
    <row r="221">
      <c r="A221" s="29">
        <f>CONCATENATE("NAME_PkMn_", UPPER(B221))</f>
        <v/>
      </c>
      <c r="B221" s="29" t="inlineStr">
        <is>
          <t>Swinub</t>
        </is>
      </c>
      <c r="C221" s="29" t="inlineStr">
        <is>
          <t>ウリムー</t>
        </is>
      </c>
      <c r="D221" s="29" t="inlineStr">
        <is>
          <t>Marcacrin</t>
        </is>
      </c>
      <c r="E221" s="29" t="inlineStr">
        <is>
          <t>Quiekel</t>
        </is>
      </c>
      <c r="F221" s="29">
        <f>B221</f>
        <v/>
      </c>
      <c r="G221" s="29">
        <f>B221</f>
        <v/>
      </c>
      <c r="H221" s="29" t="inlineStr">
        <is>
          <t>꾸꾸리</t>
        </is>
      </c>
      <c r="I221" s="29" t="inlineStr">
        <is>
          <t>小山豬</t>
        </is>
      </c>
      <c r="J221" s="29">
        <f>IFERROR(__xludf.DUMMYFUNCTION("GOOGLETRANSLATE(I221,""zh_HANT"",""zh_HANS"")"),"小山猪")</f>
        <v/>
      </c>
      <c r="K221" s="29">
        <f>F221</f>
        <v/>
      </c>
    </row>
    <row r="222">
      <c r="A222" s="29">
        <f>CONCATENATE("NAME_PkMn_", UPPER(B222))</f>
        <v/>
      </c>
      <c r="B222" s="29" t="inlineStr">
        <is>
          <t>Piloswine</t>
        </is>
      </c>
      <c r="C222" s="29" t="inlineStr">
        <is>
          <t>イノムー</t>
        </is>
      </c>
      <c r="D222" s="29" t="inlineStr">
        <is>
          <t>Cochignon</t>
        </is>
      </c>
      <c r="E222" s="29" t="inlineStr">
        <is>
          <t>Keifel</t>
        </is>
      </c>
      <c r="F222" s="29">
        <f>B222</f>
        <v/>
      </c>
      <c r="G222" s="29">
        <f>B222</f>
        <v/>
      </c>
      <c r="H222" s="29" t="inlineStr">
        <is>
          <t>메꾸리</t>
        </is>
      </c>
      <c r="I222" s="29" t="inlineStr">
        <is>
          <t>長毛豬</t>
        </is>
      </c>
      <c r="J222" s="29">
        <f>IFERROR(__xludf.DUMMYFUNCTION("GOOGLETRANSLATE(I222,""zh_HANT"",""zh_HANS"")"),"长毛猪")</f>
        <v/>
      </c>
      <c r="K222" s="29">
        <f>F222</f>
        <v/>
      </c>
    </row>
    <row r="223">
      <c r="A223" s="29">
        <f>CONCATENATE("NAME_PkMn_", UPPER(B223))</f>
        <v/>
      </c>
      <c r="B223" s="29" t="inlineStr">
        <is>
          <t>Corsola</t>
        </is>
      </c>
      <c r="C223" s="29" t="inlineStr">
        <is>
          <t>サニーゴ</t>
        </is>
      </c>
      <c r="D223" s="29" t="inlineStr">
        <is>
          <t>Corayon</t>
        </is>
      </c>
      <c r="E223" s="29" t="inlineStr">
        <is>
          <t>Corasonn</t>
        </is>
      </c>
      <c r="F223" s="29">
        <f>B223</f>
        <v/>
      </c>
      <c r="G223" s="29">
        <f>B223</f>
        <v/>
      </c>
      <c r="H223" s="29" t="inlineStr">
        <is>
          <t>코산호</t>
        </is>
      </c>
      <c r="I223" s="29" t="inlineStr">
        <is>
          <t>太陽珊瑚</t>
        </is>
      </c>
      <c r="J223" s="29">
        <f>IFERROR(__xludf.DUMMYFUNCTION("GOOGLETRANSLATE(I223,""zh_HANT"",""zh_HANS"")"),"太阳珊瑚")</f>
        <v/>
      </c>
      <c r="K223" s="29">
        <f>F223</f>
        <v/>
      </c>
    </row>
    <row r="224">
      <c r="A224" s="29">
        <f>CONCATENATE("NAME_PkMn_", UPPER(B224))</f>
        <v/>
      </c>
      <c r="B224" s="29" t="inlineStr">
        <is>
          <t>Remoraid</t>
        </is>
      </c>
      <c r="C224" s="29" t="inlineStr">
        <is>
          <t>テッポウオ</t>
        </is>
      </c>
      <c r="D224" s="29" t="inlineStr">
        <is>
          <t>Rémoraid</t>
        </is>
      </c>
      <c r="E224" s="29">
        <f>B224</f>
        <v/>
      </c>
      <c r="F224" s="29">
        <f>B224</f>
        <v/>
      </c>
      <c r="G224" s="29">
        <f>B224</f>
        <v/>
      </c>
      <c r="H224" s="29" t="inlineStr">
        <is>
          <t>총어</t>
        </is>
      </c>
      <c r="I224" s="29" t="inlineStr">
        <is>
          <t>鐵炮魚</t>
        </is>
      </c>
      <c r="J224" s="29">
        <f>IFERROR(__xludf.DUMMYFUNCTION("GOOGLETRANSLATE(I224,""zh_HANT"",""zh_HANS"")"),"铁炮鱼")</f>
        <v/>
      </c>
      <c r="K224" s="29">
        <f>F224</f>
        <v/>
      </c>
    </row>
    <row r="225">
      <c r="A225" s="29">
        <f>CONCATENATE("NAME_PkMn_", UPPER(B225))</f>
        <v/>
      </c>
      <c r="B225" s="29" t="inlineStr">
        <is>
          <t>Octillery</t>
        </is>
      </c>
      <c r="C225" s="29" t="inlineStr">
        <is>
          <t>オクタン</t>
        </is>
      </c>
      <c r="D225" s="29">
        <f>B225</f>
        <v/>
      </c>
      <c r="E225" s="29">
        <f>B225</f>
        <v/>
      </c>
      <c r="F225" s="29">
        <f>B225</f>
        <v/>
      </c>
      <c r="G225" s="29">
        <f>B225</f>
        <v/>
      </c>
      <c r="H225" s="29" t="inlineStr">
        <is>
          <t>대포무노</t>
        </is>
      </c>
      <c r="I225" s="29" t="inlineStr">
        <is>
          <t>章魚桶</t>
        </is>
      </c>
      <c r="J225" s="29">
        <f>IFERROR(__xludf.DUMMYFUNCTION("GOOGLETRANSLATE(I225,""zh_HANT"",""zh_HANS"")"),"章鱼桶")</f>
        <v/>
      </c>
      <c r="K225" s="29">
        <f>F225</f>
        <v/>
      </c>
    </row>
    <row r="226">
      <c r="A226" s="29">
        <f>CONCATENATE("NAME_PkMn_", UPPER(B226))</f>
        <v/>
      </c>
      <c r="B226" s="29" t="inlineStr">
        <is>
          <t>Delibird</t>
        </is>
      </c>
      <c r="C226" s="29" t="inlineStr">
        <is>
          <t>デリバード</t>
        </is>
      </c>
      <c r="D226" s="29" t="inlineStr">
        <is>
          <t>Cadoizo</t>
        </is>
      </c>
      <c r="E226" s="29" t="inlineStr">
        <is>
          <t>Botogel</t>
        </is>
      </c>
      <c r="F226" s="29">
        <f>B226</f>
        <v/>
      </c>
      <c r="G226" s="29">
        <f>B226</f>
        <v/>
      </c>
      <c r="H226" s="29" t="inlineStr">
        <is>
          <t>딜리버드</t>
        </is>
      </c>
      <c r="I226" s="29" t="inlineStr">
        <is>
          <t>信使鳥</t>
        </is>
      </c>
      <c r="J226" s="29">
        <f>IFERROR(__xludf.DUMMYFUNCTION("GOOGLETRANSLATE(I226,""zh_HANT"",""zh_HANS"")"),"信使鸟")</f>
        <v/>
      </c>
      <c r="K226" s="29">
        <f>F226</f>
        <v/>
      </c>
    </row>
    <row r="227">
      <c r="A227" s="29">
        <f>CONCATENATE("NAME_PkMn_", UPPER(B227))</f>
        <v/>
      </c>
      <c r="B227" s="29" t="inlineStr">
        <is>
          <t>Mantine</t>
        </is>
      </c>
      <c r="C227" s="29" t="inlineStr">
        <is>
          <t>マンタイン</t>
        </is>
      </c>
      <c r="D227" s="29" t="inlineStr">
        <is>
          <t>Démanta</t>
        </is>
      </c>
      <c r="E227" s="29" t="inlineStr">
        <is>
          <t>mantax</t>
        </is>
      </c>
      <c r="F227" s="29">
        <f>B227</f>
        <v/>
      </c>
      <c r="G227" s="29">
        <f>B227</f>
        <v/>
      </c>
      <c r="H227" s="29" t="inlineStr">
        <is>
          <t>만타인</t>
        </is>
      </c>
      <c r="I227" s="29" t="inlineStr">
        <is>
          <t>巨翅飛魚</t>
        </is>
      </c>
      <c r="J227" s="29">
        <f>IFERROR(__xludf.DUMMYFUNCTION("GOOGLETRANSLATE(I227,""zh_HANT"",""zh_HANS"")"),"巨翅飞鱼")</f>
        <v/>
      </c>
      <c r="K227" s="29">
        <f>F227</f>
        <v/>
      </c>
    </row>
    <row r="228">
      <c r="A228" s="29">
        <f>CONCATENATE("NAME_PkMn_", UPPER(B228))</f>
        <v/>
      </c>
      <c r="B228" s="29" t="inlineStr">
        <is>
          <t>Skarmory</t>
        </is>
      </c>
      <c r="C228" s="29" t="inlineStr">
        <is>
          <t>エアームド</t>
        </is>
      </c>
      <c r="D228" s="29" t="inlineStr">
        <is>
          <t>Airmure</t>
        </is>
      </c>
      <c r="E228" s="29" t="inlineStr">
        <is>
          <t>Panzaeron</t>
        </is>
      </c>
      <c r="F228" s="29">
        <f>B228</f>
        <v/>
      </c>
      <c r="G228" s="29">
        <f>B228</f>
        <v/>
      </c>
      <c r="H228" s="29" t="inlineStr">
        <is>
          <t>무장조</t>
        </is>
      </c>
      <c r="I228" s="29" t="inlineStr">
        <is>
          <t>盔甲鳥</t>
        </is>
      </c>
      <c r="J228" s="29">
        <f>IFERROR(__xludf.DUMMYFUNCTION("GOOGLETRANSLATE(I228,""zh_HANT"",""zh_HANS"")"),"盔甲鸟")</f>
        <v/>
      </c>
      <c r="K228" s="29">
        <f>F228</f>
        <v/>
      </c>
    </row>
    <row r="229">
      <c r="A229" s="29">
        <f>CONCATENATE("NAME_PkMn_", UPPER(B229))</f>
        <v/>
      </c>
      <c r="B229" s="29" t="inlineStr">
        <is>
          <t>Houndoor</t>
        </is>
      </c>
      <c r="C229" s="29" t="inlineStr">
        <is>
          <t>デルビル</t>
        </is>
      </c>
      <c r="D229" s="29" t="inlineStr">
        <is>
          <t>Malosse</t>
        </is>
      </c>
      <c r="E229" s="29" t="inlineStr">
        <is>
          <t>Hunduster</t>
        </is>
      </c>
      <c r="F229" s="29">
        <f>B229</f>
        <v/>
      </c>
      <c r="G229" s="29">
        <f>B229</f>
        <v/>
      </c>
      <c r="H229" s="29" t="inlineStr">
        <is>
          <t>델빌</t>
        </is>
      </c>
      <c r="I229" s="29" t="inlineStr">
        <is>
          <t>戴魯比</t>
        </is>
      </c>
      <c r="J229" s="29">
        <f>IFERROR(__xludf.DUMMYFUNCTION("GOOGLETRANSLATE(I229,""zh_HANT"",""zh_HANS"")"),"戴鲁比")</f>
        <v/>
      </c>
      <c r="K229" s="29">
        <f>F229</f>
        <v/>
      </c>
    </row>
    <row r="230">
      <c r="A230" s="29">
        <f>CONCATENATE("NAME_PkMn_", UPPER(B230))</f>
        <v/>
      </c>
      <c r="B230" s="29" t="inlineStr">
        <is>
          <t>Houndoom</t>
        </is>
      </c>
      <c r="C230" s="29" t="inlineStr">
        <is>
          <t>ヘルガー</t>
        </is>
      </c>
      <c r="D230" s="29" t="inlineStr">
        <is>
          <t>Démolosse</t>
        </is>
      </c>
      <c r="E230" s="29" t="inlineStr">
        <is>
          <t>Hundemon</t>
        </is>
      </c>
      <c r="F230" s="29">
        <f>B230</f>
        <v/>
      </c>
      <c r="G230" s="29">
        <f>B230</f>
        <v/>
      </c>
      <c r="H230" s="29" t="inlineStr">
        <is>
          <t>헬가</t>
        </is>
      </c>
      <c r="I230" s="29">
        <f>IFERROR(__xludf.DUMMYFUNCTION("GOOGLETRANSLATE(J230,""zh_HANS"",""zh_HANT"")"),"黑魯加")</f>
        <v/>
      </c>
      <c r="J230" s="29" t="inlineStr">
        <is>
          <t>黑鲁加</t>
        </is>
      </c>
      <c r="K230" s="29">
        <f>F230</f>
        <v/>
      </c>
    </row>
    <row r="231">
      <c r="A231" s="29">
        <f>CONCATENATE("NAME_PkMn_", UPPER(B231))</f>
        <v/>
      </c>
      <c r="B231" s="29" t="inlineStr">
        <is>
          <t>Kingdra</t>
        </is>
      </c>
      <c r="C231" s="29" t="inlineStr">
        <is>
          <t>キングドラ</t>
        </is>
      </c>
      <c r="D231" s="29" t="inlineStr">
        <is>
          <t>Hyporoi</t>
        </is>
      </c>
      <c r="E231" s="29" t="inlineStr">
        <is>
          <t>Seedraking</t>
        </is>
      </c>
      <c r="F231" s="29">
        <f>B231</f>
        <v/>
      </c>
      <c r="G231" s="29">
        <f>B231</f>
        <v/>
      </c>
      <c r="H231" s="29" t="inlineStr">
        <is>
          <t>킹드라</t>
        </is>
      </c>
      <c r="I231" s="29" t="inlineStr">
        <is>
          <t>刺龍王</t>
        </is>
      </c>
      <c r="J231" s="29">
        <f>IFERROR(__xludf.DUMMYFUNCTION("GOOGLETRANSLATE(I231,""zh_HANT"",""zh_HANS"")"),"刺龙王")</f>
        <v/>
      </c>
      <c r="K231" s="29">
        <f>F231</f>
        <v/>
      </c>
    </row>
    <row r="232">
      <c r="A232" s="29">
        <f>CONCATENATE("NAME_PkMn_", UPPER(B232))</f>
        <v/>
      </c>
      <c r="B232" s="29" t="inlineStr">
        <is>
          <t>Phanpy</t>
        </is>
      </c>
      <c r="C232" s="29" t="inlineStr">
        <is>
          <t>ゴマゾウ</t>
        </is>
      </c>
      <c r="D232" s="29">
        <f>B232</f>
        <v/>
      </c>
      <c r="E232" s="29">
        <f>B232</f>
        <v/>
      </c>
      <c r="F232" s="29">
        <f>B232</f>
        <v/>
      </c>
      <c r="G232" s="29">
        <f>B232</f>
        <v/>
      </c>
      <c r="H232" s="29" t="inlineStr">
        <is>
          <t>코코리</t>
        </is>
      </c>
      <c r="I232" s="29" t="inlineStr">
        <is>
          <t>小小象</t>
        </is>
      </c>
      <c r="J232" s="29">
        <f>I232</f>
        <v/>
      </c>
      <c r="K232" s="29">
        <f>F232</f>
        <v/>
      </c>
    </row>
    <row r="233">
      <c r="A233" s="29">
        <f>CONCATENATE("NAME_PkMn_", UPPER(B233))</f>
        <v/>
      </c>
      <c r="B233" s="29" t="inlineStr">
        <is>
          <t>Donphan</t>
        </is>
      </c>
      <c r="C233" s="29" t="inlineStr">
        <is>
          <t>ドンファン</t>
        </is>
      </c>
      <c r="D233" s="29">
        <f>B233</f>
        <v/>
      </c>
      <c r="E233" s="29">
        <f>B233</f>
        <v/>
      </c>
      <c r="F233" s="29">
        <f>B233</f>
        <v/>
      </c>
      <c r="G233" s="29">
        <f>B233</f>
        <v/>
      </c>
      <c r="H233" s="29" t="inlineStr">
        <is>
          <t>코리갑</t>
        </is>
      </c>
      <c r="I233" s="29" t="inlineStr">
        <is>
          <t>頓甲</t>
        </is>
      </c>
      <c r="J233" s="29">
        <f>IFERROR(__xludf.DUMMYFUNCTION("GOOGLETRANSLATE(I233,""zh_HANT"",""zh_HANS"")"),"顿甲")</f>
        <v/>
      </c>
      <c r="K233" s="29">
        <f>F233</f>
        <v/>
      </c>
    </row>
    <row r="234">
      <c r="A234" s="29">
        <f>CONCATENATE("NAME_PkMn_", UPPER(B234))</f>
        <v/>
      </c>
      <c r="B234" s="29" t="inlineStr">
        <is>
          <t>Porygon2</t>
        </is>
      </c>
      <c r="C234" s="29" t="inlineStr">
        <is>
          <t>ポリゴン２</t>
        </is>
      </c>
      <c r="D234" s="29">
        <f>B234</f>
        <v/>
      </c>
      <c r="E234" s="29">
        <f>B234</f>
        <v/>
      </c>
      <c r="F234" s="29">
        <f>B234</f>
        <v/>
      </c>
      <c r="G234" s="29">
        <f>B234</f>
        <v/>
      </c>
      <c r="H234" s="29">
        <f>CONCATENATE(H138,"２")</f>
        <v/>
      </c>
      <c r="I234" s="29">
        <f>CONCATENATE(I138,"Ⅱ")</f>
        <v/>
      </c>
      <c r="J234" s="29">
        <f>CONCATENATE(J138,"２型")</f>
        <v/>
      </c>
      <c r="K234" s="29">
        <f>F234</f>
        <v/>
      </c>
    </row>
    <row r="235">
      <c r="A235" s="29">
        <f>CONCATENATE("NAME_PkMn_", UPPER(B235))</f>
        <v/>
      </c>
      <c r="B235" s="29" t="inlineStr">
        <is>
          <t>Stantler</t>
        </is>
      </c>
      <c r="C235" s="29" t="inlineStr">
        <is>
          <t>オドシシ</t>
        </is>
      </c>
      <c r="D235" s="29" t="inlineStr">
        <is>
          <t>Cerfrousse</t>
        </is>
      </c>
      <c r="E235" s="29" t="inlineStr">
        <is>
          <t>Damhirplex</t>
        </is>
      </c>
      <c r="F235" s="29">
        <f>B235</f>
        <v/>
      </c>
      <c r="G235" s="29">
        <f>B235</f>
        <v/>
      </c>
      <c r="H235" s="29" t="inlineStr">
        <is>
          <t>노라키</t>
        </is>
      </c>
      <c r="I235" s="29" t="inlineStr">
        <is>
          <t>驚角鹿</t>
        </is>
      </c>
      <c r="J235" s="29">
        <f>IFERROR(__xludf.DUMMYFUNCTION("GOOGLETRANSLATE(I235,""zh_HANT"",""zh_HANS"")"),"惊角鹿")</f>
        <v/>
      </c>
      <c r="K235" s="29">
        <f>F235</f>
        <v/>
      </c>
    </row>
    <row r="236">
      <c r="A236" s="29">
        <f>CONCATENATE("NAME_PkMn_", UPPER(B236))</f>
        <v/>
      </c>
      <c r="B236" s="29" t="inlineStr">
        <is>
          <t>Smeargle</t>
        </is>
      </c>
      <c r="C236" s="29" t="inlineStr">
        <is>
          <t>ドーブル</t>
        </is>
      </c>
      <c r="D236" s="29" t="inlineStr">
        <is>
          <t>Queulorior</t>
        </is>
      </c>
      <c r="E236" s="29" t="inlineStr">
        <is>
          <t>Farbeagle</t>
        </is>
      </c>
      <c r="F236" s="29">
        <f>B236</f>
        <v/>
      </c>
      <c r="G236" s="29">
        <f>B236</f>
        <v/>
      </c>
      <c r="H236" s="29" t="inlineStr">
        <is>
          <t>루브도</t>
        </is>
      </c>
      <c r="I236" s="29" t="inlineStr">
        <is>
          <t>圖圖犬</t>
        </is>
      </c>
      <c r="J236" s="29">
        <f>IFERROR(__xludf.DUMMYFUNCTION("GOOGLETRANSLATE(I236,""zh_HANT"",""zh_HANS"")"),"图图犬")</f>
        <v/>
      </c>
      <c r="K236" s="29">
        <f>F236</f>
        <v/>
      </c>
    </row>
    <row r="237">
      <c r="A237" s="29">
        <f>CONCATENATE("NAME_PkMn_", UPPER(B237))</f>
        <v/>
      </c>
      <c r="B237" s="29" t="inlineStr">
        <is>
          <t>Tyrogue</t>
        </is>
      </c>
      <c r="C237" s="29" t="inlineStr">
        <is>
          <t>バルキー</t>
        </is>
      </c>
      <c r="D237" s="29" t="inlineStr">
        <is>
          <t>Debugant</t>
        </is>
      </c>
      <c r="E237" s="29" t="inlineStr">
        <is>
          <t>Rabauz</t>
        </is>
      </c>
      <c r="F237" s="29">
        <f>B237</f>
        <v/>
      </c>
      <c r="G237" s="29">
        <f>B237</f>
        <v/>
      </c>
      <c r="H237" s="29" t="inlineStr">
        <is>
          <t>배루키</t>
        </is>
      </c>
      <c r="I237" s="29" t="inlineStr">
        <is>
          <t>無畏小子</t>
        </is>
      </c>
      <c r="J237" s="29">
        <f>IFERROR(__xludf.DUMMYFUNCTION("GOOGLETRANSLATE(I237,""zh_HANT"",""zh_HANS"")"),"无畏小子")</f>
        <v/>
      </c>
      <c r="K237" s="29">
        <f>F237</f>
        <v/>
      </c>
    </row>
    <row r="238">
      <c r="A238" s="29">
        <f>CONCATENATE("NAME_PkMn_", UPPER(B238))</f>
        <v/>
      </c>
      <c r="B238" s="29" t="inlineStr">
        <is>
          <t>Hitmontop</t>
        </is>
      </c>
      <c r="C238" s="29" t="inlineStr">
        <is>
          <t>カポエラー</t>
        </is>
      </c>
      <c r="D238" s="29" t="inlineStr">
        <is>
          <t>Kapoera</t>
        </is>
      </c>
      <c r="E238" s="29" t="inlineStr">
        <is>
          <t>Kapoera</t>
        </is>
      </c>
      <c r="F238" s="29">
        <f>B238</f>
        <v/>
      </c>
      <c r="G238" s="29">
        <f>B238</f>
        <v/>
      </c>
      <c r="H238" s="29" t="inlineStr">
        <is>
          <t>카포에라</t>
        </is>
      </c>
      <c r="I238" s="29" t="inlineStr">
        <is>
          <t>戰舞郎</t>
        </is>
      </c>
      <c r="J238" s="29">
        <f>IFERROR(__xludf.DUMMYFUNCTION("GOOGLETRANSLATE(I238,""zh_HANT"",""zh_HANS"")"),"战舞郎")</f>
        <v/>
      </c>
      <c r="K238" s="29">
        <f>F238</f>
        <v/>
      </c>
    </row>
    <row r="239">
      <c r="A239" s="29">
        <f>CONCATENATE("NAME_PkMn_", UPPER(B239))</f>
        <v/>
      </c>
      <c r="B239" s="29" t="inlineStr">
        <is>
          <t>Smoochum</t>
        </is>
      </c>
      <c r="C239" s="29" t="inlineStr">
        <is>
          <t>ムチュール</t>
        </is>
      </c>
      <c r="D239" s="29" t="inlineStr">
        <is>
          <t>Lippouti</t>
        </is>
      </c>
      <c r="E239" s="29" t="inlineStr">
        <is>
          <t>Kussilla</t>
        </is>
      </c>
      <c r="F239" s="29">
        <f>B239</f>
        <v/>
      </c>
      <c r="G239" s="29">
        <f>B239</f>
        <v/>
      </c>
      <c r="H239" s="29" t="inlineStr">
        <is>
          <t>뽀뽀라</t>
        </is>
      </c>
      <c r="I239" s="29" t="inlineStr">
        <is>
          <t>迷唇娃</t>
        </is>
      </c>
      <c r="J239" s="29">
        <f>I239</f>
        <v/>
      </c>
      <c r="K239" s="29">
        <f>F239</f>
        <v/>
      </c>
    </row>
    <row r="240">
      <c r="A240" s="29">
        <f>CONCATENATE("NAME_PkMn_", UPPER(B240))</f>
        <v/>
      </c>
      <c r="B240" s="29" t="inlineStr">
        <is>
          <t>Elekid</t>
        </is>
      </c>
      <c r="C240" s="29" t="inlineStr">
        <is>
          <t>エレキッド</t>
        </is>
      </c>
      <c r="D240" s="29" t="inlineStr">
        <is>
          <t>Élékid</t>
        </is>
      </c>
      <c r="E240" s="29">
        <f>B240</f>
        <v/>
      </c>
      <c r="F240" s="29">
        <f>B240</f>
        <v/>
      </c>
      <c r="G240" s="29">
        <f>B240</f>
        <v/>
      </c>
      <c r="H240" s="29" t="inlineStr">
        <is>
          <t>에레키드</t>
        </is>
      </c>
      <c r="I240" s="29" t="inlineStr">
        <is>
          <t>電擊怪</t>
        </is>
      </c>
      <c r="J240" s="29">
        <f>IFERROR(__xludf.DUMMYFUNCTION("GOOGLETRANSLATE(I240,""zh_HANT"",""zh_HANS"")"),"电击怪")</f>
        <v/>
      </c>
      <c r="K240" s="29">
        <f>F240</f>
        <v/>
      </c>
    </row>
    <row r="241">
      <c r="A241" s="29">
        <f>CONCATENATE("NAME_PkMn_", UPPER(B241))</f>
        <v/>
      </c>
      <c r="B241" s="29" t="inlineStr">
        <is>
          <t>Magby</t>
        </is>
      </c>
      <c r="C241" s="29" t="inlineStr">
        <is>
          <t>ブビィ</t>
        </is>
      </c>
      <c r="D241" s="29">
        <f>B241</f>
        <v/>
      </c>
      <c r="E241" s="29">
        <f>B241</f>
        <v/>
      </c>
      <c r="F241" s="29">
        <f>B241</f>
        <v/>
      </c>
      <c r="G241" s="29">
        <f>B241</f>
        <v/>
      </c>
      <c r="H241" s="29" t="inlineStr">
        <is>
          <t>마그비</t>
        </is>
      </c>
      <c r="I241" s="29" t="inlineStr">
        <is>
          <t>鴨嘴寶寶</t>
        </is>
      </c>
      <c r="J241" s="29">
        <f>IFERROR(__xludf.DUMMYFUNCTION("GOOGLETRANSLATE(I241,""zh_HANT"",""zh_HANS"")"),"鸭嘴宝宝")</f>
        <v/>
      </c>
      <c r="K241" s="29">
        <f>F241</f>
        <v/>
      </c>
    </row>
    <row r="242">
      <c r="A242" s="29">
        <f>CONCATENATE("NAME_PkMn_", UPPER(B242))</f>
        <v/>
      </c>
      <c r="B242" s="29" t="inlineStr">
        <is>
          <t>Miltank</t>
        </is>
      </c>
      <c r="C242" s="29" t="inlineStr">
        <is>
          <t>ミルタンク</t>
        </is>
      </c>
      <c r="D242" s="29" t="inlineStr">
        <is>
          <t>Écrémeuh</t>
        </is>
      </c>
      <c r="E242" s="29">
        <f>B242</f>
        <v/>
      </c>
      <c r="F242" s="29">
        <f>B242</f>
        <v/>
      </c>
      <c r="G242" s="29">
        <f>B242</f>
        <v/>
      </c>
      <c r="H242" s="29" t="inlineStr">
        <is>
          <t>밀탱크</t>
        </is>
      </c>
      <c r="I242" s="29" t="inlineStr">
        <is>
          <t>大奶罐</t>
        </is>
      </c>
      <c r="J242" s="29">
        <f>I242</f>
        <v/>
      </c>
      <c r="K242" s="29">
        <f>F242</f>
        <v/>
      </c>
    </row>
    <row r="243">
      <c r="A243" s="29">
        <f>CONCATENATE("NAME_PkMn_", UPPER(B243))</f>
        <v/>
      </c>
      <c r="B243" s="29" t="inlineStr">
        <is>
          <t>Blissey</t>
        </is>
      </c>
      <c r="C243" s="29" t="inlineStr">
        <is>
          <t>ハピナス</t>
        </is>
      </c>
      <c r="D243" s="29" t="inlineStr">
        <is>
          <t>Leuphorie</t>
        </is>
      </c>
      <c r="E243" s="29" t="inlineStr">
        <is>
          <t>Heiteira</t>
        </is>
      </c>
      <c r="F243" s="29">
        <f>B243</f>
        <v/>
      </c>
      <c r="G243" s="29">
        <f>B243</f>
        <v/>
      </c>
      <c r="H243" s="29" t="inlineStr">
        <is>
          <t>해피너스</t>
        </is>
      </c>
      <c r="I243" s="29" t="inlineStr">
        <is>
          <t>幸福蛋</t>
        </is>
      </c>
      <c r="J243" s="29">
        <f>I243</f>
        <v/>
      </c>
      <c r="K243" s="29">
        <f>F243</f>
        <v/>
      </c>
    </row>
    <row r="244">
      <c r="A244" s="29">
        <f>CONCATENATE("NAME_PkMn_", UPPER(B244))</f>
        <v/>
      </c>
      <c r="B244" s="29" t="inlineStr">
        <is>
          <t>Raikou</t>
        </is>
      </c>
      <c r="C244" s="29" t="inlineStr">
        <is>
          <t>ライコウ</t>
        </is>
      </c>
      <c r="D244" s="29">
        <f>B244</f>
        <v/>
      </c>
      <c r="E244" s="29">
        <f>B244</f>
        <v/>
      </c>
      <c r="F244" s="29">
        <f>B244</f>
        <v/>
      </c>
      <c r="G244" s="29">
        <f>B244</f>
        <v/>
      </c>
      <c r="H244" s="29" t="inlineStr">
        <is>
          <t>라이코</t>
        </is>
      </c>
      <c r="I244" s="29" t="inlineStr">
        <is>
          <t>雷公</t>
        </is>
      </c>
      <c r="J244" s="29">
        <f>I244</f>
        <v/>
      </c>
      <c r="K244" s="29">
        <f>F244</f>
        <v/>
      </c>
    </row>
    <row r="245">
      <c r="A245" s="29">
        <f>CONCATENATE("NAME_PkMn_", UPPER(B245))</f>
        <v/>
      </c>
      <c r="B245" s="29" t="inlineStr">
        <is>
          <t>Entei</t>
        </is>
      </c>
      <c r="C245" s="29" t="inlineStr">
        <is>
          <t>エンテイ</t>
        </is>
      </c>
      <c r="D245" s="29">
        <f>B245</f>
        <v/>
      </c>
      <c r="E245" s="29">
        <f>B245</f>
        <v/>
      </c>
      <c r="F245" s="29">
        <f>B245</f>
        <v/>
      </c>
      <c r="G245" s="29">
        <f>B245</f>
        <v/>
      </c>
      <c r="H245" s="29" t="inlineStr">
        <is>
          <t>앤테이</t>
        </is>
      </c>
      <c r="I245" s="29" t="inlineStr">
        <is>
          <t>炎帝</t>
        </is>
      </c>
      <c r="J245" s="29">
        <f>I245</f>
        <v/>
      </c>
      <c r="K245" s="29">
        <f>F245</f>
        <v/>
      </c>
    </row>
    <row r="246">
      <c r="A246" s="29">
        <f>CONCATENATE("NAME_PkMn_", UPPER(B246))</f>
        <v/>
      </c>
      <c r="B246" s="29" t="inlineStr">
        <is>
          <t>Suicune</t>
        </is>
      </c>
      <c r="C246" s="29" t="inlineStr">
        <is>
          <t>スイクン</t>
        </is>
      </c>
      <c r="D246" s="29">
        <f>B246</f>
        <v/>
      </c>
      <c r="E246" s="29">
        <f>B246</f>
        <v/>
      </c>
      <c r="F246" s="29">
        <f>B246</f>
        <v/>
      </c>
      <c r="G246" s="29">
        <f>B246</f>
        <v/>
      </c>
      <c r="H246" s="29" t="inlineStr">
        <is>
          <t>앤테이</t>
        </is>
      </c>
      <c r="I246" s="29" t="inlineStr">
        <is>
          <t>水君</t>
        </is>
      </c>
      <c r="J246" s="29">
        <f>I246</f>
        <v/>
      </c>
      <c r="K246" s="29">
        <f>F246</f>
        <v/>
      </c>
    </row>
    <row r="247">
      <c r="A247" s="29">
        <f>CONCATENATE("NAME_PkMn_", UPPER(B247))</f>
        <v/>
      </c>
      <c r="B247" s="29" t="inlineStr">
        <is>
          <t>Larvitar</t>
        </is>
      </c>
      <c r="C247" s="29" t="inlineStr">
        <is>
          <t>ヨーギラス</t>
        </is>
      </c>
      <c r="D247" s="29" t="inlineStr">
        <is>
          <t>Embrylex</t>
        </is>
      </c>
      <c r="E247" s="29">
        <f>B247</f>
        <v/>
      </c>
      <c r="F247" s="29">
        <f>B247</f>
        <v/>
      </c>
      <c r="G247" s="29">
        <f>B247</f>
        <v/>
      </c>
      <c r="H247" s="29" t="inlineStr">
        <is>
          <t>애버라스</t>
        </is>
      </c>
      <c r="I247" s="29" t="inlineStr">
        <is>
          <t>幼基拉斯</t>
        </is>
      </c>
      <c r="J247" s="29">
        <f>I247</f>
        <v/>
      </c>
      <c r="K247" s="29">
        <f>F247</f>
        <v/>
      </c>
    </row>
    <row r="248">
      <c r="A248" s="29">
        <f>CONCATENATE("NAME_PkMn_", UPPER(B248))</f>
        <v/>
      </c>
      <c r="B248" s="29" t="inlineStr">
        <is>
          <t>Pupitar</t>
        </is>
      </c>
      <c r="C248" s="29" t="inlineStr">
        <is>
          <t>サナギラス</t>
        </is>
      </c>
      <c r="D248" s="29" t="inlineStr">
        <is>
          <t>Ymphect</t>
        </is>
      </c>
      <c r="E248" s="29">
        <f>B248</f>
        <v/>
      </c>
      <c r="F248" s="29">
        <f>B248</f>
        <v/>
      </c>
      <c r="G248" s="29">
        <f>B248</f>
        <v/>
      </c>
      <c r="H248" s="29" t="inlineStr">
        <is>
          <t>데기라스</t>
        </is>
      </c>
      <c r="I248" s="29" t="inlineStr">
        <is>
          <t>沙基拉斯</t>
        </is>
      </c>
      <c r="J248" s="29">
        <f>I248</f>
        <v/>
      </c>
      <c r="K248" s="29">
        <f>F248</f>
        <v/>
      </c>
    </row>
    <row r="249">
      <c r="A249" s="29">
        <f>CONCATENATE("NAME_PkMn_", UPPER(B249))</f>
        <v/>
      </c>
      <c r="B249" s="29" t="inlineStr">
        <is>
          <t>Tyranitar</t>
        </is>
      </c>
      <c r="C249" s="29" t="inlineStr">
        <is>
          <t>バンギラス</t>
        </is>
      </c>
      <c r="D249" s="29" t="inlineStr">
        <is>
          <t>Tyranocif</t>
        </is>
      </c>
      <c r="E249" s="29" t="inlineStr">
        <is>
          <t>Despotar</t>
        </is>
      </c>
      <c r="F249" s="29">
        <f>B249</f>
        <v/>
      </c>
      <c r="G249" s="29">
        <f>B249</f>
        <v/>
      </c>
      <c r="H249" s="29" t="inlineStr">
        <is>
          <t>마기라스</t>
        </is>
      </c>
      <c r="I249" s="29">
        <f>J249</f>
        <v/>
      </c>
      <c r="J249" s="29" t="inlineStr">
        <is>
          <t>班基拉斯</t>
        </is>
      </c>
      <c r="K249" s="29">
        <f>F249</f>
        <v/>
      </c>
    </row>
    <row r="250">
      <c r="A250" s="29">
        <f>CONCATENATE("NAME_PkMn_", UPPER(B250))</f>
        <v/>
      </c>
      <c r="B250" s="29" t="inlineStr">
        <is>
          <t>Lugia</t>
        </is>
      </c>
      <c r="C250" s="29" t="inlineStr">
        <is>
          <t>ルギア</t>
        </is>
      </c>
      <c r="D250" s="29">
        <f>B250</f>
        <v/>
      </c>
      <c r="E250" s="29">
        <f>B250</f>
        <v/>
      </c>
      <c r="F250" s="29">
        <f>B250</f>
        <v/>
      </c>
      <c r="G250" s="29">
        <f>B250</f>
        <v/>
      </c>
      <c r="H250" s="29" t="inlineStr">
        <is>
          <t>루기아</t>
        </is>
      </c>
      <c r="I250" s="29" t="inlineStr">
        <is>
          <t>洛奇亞</t>
        </is>
      </c>
      <c r="J250" s="29">
        <f>IFERROR(__xludf.DUMMYFUNCTION("GOOGLETRANSLATE(I250,""zh_HANT"",""zh_HANS"")"),"洛奇亚")</f>
        <v/>
      </c>
      <c r="K250" s="29">
        <f>F250</f>
        <v/>
      </c>
    </row>
    <row r="251">
      <c r="A251" s="29" t="inlineStr">
        <is>
          <t>NAME_PkMn_HOOH</t>
        </is>
      </c>
      <c r="B251" s="29" t="inlineStr">
        <is>
          <t>Ho-Oh</t>
        </is>
      </c>
      <c r="C251" s="29" t="inlineStr">
        <is>
          <t>ホウオウ</t>
        </is>
      </c>
      <c r="D251" s="29">
        <f>B251</f>
        <v/>
      </c>
      <c r="E251" s="29">
        <f>B251</f>
        <v/>
      </c>
      <c r="F251" s="29">
        <f>B251</f>
        <v/>
      </c>
      <c r="G251" s="29">
        <f>B251</f>
        <v/>
      </c>
      <c r="H251" s="29" t="inlineStr">
        <is>
          <t>칠색조</t>
        </is>
      </c>
      <c r="I251" s="29" t="inlineStr">
        <is>
          <t>鳳王</t>
        </is>
      </c>
      <c r="J251" s="29">
        <f>IFERROR(__xludf.DUMMYFUNCTION("GOOGLETRANSLATE(I251,""zh_HANT"",""zh_HANS"")"),"凤王")</f>
        <v/>
      </c>
      <c r="K251" s="29">
        <f>F251</f>
        <v/>
      </c>
    </row>
    <row r="252">
      <c r="A252" s="29">
        <f>CONCATENATE("NAME_PkMn_", UPPER(B252))</f>
        <v/>
      </c>
      <c r="B252" s="29" t="inlineStr">
        <is>
          <t>Celebi</t>
        </is>
      </c>
      <c r="C252" s="29" t="inlineStr">
        <is>
          <t>セリビィ</t>
        </is>
      </c>
      <c r="D252" s="29">
        <f>B252</f>
        <v/>
      </c>
      <c r="E252" s="29">
        <f>B252</f>
        <v/>
      </c>
      <c r="F252" s="29">
        <f>B252</f>
        <v/>
      </c>
      <c r="G252" s="29">
        <f>B252</f>
        <v/>
      </c>
      <c r="H252" s="29" t="inlineStr">
        <is>
          <t>세레비</t>
        </is>
      </c>
      <c r="I252" s="29" t="inlineStr">
        <is>
          <t>時拉比</t>
        </is>
      </c>
      <c r="J252" s="29">
        <f>IFERROR(__xludf.DUMMYFUNCTION("GOOGLETRANSLATE(I252,""zh_HANT"",""zh_HANS"")"),"时拉比")</f>
        <v/>
      </c>
      <c r="K252" s="29">
        <f>F252</f>
        <v/>
      </c>
    </row>
    <row r="253">
      <c r="A253" s="29">
        <f>CONCATENATE("NAME_PkMn_", UPPER(B253))</f>
        <v/>
      </c>
      <c r="B253" s="29" t="inlineStr">
        <is>
          <t>Treecko</t>
        </is>
      </c>
      <c r="C253" s="29" t="inlineStr">
        <is>
          <t>キモリ</t>
        </is>
      </c>
      <c r="D253" s="29" t="inlineStr">
        <is>
          <t>Arcko</t>
        </is>
      </c>
      <c r="E253" s="29" t="inlineStr">
        <is>
          <t>Geckabor</t>
        </is>
      </c>
      <c r="F253" s="29">
        <f>B253</f>
        <v/>
      </c>
      <c r="G253" s="29">
        <f>B253</f>
        <v/>
      </c>
      <c r="H253" s="29" t="inlineStr">
        <is>
          <t>나무지기</t>
        </is>
      </c>
      <c r="I253" s="29" t="inlineStr">
        <is>
          <t>木守宮</t>
        </is>
      </c>
      <c r="J253" s="29">
        <f>IFERROR(__xludf.DUMMYFUNCTION("GOOGLETRANSLATE(I253,""zh_HANT"",""zh_HANS"")"),"木守宫")</f>
        <v/>
      </c>
      <c r="K253" s="29">
        <f>F253</f>
        <v/>
      </c>
    </row>
    <row r="254">
      <c r="A254" s="29">
        <f>CONCATENATE("NAME_PkMn_", UPPER(B254))</f>
        <v/>
      </c>
      <c r="B254" s="29" t="inlineStr">
        <is>
          <t>Grovyle</t>
        </is>
      </c>
      <c r="C254" s="29" t="inlineStr">
        <is>
          <t>ジュプトル</t>
        </is>
      </c>
      <c r="D254" s="29" t="inlineStr">
        <is>
          <t>Massko</t>
        </is>
      </c>
      <c r="E254" s="29" t="inlineStr">
        <is>
          <t>Reptain</t>
        </is>
      </c>
      <c r="F254" s="29">
        <f>B254</f>
        <v/>
      </c>
      <c r="G254" s="29">
        <f>B254</f>
        <v/>
      </c>
      <c r="H254" s="29" t="inlineStr">
        <is>
          <t>나무돌이</t>
        </is>
      </c>
      <c r="I254" s="29" t="inlineStr">
        <is>
          <t>森林蜥蜴</t>
        </is>
      </c>
      <c r="J254" s="29">
        <f>I254</f>
        <v/>
      </c>
      <c r="K254" s="29">
        <f>F254</f>
        <v/>
      </c>
    </row>
    <row r="255">
      <c r="A255" s="29">
        <f>CONCATENATE("NAME_PkMn_", UPPER(B255))</f>
        <v/>
      </c>
      <c r="B255" s="29" t="inlineStr">
        <is>
          <t>Sceptile</t>
        </is>
      </c>
      <c r="C255" s="29" t="inlineStr">
        <is>
          <t>ジュカイン</t>
        </is>
      </c>
      <c r="D255" s="29" t="inlineStr">
        <is>
          <t>Jungko</t>
        </is>
      </c>
      <c r="E255" s="29" t="inlineStr">
        <is>
          <t>Gewaldro</t>
        </is>
      </c>
      <c r="F255" s="29">
        <f>B255</f>
        <v/>
      </c>
      <c r="G255" s="29">
        <f>B255</f>
        <v/>
      </c>
      <c r="H255" s="29" t="inlineStr">
        <is>
          <t>나무킹</t>
        </is>
      </c>
      <c r="I255" s="29">
        <f>J255</f>
        <v/>
      </c>
      <c r="J255" s="29" t="inlineStr">
        <is>
          <t>蜥蜴王</t>
        </is>
      </c>
      <c r="K255" s="29">
        <f>F255</f>
        <v/>
      </c>
    </row>
    <row r="256">
      <c r="A256" s="29">
        <f>CONCATENATE("NAME_PkMn_", UPPER(B256))</f>
        <v/>
      </c>
      <c r="B256" s="29" t="inlineStr">
        <is>
          <t>Torchic</t>
        </is>
      </c>
      <c r="C256" s="29" t="inlineStr">
        <is>
          <t>アチャモ</t>
        </is>
      </c>
      <c r="D256" s="29" t="inlineStr">
        <is>
          <t>Poussifeu</t>
        </is>
      </c>
      <c r="E256" s="29" t="inlineStr">
        <is>
          <t>Flemmli</t>
        </is>
      </c>
      <c r="F256" s="29">
        <f>B256</f>
        <v/>
      </c>
      <c r="G256" s="29">
        <f>B256</f>
        <v/>
      </c>
      <c r="H256" s="29" t="inlineStr">
        <is>
          <t>아차모</t>
        </is>
      </c>
      <c r="I256" s="29" t="inlineStr">
        <is>
          <t>火稚雞</t>
        </is>
      </c>
      <c r="J256" s="29">
        <f>IFERROR(__xludf.DUMMYFUNCTION("GOOGLETRANSLATE(I256,""zh_HANT"",""zh_HANS"")"),"火稚鸡")</f>
        <v/>
      </c>
      <c r="K256" s="29">
        <f>F256</f>
        <v/>
      </c>
    </row>
    <row r="257">
      <c r="A257" s="29">
        <f>CONCATENATE("NAME_PkMn_", UPPER(B257))</f>
        <v/>
      </c>
      <c r="B257" s="29" t="inlineStr">
        <is>
          <t>Combusken</t>
        </is>
      </c>
      <c r="C257" s="29" t="inlineStr">
        <is>
          <t>ワカシャモ</t>
        </is>
      </c>
      <c r="D257" s="29" t="inlineStr">
        <is>
          <t>Galifeu</t>
        </is>
      </c>
      <c r="E257" s="29" t="inlineStr">
        <is>
          <t>Jungglut</t>
        </is>
      </c>
      <c r="F257" s="29">
        <f>B257</f>
        <v/>
      </c>
      <c r="G257" s="29">
        <f>B257</f>
        <v/>
      </c>
      <c r="H257" s="29" t="inlineStr">
        <is>
          <t>영치코</t>
        </is>
      </c>
      <c r="I257" s="29" t="inlineStr">
        <is>
          <t>力壯雞</t>
        </is>
      </c>
      <c r="J257" s="29">
        <f>IFERROR(__xludf.DUMMYFUNCTION("GOOGLETRANSLATE(I257,""zh_HANT"",""zh_HANS"")"),"力壮鸡")</f>
        <v/>
      </c>
      <c r="K257" s="29">
        <f>F257</f>
        <v/>
      </c>
    </row>
    <row r="258">
      <c r="A258" s="29">
        <f>CONCATENATE("NAME_PkMn_", UPPER(B258))</f>
        <v/>
      </c>
      <c r="B258" s="29" t="inlineStr">
        <is>
          <t>Blaziken</t>
        </is>
      </c>
      <c r="C258" s="29" t="inlineStr">
        <is>
          <t>バシャーモ</t>
        </is>
      </c>
      <c r="D258" s="29" t="inlineStr">
        <is>
          <t>Braségali</t>
        </is>
      </c>
      <c r="E258" s="29" t="inlineStr">
        <is>
          <t>Lohgock</t>
        </is>
      </c>
      <c r="F258" s="29">
        <f>B258</f>
        <v/>
      </c>
      <c r="G258" s="29">
        <f>B258</f>
        <v/>
      </c>
      <c r="H258" s="29" t="inlineStr">
        <is>
          <t>번치코</t>
        </is>
      </c>
      <c r="I258" s="29">
        <f>IFERROR(__xludf.DUMMYFUNCTION("GOOGLETRANSLATE(J258,""zh_HANS"",""zh_HANT"")"),"火焰雞")</f>
        <v/>
      </c>
      <c r="J258" s="29" t="inlineStr">
        <is>
          <t>火焰鸡</t>
        </is>
      </c>
      <c r="K258" s="29">
        <f>F258</f>
        <v/>
      </c>
    </row>
    <row r="259">
      <c r="A259" s="29">
        <f>CONCATENATE("NAME_PkMn_", UPPER(B259))</f>
        <v/>
      </c>
      <c r="B259" s="29" t="inlineStr">
        <is>
          <t>Mudkip</t>
        </is>
      </c>
      <c r="C259" s="29" t="inlineStr">
        <is>
          <t>ミズゴロウ</t>
        </is>
      </c>
      <c r="D259" s="29" t="inlineStr">
        <is>
          <t>Gobou</t>
        </is>
      </c>
      <c r="E259" s="29" t="inlineStr">
        <is>
          <t>Hydropi</t>
        </is>
      </c>
      <c r="F259" s="29">
        <f>B259</f>
        <v/>
      </c>
      <c r="G259" s="29">
        <f>B259</f>
        <v/>
      </c>
      <c r="H259" s="29" t="inlineStr">
        <is>
          <t>물짱이</t>
        </is>
      </c>
      <c r="I259" s="29" t="inlineStr">
        <is>
          <t>水躍魚</t>
        </is>
      </c>
      <c r="J259" s="29">
        <f>IFERROR(__xludf.DUMMYFUNCTION("GOOGLETRANSLATE(I259,""zh_HANT"",""zh_HANS"")"),"水跃鱼")</f>
        <v/>
      </c>
      <c r="K259" s="29">
        <f>F259</f>
        <v/>
      </c>
    </row>
    <row r="260">
      <c r="A260" s="29">
        <f>CONCATENATE("NAME_PkMn_", UPPER(B260))</f>
        <v/>
      </c>
      <c r="B260" s="29" t="inlineStr">
        <is>
          <t>Marshtomp</t>
        </is>
      </c>
      <c r="C260" s="29" t="inlineStr">
        <is>
          <t>ヌマクロー</t>
        </is>
      </c>
      <c r="D260" s="29" t="inlineStr">
        <is>
          <t>Flobio</t>
        </is>
      </c>
      <c r="E260" s="29" t="inlineStr">
        <is>
          <t>Moorabble</t>
        </is>
      </c>
      <c r="F260" s="29">
        <f>B260</f>
        <v/>
      </c>
      <c r="G260" s="29">
        <f>B260</f>
        <v/>
      </c>
      <c r="H260" s="29" t="inlineStr">
        <is>
          <t>늪짱이</t>
        </is>
      </c>
      <c r="I260" s="29" t="inlineStr">
        <is>
          <t>沼躍魚</t>
        </is>
      </c>
      <c r="J260" s="29">
        <f>IFERROR(__xludf.DUMMYFUNCTION("GOOGLETRANSLATE(I260,""zh_HANT"",""zh_HANS"")"),"沼跃鱼")</f>
        <v/>
      </c>
      <c r="K260" s="29">
        <f>F260</f>
        <v/>
      </c>
    </row>
    <row r="261">
      <c r="A261" s="29">
        <f>CONCATENATE("NAME_PkMn_", UPPER(B261))</f>
        <v/>
      </c>
      <c r="B261" s="29" t="inlineStr">
        <is>
          <t>Swampert</t>
        </is>
      </c>
      <c r="C261" s="29" t="inlineStr">
        <is>
          <t>ラグラージ</t>
        </is>
      </c>
      <c r="D261" s="29" t="inlineStr">
        <is>
          <t>Laggron</t>
        </is>
      </c>
      <c r="E261" s="29" t="inlineStr">
        <is>
          <t>Sumpex</t>
        </is>
      </c>
      <c r="F261" s="29">
        <f>B261</f>
        <v/>
      </c>
      <c r="G261" s="29">
        <f>B261</f>
        <v/>
      </c>
      <c r="H261" s="29" t="inlineStr">
        <is>
          <t>대짱이</t>
        </is>
      </c>
      <c r="I261" s="29">
        <f>J261</f>
        <v/>
      </c>
      <c r="J261" s="29" t="inlineStr">
        <is>
          <t>巨沼怪</t>
        </is>
      </c>
      <c r="K261" s="29">
        <f>F261</f>
        <v/>
      </c>
    </row>
    <row r="262">
      <c r="A262" s="29">
        <f>CONCATENATE("NAME_PkMn_", UPPER(B262))</f>
        <v/>
      </c>
      <c r="B262" s="29" t="inlineStr">
        <is>
          <t>Poochyena</t>
        </is>
      </c>
      <c r="C262" s="29" t="inlineStr">
        <is>
          <t>ポチエナ</t>
        </is>
      </c>
      <c r="D262" s="29" t="inlineStr">
        <is>
          <t>Medhyèna</t>
        </is>
      </c>
      <c r="E262" s="29" t="inlineStr">
        <is>
          <t>Fiffyen</t>
        </is>
      </c>
      <c r="F262" s="29">
        <f>B262</f>
        <v/>
      </c>
      <c r="G262" s="29">
        <f>B262</f>
        <v/>
      </c>
      <c r="H262" s="29" t="inlineStr">
        <is>
          <t>포챠나</t>
        </is>
      </c>
      <c r="I262" s="29" t="inlineStr">
        <is>
          <t>土狼犬</t>
        </is>
      </c>
      <c r="J262" s="29">
        <f>I262</f>
        <v/>
      </c>
      <c r="K262" s="29">
        <f>F262</f>
        <v/>
      </c>
    </row>
    <row r="263">
      <c r="A263" s="29">
        <f>CONCATENATE("NAME_PkMn_", UPPER(B263))</f>
        <v/>
      </c>
      <c r="B263" s="29" t="inlineStr">
        <is>
          <t>Mightyena</t>
        </is>
      </c>
      <c r="C263" s="29" t="inlineStr">
        <is>
          <t>グラエナ</t>
        </is>
      </c>
      <c r="D263" s="29" t="inlineStr">
        <is>
          <t>Grahyèna</t>
        </is>
      </c>
      <c r="E263" s="29" t="inlineStr">
        <is>
          <t>Magnayen</t>
        </is>
      </c>
      <c r="F263" s="29">
        <f>B263</f>
        <v/>
      </c>
      <c r="G263" s="29">
        <f>B263</f>
        <v/>
      </c>
      <c r="H263" s="29" t="inlineStr">
        <is>
          <t>그라에나</t>
        </is>
      </c>
      <c r="I263" s="29" t="inlineStr">
        <is>
          <t>大狼犬</t>
        </is>
      </c>
      <c r="J263" s="29">
        <f>I263</f>
        <v/>
      </c>
      <c r="K263" s="29">
        <f>F263</f>
        <v/>
      </c>
    </row>
    <row r="264">
      <c r="A264" s="29">
        <f>CONCATENATE("NAME_PkMn_", UPPER(B264))</f>
        <v/>
      </c>
      <c r="B264" s="29" t="inlineStr">
        <is>
          <t>Zigzagoon</t>
        </is>
      </c>
      <c r="C264" s="29" t="inlineStr">
        <is>
          <t>ジグザグマ</t>
        </is>
      </c>
      <c r="D264" s="29" t="inlineStr">
        <is>
          <t>Zigzaton</t>
        </is>
      </c>
      <c r="E264" s="29" t="inlineStr">
        <is>
          <t>Zigzachs</t>
        </is>
      </c>
      <c r="F264" s="29">
        <f>B264</f>
        <v/>
      </c>
      <c r="G264" s="29">
        <f>B264</f>
        <v/>
      </c>
      <c r="H264" s="29" t="inlineStr">
        <is>
          <t>지그제구리</t>
        </is>
      </c>
      <c r="I264" s="29" t="inlineStr">
        <is>
          <t>蛇紋熊</t>
        </is>
      </c>
      <c r="J264" s="29">
        <f>IFERROR(__xludf.DUMMYFUNCTION("GOOGLETRANSLATE(I264,""zh_HANT"",""zh_HANS"")"),"蛇纹熊")</f>
        <v/>
      </c>
      <c r="K264" s="29">
        <f>F264</f>
        <v/>
      </c>
    </row>
    <row r="265">
      <c r="A265" s="29">
        <f>CONCATENATE("NAME_PkMn_", UPPER(B265))</f>
        <v/>
      </c>
      <c r="B265" s="29" t="inlineStr">
        <is>
          <t>Linoone</t>
        </is>
      </c>
      <c r="C265" s="29" t="inlineStr">
        <is>
          <t>マッスグマ</t>
        </is>
      </c>
      <c r="D265" s="29" t="inlineStr">
        <is>
          <t>Linéon</t>
        </is>
      </c>
      <c r="E265" s="29" t="inlineStr">
        <is>
          <t>Geradaks</t>
        </is>
      </c>
      <c r="F265" s="29">
        <f>B265</f>
        <v/>
      </c>
      <c r="G265" s="29">
        <f>B265</f>
        <v/>
      </c>
      <c r="H265" s="29" t="inlineStr">
        <is>
          <t>직구리</t>
        </is>
      </c>
      <c r="I265" s="29" t="inlineStr">
        <is>
          <t>直衝熊</t>
        </is>
      </c>
      <c r="J265" s="29">
        <f>IFERROR(__xludf.DUMMYFUNCTION("GOOGLETRANSLATE(I265,""zh_HANT"",""zh_HANS"")"),"直冲熊")</f>
        <v/>
      </c>
      <c r="K265" s="29">
        <f>F265</f>
        <v/>
      </c>
    </row>
    <row r="266">
      <c r="A266" s="29">
        <f>CONCATENATE("NAME_PkMn_", UPPER(B266))</f>
        <v/>
      </c>
      <c r="B266" s="29" t="inlineStr">
        <is>
          <t>Wurmple</t>
        </is>
      </c>
      <c r="C266" s="29" t="inlineStr">
        <is>
          <t>ケムッソ</t>
        </is>
      </c>
      <c r="D266" s="29" t="inlineStr">
        <is>
          <t>Chenipotte</t>
        </is>
      </c>
      <c r="E266" s="29" t="inlineStr">
        <is>
          <t>Waumpel</t>
        </is>
      </c>
      <c r="F266" s="29">
        <f>B266</f>
        <v/>
      </c>
      <c r="G266" s="29">
        <f>B266</f>
        <v/>
      </c>
      <c r="H266" s="29" t="inlineStr">
        <is>
          <t>개무소</t>
        </is>
      </c>
      <c r="I266" s="29" t="inlineStr">
        <is>
          <t>刺尾蟲</t>
        </is>
      </c>
      <c r="J266" s="29">
        <f>IFERROR(__xludf.DUMMYFUNCTION("GOOGLETRANSLATE(I266,""zh_HANT"",""zh_HANS"")"),"刺尾虫")</f>
        <v/>
      </c>
      <c r="K266" s="29">
        <f>F266</f>
        <v/>
      </c>
    </row>
    <row r="267">
      <c r="A267" s="29">
        <f>CONCATENATE("NAME_PkMn_", UPPER(B267))</f>
        <v/>
      </c>
      <c r="B267" s="29" t="inlineStr">
        <is>
          <t>Silcoon</t>
        </is>
      </c>
      <c r="C267" s="29" t="inlineStr">
        <is>
          <t>カラサリス</t>
        </is>
      </c>
      <c r="D267" s="29" t="inlineStr">
        <is>
          <t>Armulys</t>
        </is>
      </c>
      <c r="E267" s="29" t="inlineStr">
        <is>
          <t>Schaloko</t>
        </is>
      </c>
      <c r="F267" s="29">
        <f>B267</f>
        <v/>
      </c>
      <c r="G267" s="29">
        <f>B267</f>
        <v/>
      </c>
      <c r="H267" s="29" t="inlineStr">
        <is>
          <t>실쿤</t>
        </is>
      </c>
      <c r="I267" s="29" t="inlineStr">
        <is>
          <t>甲殼繭</t>
        </is>
      </c>
      <c r="J267" s="29">
        <f>IFERROR(__xludf.DUMMYFUNCTION("GOOGLETRANSLATE(I267,""zh_HANT"",""zh_HANS"")"),"甲壳茧")</f>
        <v/>
      </c>
      <c r="K267" s="29">
        <f>F267</f>
        <v/>
      </c>
    </row>
    <row r="268">
      <c r="A268" s="29">
        <f>CONCATENATE("NAME_PkMn_", UPPER(B268))</f>
        <v/>
      </c>
      <c r="B268" s="29" t="inlineStr">
        <is>
          <t>Beautifly</t>
        </is>
      </c>
      <c r="C268" s="29" t="inlineStr">
        <is>
          <t>アゲハント</t>
        </is>
      </c>
      <c r="D268" s="29" t="inlineStr">
        <is>
          <t>Charmillon</t>
        </is>
      </c>
      <c r="E268" s="29" t="inlineStr">
        <is>
          <t>Papinella</t>
        </is>
      </c>
      <c r="F268" s="29">
        <f>B268</f>
        <v/>
      </c>
      <c r="G268" s="29">
        <f>B268</f>
        <v/>
      </c>
      <c r="H268" s="29" t="inlineStr">
        <is>
          <t>뷰티플라이</t>
        </is>
      </c>
      <c r="I268" s="29" t="inlineStr">
        <is>
          <t>狩獵鳳蝶</t>
        </is>
      </c>
      <c r="J268" s="29">
        <f>IFERROR(__xludf.DUMMYFUNCTION("GOOGLETRANSLATE(I268,""zh_HANT"",""zh_HANS"")"),"狩猎凤蝶")</f>
        <v/>
      </c>
      <c r="K268" s="29">
        <f>F268</f>
        <v/>
      </c>
    </row>
    <row r="269">
      <c r="A269" s="29">
        <f>CONCATENATE("NAME_PkMn_", UPPER(B269))</f>
        <v/>
      </c>
      <c r="B269" s="29" t="inlineStr">
        <is>
          <t>Cascoon</t>
        </is>
      </c>
      <c r="C269" s="29" t="inlineStr">
        <is>
          <t>マユルド</t>
        </is>
      </c>
      <c r="D269" s="29" t="inlineStr">
        <is>
          <t>Blindalys</t>
        </is>
      </c>
      <c r="E269" s="29" t="inlineStr">
        <is>
          <t>Panekon</t>
        </is>
      </c>
      <c r="F269" s="29">
        <f>B269</f>
        <v/>
      </c>
      <c r="G269" s="29">
        <f>B269</f>
        <v/>
      </c>
      <c r="H269" s="29" t="inlineStr">
        <is>
          <t>카스쿤</t>
        </is>
      </c>
      <c r="I269" s="29" t="inlineStr">
        <is>
          <t>盾甲繭</t>
        </is>
      </c>
      <c r="J269" s="29">
        <f>IFERROR(__xludf.DUMMYFUNCTION("GOOGLETRANSLATE(I269,""zh_HANT"",""zh_HANS"")"),"盾甲茧")</f>
        <v/>
      </c>
      <c r="K269" s="29">
        <f>F269</f>
        <v/>
      </c>
    </row>
    <row r="270">
      <c r="A270" s="29">
        <f>CONCATENATE("NAME_PkMn_", UPPER(B270))</f>
        <v/>
      </c>
      <c r="B270" s="29" t="inlineStr">
        <is>
          <t>Dustox</t>
        </is>
      </c>
      <c r="C270" s="29" t="inlineStr">
        <is>
          <t>ドクケイル</t>
        </is>
      </c>
      <c r="D270" s="29" t="inlineStr">
        <is>
          <t>Papinox</t>
        </is>
      </c>
      <c r="E270" s="29" t="inlineStr">
        <is>
          <t>Pudox</t>
        </is>
      </c>
      <c r="F270" s="29">
        <f>B270</f>
        <v/>
      </c>
      <c r="G270" s="29">
        <f>B270</f>
        <v/>
      </c>
      <c r="H270" s="29" t="inlineStr">
        <is>
          <t>독케일</t>
        </is>
      </c>
      <c r="I270" s="29" t="inlineStr">
        <is>
          <t>毒粉蛾</t>
        </is>
      </c>
      <c r="J270" s="29">
        <f>I270</f>
        <v/>
      </c>
      <c r="K270" s="29">
        <f>F270</f>
        <v/>
      </c>
    </row>
    <row r="271">
      <c r="A271" s="29">
        <f>CONCATENATE("NAME_PkMn_", UPPER(B271))</f>
        <v/>
      </c>
      <c r="B271" s="29" t="inlineStr">
        <is>
          <t>Lotad</t>
        </is>
      </c>
      <c r="C271" s="29" t="inlineStr">
        <is>
          <t>ハスボー</t>
        </is>
      </c>
      <c r="D271" s="29" t="inlineStr">
        <is>
          <t>Nénupiot</t>
        </is>
      </c>
      <c r="E271" s="29" t="inlineStr">
        <is>
          <t>Loturzel</t>
        </is>
      </c>
      <c r="F271" s="29">
        <f>B271</f>
        <v/>
      </c>
      <c r="G271" s="29">
        <f>B271</f>
        <v/>
      </c>
      <c r="H271" s="29" t="inlineStr">
        <is>
          <t>연꽃몬</t>
        </is>
      </c>
      <c r="I271" s="29" t="inlineStr">
        <is>
          <t>蓮葉童子</t>
        </is>
      </c>
      <c r="J271" s="29">
        <f>IFERROR(__xludf.DUMMYFUNCTION("GOOGLETRANSLATE(I271,""zh_HANT"",""zh_HANS"")"),"莲叶童子")</f>
        <v/>
      </c>
      <c r="K271" s="29">
        <f>F271</f>
        <v/>
      </c>
    </row>
    <row r="272">
      <c r="A272" s="29">
        <f>CONCATENATE("NAME_PkMn_", UPPER(B272))</f>
        <v/>
      </c>
      <c r="B272" s="29" t="inlineStr">
        <is>
          <t>Lombre</t>
        </is>
      </c>
      <c r="C272" s="29" t="inlineStr">
        <is>
          <t>ハスブレロ</t>
        </is>
      </c>
      <c r="D272" s="29">
        <f>B272</f>
        <v/>
      </c>
      <c r="E272" s="29" t="inlineStr">
        <is>
          <t>Lombrero</t>
        </is>
      </c>
      <c r="F272" s="29">
        <f>B272</f>
        <v/>
      </c>
      <c r="G272" s="29">
        <f>B272</f>
        <v/>
      </c>
      <c r="H272" s="29" t="inlineStr">
        <is>
          <t>로토스</t>
        </is>
      </c>
      <c r="I272" s="29" t="inlineStr">
        <is>
          <t>蓮帽小童</t>
        </is>
      </c>
      <c r="J272" s="29">
        <f>IFERROR(__xludf.DUMMYFUNCTION("GOOGLETRANSLATE(I272,""zh_HANT"",""zh_HANS"")"),"莲帽小童")</f>
        <v/>
      </c>
      <c r="K272" s="29">
        <f>F272</f>
        <v/>
      </c>
    </row>
    <row r="273">
      <c r="A273" s="29">
        <f>CONCATENATE("NAME_PkMn_", UPPER(B273))</f>
        <v/>
      </c>
      <c r="B273" s="29" t="inlineStr">
        <is>
          <t>Ludicolo</t>
        </is>
      </c>
      <c r="C273" s="29" t="inlineStr">
        <is>
          <t>ルンパッパ</t>
        </is>
      </c>
      <c r="D273" s="29">
        <f>B273</f>
        <v/>
      </c>
      <c r="E273" s="29" t="inlineStr">
        <is>
          <t>Kappalores</t>
        </is>
      </c>
      <c r="F273" s="29">
        <f>B273</f>
        <v/>
      </c>
      <c r="G273" s="29">
        <f>B273</f>
        <v/>
      </c>
      <c r="H273" s="29" t="inlineStr">
        <is>
          <t>로파파</t>
        </is>
      </c>
      <c r="I273" s="29" t="inlineStr">
        <is>
          <t>樂天河童</t>
        </is>
      </c>
      <c r="J273" s="29">
        <f>IFERROR(__xludf.DUMMYFUNCTION("GOOGLETRANSLATE(I273,""zh_HANT"",""zh_HANS"")"),"乐天河童")</f>
        <v/>
      </c>
      <c r="K273" s="29">
        <f>F273</f>
        <v/>
      </c>
    </row>
    <row r="274">
      <c r="A274" s="29">
        <f>CONCATENATE("NAME_PkMn_", UPPER(B274))</f>
        <v/>
      </c>
      <c r="B274" s="29" t="inlineStr">
        <is>
          <t>Seedot</t>
        </is>
      </c>
      <c r="C274" s="29" t="inlineStr">
        <is>
          <t>タネボー</t>
        </is>
      </c>
      <c r="D274" s="29" t="inlineStr">
        <is>
          <t>Grainipiot</t>
        </is>
      </c>
      <c r="E274" s="29" t="inlineStr">
        <is>
          <t>Samurzel</t>
        </is>
      </c>
      <c r="F274" s="29">
        <f>B274</f>
        <v/>
      </c>
      <c r="G274" s="29">
        <f>B274</f>
        <v/>
      </c>
      <c r="H274" s="29" t="inlineStr">
        <is>
          <t>도토링</t>
        </is>
      </c>
      <c r="I274" s="29" t="inlineStr">
        <is>
          <t>橡實果</t>
        </is>
      </c>
      <c r="J274" s="29">
        <f>IFERROR(__xludf.DUMMYFUNCTION("GOOGLETRANSLATE(I274,""zh_HANT"",""zh_HANS"")"),"橡实果")</f>
        <v/>
      </c>
      <c r="K274" s="29">
        <f>F274</f>
        <v/>
      </c>
    </row>
    <row r="275">
      <c r="A275" s="29">
        <f>CONCATENATE("NAME_PkMn_", UPPER(B275))</f>
        <v/>
      </c>
      <c r="B275" s="29" t="inlineStr">
        <is>
          <t>Nuzleaf</t>
        </is>
      </c>
      <c r="C275" s="29" t="inlineStr">
        <is>
          <t>コノハナ</t>
        </is>
      </c>
      <c r="D275" s="29" t="inlineStr">
        <is>
          <t>Pifeuil</t>
        </is>
      </c>
      <c r="E275" s="29" t="inlineStr">
        <is>
          <t>Blanas</t>
        </is>
      </c>
      <c r="F275" s="29">
        <f>B275</f>
        <v/>
      </c>
      <c r="G275" s="29">
        <f>B275</f>
        <v/>
      </c>
      <c r="H275" s="29" t="inlineStr">
        <is>
          <t>잎새코</t>
        </is>
      </c>
      <c r="I275" s="29" t="inlineStr">
        <is>
          <t>長鼻葉</t>
        </is>
      </c>
      <c r="J275" s="29">
        <f>IFERROR(__xludf.DUMMYFUNCTION("GOOGLETRANSLATE(I275,""zh_HANT"",""zh_HANS"")"),"长鼻叶")</f>
        <v/>
      </c>
      <c r="K275" s="29">
        <f>F275</f>
        <v/>
      </c>
    </row>
    <row r="276">
      <c r="A276" s="29">
        <f>CONCATENATE("NAME_PkMn_", UPPER(B276))</f>
        <v/>
      </c>
      <c r="B276" s="29" t="inlineStr">
        <is>
          <t>Shiftry</t>
        </is>
      </c>
      <c r="C276" s="29" t="inlineStr">
        <is>
          <t>ダーテング</t>
        </is>
      </c>
      <c r="D276" s="29" t="inlineStr">
        <is>
          <t>Tengalice</t>
        </is>
      </c>
      <c r="E276" s="29" t="inlineStr">
        <is>
          <t>Tengulist</t>
        </is>
      </c>
      <c r="F276" s="29">
        <f>B276</f>
        <v/>
      </c>
      <c r="G276" s="29">
        <f>B276</f>
        <v/>
      </c>
      <c r="H276" s="29" t="inlineStr">
        <is>
          <t>다탱구</t>
        </is>
      </c>
      <c r="I276" s="29" t="inlineStr">
        <is>
          <t>狡猾天狗</t>
        </is>
      </c>
      <c r="J276" s="29">
        <f>I276</f>
        <v/>
      </c>
      <c r="K276" s="29">
        <f>F276</f>
        <v/>
      </c>
    </row>
    <row r="277">
      <c r="A277" s="29">
        <f>CONCATENATE("NAME_PkMn_", UPPER(B277))</f>
        <v/>
      </c>
      <c r="B277" s="29" t="inlineStr">
        <is>
          <t>Tailow</t>
        </is>
      </c>
      <c r="C277" s="29" t="inlineStr">
        <is>
          <t>スバメ</t>
        </is>
      </c>
      <c r="D277" s="29" t="inlineStr">
        <is>
          <t>Nirondelle</t>
        </is>
      </c>
      <c r="E277" s="29" t="inlineStr">
        <is>
          <t>Schwalbini</t>
        </is>
      </c>
      <c r="F277" s="29">
        <f>B277</f>
        <v/>
      </c>
      <c r="G277" s="29">
        <f>B277</f>
        <v/>
      </c>
      <c r="H277" s="29" t="inlineStr">
        <is>
          <t>테일로</t>
        </is>
      </c>
      <c r="I277" s="29" t="inlineStr">
        <is>
          <t>傲骨燕</t>
        </is>
      </c>
      <c r="J277" s="29">
        <f>I277</f>
        <v/>
      </c>
      <c r="K277" s="29">
        <f>F277</f>
        <v/>
      </c>
    </row>
    <row r="278">
      <c r="A278" s="29">
        <f>CONCATENATE("NAME_PkMn_", UPPER(B278))</f>
        <v/>
      </c>
      <c r="B278" s="29" t="inlineStr">
        <is>
          <t>Swellow</t>
        </is>
      </c>
      <c r="C278" s="29" t="inlineStr">
        <is>
          <t>オオスバメ</t>
        </is>
      </c>
      <c r="D278" s="29" t="inlineStr">
        <is>
          <t>Hélédelle</t>
        </is>
      </c>
      <c r="E278" s="29" t="inlineStr">
        <is>
          <t>Schwalboss</t>
        </is>
      </c>
      <c r="F278" s="29">
        <f>B278</f>
        <v/>
      </c>
      <c r="G278" s="29">
        <f>B278</f>
        <v/>
      </c>
      <c r="H278" s="29" t="inlineStr">
        <is>
          <t>스왈로</t>
        </is>
      </c>
      <c r="I278" s="29" t="inlineStr">
        <is>
          <t>大王燕</t>
        </is>
      </c>
      <c r="J278" s="29">
        <f>I278</f>
        <v/>
      </c>
      <c r="K278" s="29">
        <f>F278</f>
        <v/>
      </c>
    </row>
    <row r="279">
      <c r="A279" s="29">
        <f>CONCATENATE("NAME_PkMn_", UPPER(B279))</f>
        <v/>
      </c>
      <c r="B279" s="29" t="inlineStr">
        <is>
          <t>Wingull</t>
        </is>
      </c>
      <c r="C279" s="29" t="inlineStr">
        <is>
          <t>キャモメ</t>
        </is>
      </c>
      <c r="D279" s="29" t="inlineStr">
        <is>
          <t>Goélise</t>
        </is>
      </c>
      <c r="E279" s="29" t="inlineStr">
        <is>
          <t>Wingull</t>
        </is>
      </c>
      <c r="F279" s="29">
        <f>B279</f>
        <v/>
      </c>
      <c r="G279" s="29">
        <f>B279</f>
        <v/>
      </c>
      <c r="H279" s="29" t="inlineStr">
        <is>
          <t>갈모매</t>
        </is>
      </c>
      <c r="I279" s="29" t="inlineStr">
        <is>
          <t>長翅鷗</t>
        </is>
      </c>
      <c r="J279" s="29">
        <f>IFERROR(__xludf.DUMMYFUNCTION("GOOGLETRANSLATE(I279,""zh_HANT"",""zh_HANS"")"),"长翅鸥")</f>
        <v/>
      </c>
      <c r="K279" s="29">
        <f>F279</f>
        <v/>
      </c>
    </row>
    <row r="280">
      <c r="A280" s="29">
        <f>CONCATENATE("NAME_PkMn_", UPPER(B280))</f>
        <v/>
      </c>
      <c r="B280" s="29" t="inlineStr">
        <is>
          <t>Pelipper</t>
        </is>
      </c>
      <c r="C280" s="29" t="inlineStr">
        <is>
          <t>ペリッパー</t>
        </is>
      </c>
      <c r="D280" s="29" t="inlineStr">
        <is>
          <t>Bekipan</t>
        </is>
      </c>
      <c r="E280" s="29" t="inlineStr">
        <is>
          <t>Pelipper</t>
        </is>
      </c>
      <c r="F280" s="29">
        <f>B280</f>
        <v/>
      </c>
      <c r="G280" s="29">
        <f>B280</f>
        <v/>
      </c>
      <c r="H280" s="29" t="inlineStr">
        <is>
          <t>패리퍼</t>
        </is>
      </c>
      <c r="I280" s="29" t="inlineStr">
        <is>
          <t>大嘴鷗</t>
        </is>
      </c>
      <c r="J280" s="29">
        <f>IFERROR(__xludf.DUMMYFUNCTION("GOOGLETRANSLATE(I280,""zh_HANT"",""zh_HANS"")"),"大嘴鸥")</f>
        <v/>
      </c>
      <c r="K280" s="29">
        <f>F280</f>
        <v/>
      </c>
    </row>
    <row r="281">
      <c r="A281" s="29">
        <f>CONCATENATE("NAME_PkMn_", UPPER(B281))</f>
        <v/>
      </c>
      <c r="B281" s="29" t="inlineStr">
        <is>
          <t>Ralts</t>
        </is>
      </c>
      <c r="C281" s="29" t="inlineStr">
        <is>
          <t>ラルトス</t>
        </is>
      </c>
      <c r="D281" s="29" t="inlineStr">
        <is>
          <t>Tarsal</t>
        </is>
      </c>
      <c r="E281" s="29" t="inlineStr">
        <is>
          <t>Trasla</t>
        </is>
      </c>
      <c r="F281" s="29">
        <f>B281</f>
        <v/>
      </c>
      <c r="G281" s="29">
        <f>B281</f>
        <v/>
      </c>
      <c r="H281" s="29" t="inlineStr">
        <is>
          <t>랄토스</t>
        </is>
      </c>
      <c r="I281" s="29" t="inlineStr">
        <is>
          <t>拉魯拉絲</t>
        </is>
      </c>
      <c r="J281" s="29">
        <f>IFERROR(__xludf.DUMMYFUNCTION("GOOGLETRANSLATE(I281,""zh_HANT"",""zh_HANS"")"),"拉鲁拉丝")</f>
        <v/>
      </c>
      <c r="K281" s="29">
        <f>F281</f>
        <v/>
      </c>
    </row>
    <row r="282">
      <c r="A282" s="29">
        <f>CONCATENATE("NAME_PkMn_", UPPER(B282))</f>
        <v/>
      </c>
      <c r="B282" s="29" t="inlineStr">
        <is>
          <t>Kirlia</t>
        </is>
      </c>
      <c r="C282" s="29" t="inlineStr">
        <is>
          <t>キルリア</t>
        </is>
      </c>
      <c r="D282" s="29">
        <f>B282</f>
        <v/>
      </c>
      <c r="E282" s="29" t="inlineStr">
        <is>
          <t>Kirlia</t>
        </is>
      </c>
      <c r="F282" s="29">
        <f>B282</f>
        <v/>
      </c>
      <c r="G282" s="29">
        <f>B282</f>
        <v/>
      </c>
      <c r="H282" s="29" t="inlineStr">
        <is>
          <t>킬리아</t>
        </is>
      </c>
      <c r="I282" s="29" t="inlineStr">
        <is>
          <t>奇魯莉安</t>
        </is>
      </c>
      <c r="J282" s="29">
        <f>IFERROR(__xludf.DUMMYFUNCTION("GOOGLETRANSLATE(I282,""zh_HANT"",""zh_HANS"")"),"奇鲁莉安")</f>
        <v/>
      </c>
      <c r="K282" s="29">
        <f>F282</f>
        <v/>
      </c>
    </row>
    <row r="283">
      <c r="A283" s="29">
        <f>CONCATENATE("NAME_PkMn_", UPPER(B283))</f>
        <v/>
      </c>
      <c r="B283" s="29" t="inlineStr">
        <is>
          <t>Gardevoir</t>
        </is>
      </c>
      <c r="C283" s="29" t="inlineStr">
        <is>
          <t>サーナイト</t>
        </is>
      </c>
      <c r="D283" s="29">
        <f>B283</f>
        <v/>
      </c>
      <c r="E283" s="29" t="inlineStr">
        <is>
          <t>Guardevoir</t>
        </is>
      </c>
      <c r="F283" s="29">
        <f>B283</f>
        <v/>
      </c>
      <c r="G283" s="29">
        <f>B283</f>
        <v/>
      </c>
      <c r="H283" s="29" t="inlineStr">
        <is>
          <t>가디안</t>
        </is>
      </c>
      <c r="I283" s="29">
        <f>J283</f>
        <v/>
      </c>
      <c r="J283" s="29" t="inlineStr">
        <is>
          <t>沙奈朵</t>
        </is>
      </c>
      <c r="K283" s="29">
        <f>F283</f>
        <v/>
      </c>
    </row>
    <row r="284">
      <c r="A284" s="29">
        <f>CONCATENATE("NAME_PkMn_", UPPER(B284))</f>
        <v/>
      </c>
      <c r="B284" s="29" t="inlineStr">
        <is>
          <t>Surskit</t>
        </is>
      </c>
      <c r="C284" s="29" t="inlineStr">
        <is>
          <t>アメタマ</t>
        </is>
      </c>
      <c r="D284" s="29" t="inlineStr">
        <is>
          <t>Arakdo</t>
        </is>
      </c>
      <c r="E284" s="29" t="inlineStr">
        <is>
          <t>Gehweiher</t>
        </is>
      </c>
      <c r="F284" s="29">
        <f>B284</f>
        <v/>
      </c>
      <c r="G284" s="29">
        <f>B284</f>
        <v/>
      </c>
      <c r="H284" s="29" t="inlineStr">
        <is>
          <t>비구술</t>
        </is>
      </c>
      <c r="I284" s="29" t="inlineStr">
        <is>
          <t>溜溜糖球</t>
        </is>
      </c>
      <c r="J284" s="29">
        <f>I284</f>
        <v/>
      </c>
      <c r="K284" s="29">
        <f>F284</f>
        <v/>
      </c>
    </row>
    <row r="285">
      <c r="A285" s="29">
        <f>CONCATENATE("NAME_PkMn_", UPPER(B285))</f>
        <v/>
      </c>
      <c r="B285" s="29" t="inlineStr">
        <is>
          <t>Masquerain</t>
        </is>
      </c>
      <c r="C285" s="29" t="inlineStr">
        <is>
          <t>アメモース</t>
        </is>
      </c>
      <c r="D285" s="29" t="inlineStr">
        <is>
          <t>Maskadra</t>
        </is>
      </c>
      <c r="E285" s="29" t="inlineStr">
        <is>
          <t>Maskeregen</t>
        </is>
      </c>
      <c r="F285" s="29">
        <f>B285</f>
        <v/>
      </c>
      <c r="G285" s="29">
        <f>B285</f>
        <v/>
      </c>
      <c r="H285" s="29" t="inlineStr">
        <is>
          <t>비나방</t>
        </is>
      </c>
      <c r="I285" s="29" t="inlineStr">
        <is>
          <t>雨翅蛾</t>
        </is>
      </c>
      <c r="J285" s="29">
        <f>I285</f>
        <v/>
      </c>
      <c r="K285" s="29">
        <f>F285</f>
        <v/>
      </c>
    </row>
    <row r="286">
      <c r="A286" s="29">
        <f>CONCATENATE("NAME_PkMn_", UPPER(B286))</f>
        <v/>
      </c>
      <c r="B286" s="29" t="inlineStr">
        <is>
          <t>Shroomish</t>
        </is>
      </c>
      <c r="C286" s="29" t="inlineStr">
        <is>
          <t>キノココ</t>
        </is>
      </c>
      <c r="D286" s="29" t="inlineStr">
        <is>
          <t>Balignon</t>
        </is>
      </c>
      <c r="E286" s="29" t="inlineStr">
        <is>
          <t>Knilz</t>
        </is>
      </c>
      <c r="F286" s="29">
        <f>B286</f>
        <v/>
      </c>
      <c r="G286" s="29">
        <f>B286</f>
        <v/>
      </c>
      <c r="H286" s="29" t="inlineStr">
        <is>
          <t>버섯꼬</t>
        </is>
      </c>
      <c r="I286" s="29" t="inlineStr">
        <is>
          <t>蘑蘑菇</t>
        </is>
      </c>
      <c r="J286" s="29">
        <f>I286</f>
        <v/>
      </c>
      <c r="K286" s="29">
        <f>F286</f>
        <v/>
      </c>
    </row>
    <row r="287">
      <c r="A287" s="29">
        <f>CONCATENATE("NAME_PkMn_", UPPER(B287))</f>
        <v/>
      </c>
      <c r="B287" s="29" t="inlineStr">
        <is>
          <t>Breloom</t>
        </is>
      </c>
      <c r="C287" s="29" t="inlineStr">
        <is>
          <t>キノガッサ</t>
        </is>
      </c>
      <c r="D287" s="29" t="inlineStr">
        <is>
          <t>Chapignon</t>
        </is>
      </c>
      <c r="E287" s="29" t="inlineStr">
        <is>
          <t>Kapilz</t>
        </is>
      </c>
      <c r="F287" s="29">
        <f>B287</f>
        <v/>
      </c>
      <c r="G287" s="29">
        <f>B287</f>
        <v/>
      </c>
      <c r="H287" s="29" t="inlineStr">
        <is>
          <t>버섯모</t>
        </is>
      </c>
      <c r="I287" s="29" t="inlineStr">
        <is>
          <t>斗笠菇</t>
        </is>
      </c>
      <c r="J287" s="29">
        <f>I287</f>
        <v/>
      </c>
      <c r="K287" s="29">
        <f>F287</f>
        <v/>
      </c>
    </row>
    <row r="288">
      <c r="A288" s="29">
        <f>CONCATENATE("NAME_PkMn_", UPPER(B288))</f>
        <v/>
      </c>
      <c r="B288" s="29" t="inlineStr">
        <is>
          <t>Slakoth</t>
        </is>
      </c>
      <c r="C288" s="29" t="inlineStr">
        <is>
          <t>ナマケロ</t>
        </is>
      </c>
      <c r="D288" s="29" t="inlineStr">
        <is>
          <t>Parecool</t>
        </is>
      </c>
      <c r="E288" s="29" t="inlineStr">
        <is>
          <t>Bummelz</t>
        </is>
      </c>
      <c r="F288" s="29">
        <f>B288</f>
        <v/>
      </c>
      <c r="G288" s="29">
        <f>B288</f>
        <v/>
      </c>
      <c r="H288" s="29" t="inlineStr">
        <is>
          <t>게을로</t>
        </is>
      </c>
      <c r="I288" s="29" t="inlineStr">
        <is>
          <t>懶人獺</t>
        </is>
      </c>
      <c r="J288" s="29">
        <f>IFERROR(__xludf.DUMMYFUNCTION("GOOGLETRANSLATE(I288,""zh_HANT"",""zh_HANS"")"),"懒人獭")</f>
        <v/>
      </c>
      <c r="K288" s="29">
        <f>F288</f>
        <v/>
      </c>
    </row>
    <row r="289">
      <c r="A289" s="29">
        <f>CONCATENATE("NAME_PkMn_", UPPER(B289))</f>
        <v/>
      </c>
      <c r="B289" s="29" t="inlineStr">
        <is>
          <t>Vigoroth</t>
        </is>
      </c>
      <c r="C289" s="29" t="inlineStr">
        <is>
          <t>ヤルキモノ</t>
        </is>
      </c>
      <c r="D289" s="29">
        <f>B289</f>
        <v/>
      </c>
      <c r="E289" s="29" t="inlineStr">
        <is>
          <t>Muntier</t>
        </is>
      </c>
      <c r="F289" s="29">
        <f>B289</f>
        <v/>
      </c>
      <c r="G289" s="29">
        <f>B289</f>
        <v/>
      </c>
      <c r="H289" s="29" t="inlineStr">
        <is>
          <t>발바로</t>
        </is>
      </c>
      <c r="I289" s="29" t="inlineStr">
        <is>
          <t>過動猿</t>
        </is>
      </c>
      <c r="J289" s="29">
        <f>IFERROR(__xludf.DUMMYFUNCTION("GOOGLETRANSLATE(I289,""zh_HANT"",""zh_HANS"")"),"过动猿")</f>
        <v/>
      </c>
      <c r="K289" s="29">
        <f>F289</f>
        <v/>
      </c>
    </row>
    <row r="290">
      <c r="A290" s="29">
        <f>CONCATENATE("NAME_PkMn_", UPPER(B290))</f>
        <v/>
      </c>
      <c r="B290" s="29" t="inlineStr">
        <is>
          <t>Slaking</t>
        </is>
      </c>
      <c r="C290" s="29" t="inlineStr">
        <is>
          <t>ケッキング</t>
        </is>
      </c>
      <c r="D290" s="29" t="inlineStr">
        <is>
          <t>Monaflèmit</t>
        </is>
      </c>
      <c r="E290" s="29" t="inlineStr">
        <is>
          <t>Letarking</t>
        </is>
      </c>
      <c r="F290" s="29">
        <f>B290</f>
        <v/>
      </c>
      <c r="G290" s="29">
        <f>B290</f>
        <v/>
      </c>
      <c r="H290" s="29" t="inlineStr">
        <is>
          <t>게을킹</t>
        </is>
      </c>
      <c r="I290" s="29" t="inlineStr">
        <is>
          <t>請假王</t>
        </is>
      </c>
      <c r="J290" s="29">
        <f>IFERROR(__xludf.DUMMYFUNCTION("GOOGLETRANSLATE(I290,""zh_HANT"",""zh_HANS"")"),"请假王")</f>
        <v/>
      </c>
      <c r="K290" s="29">
        <f>F290</f>
        <v/>
      </c>
    </row>
    <row r="291">
      <c r="A291" s="29">
        <f>CONCATENATE("NAME_PkMn_", UPPER(B291))</f>
        <v/>
      </c>
      <c r="B291" s="29" t="inlineStr">
        <is>
          <t>Nincada</t>
        </is>
      </c>
      <c r="C291" s="29" t="inlineStr">
        <is>
          <t>ツチニン</t>
        </is>
      </c>
      <c r="D291" s="29" t="inlineStr">
        <is>
          <t>Ningale</t>
        </is>
      </c>
      <c r="E291" s="29" t="inlineStr">
        <is>
          <t>Nincada</t>
        </is>
      </c>
      <c r="F291" s="29">
        <f>B291</f>
        <v/>
      </c>
      <c r="G291" s="29">
        <f>B291</f>
        <v/>
      </c>
      <c r="H291" s="29" t="inlineStr">
        <is>
          <t>토중몬</t>
        </is>
      </c>
      <c r="I291" s="29" t="inlineStr">
        <is>
          <t>土居忍士</t>
        </is>
      </c>
      <c r="J291" s="29">
        <f>I291</f>
        <v/>
      </c>
      <c r="K291" s="29">
        <f>F291</f>
        <v/>
      </c>
    </row>
    <row r="292">
      <c r="A292" s="29">
        <f>CONCATENATE("NAME_PkMn_", UPPER(B292))</f>
        <v/>
      </c>
      <c r="B292" s="29" t="inlineStr">
        <is>
          <t>Ninjask</t>
        </is>
      </c>
      <c r="C292" s="29" t="inlineStr">
        <is>
          <t>テッカニン</t>
        </is>
      </c>
      <c r="D292" s="29">
        <f>B292</f>
        <v/>
      </c>
      <c r="E292" s="29" t="inlineStr">
        <is>
          <t>Ninjask</t>
        </is>
      </c>
      <c r="F292" s="29">
        <f>B292</f>
        <v/>
      </c>
      <c r="G292" s="29">
        <f>B292</f>
        <v/>
      </c>
      <c r="H292" s="29" t="inlineStr">
        <is>
          <t>아이스크</t>
        </is>
      </c>
      <c r="I292" s="29" t="inlineStr">
        <is>
          <t>鐵面忍者</t>
        </is>
      </c>
      <c r="J292" s="29">
        <f>IFERROR(__xludf.DUMMYFUNCTION("GOOGLETRANSLATE(I292,""zh_HANT"",""zh_HANS"")"),"铁面忍者")</f>
        <v/>
      </c>
      <c r="K292" s="29">
        <f>F292</f>
        <v/>
      </c>
    </row>
    <row r="293">
      <c r="A293" s="29">
        <f>CONCATENATE("NAME_PkMn_", UPPER(B293))</f>
        <v/>
      </c>
      <c r="B293" s="29" t="inlineStr">
        <is>
          <t>Shedinja</t>
        </is>
      </c>
      <c r="C293" s="29" t="inlineStr">
        <is>
          <t>ヌケニン</t>
        </is>
      </c>
      <c r="D293" s="29" t="inlineStr">
        <is>
          <t>Munja</t>
        </is>
      </c>
      <c r="E293" s="29" t="inlineStr">
        <is>
          <t>Ninjatom</t>
        </is>
      </c>
      <c r="F293" s="29">
        <f>B293</f>
        <v/>
      </c>
      <c r="G293" s="29">
        <f>B293</f>
        <v/>
      </c>
      <c r="H293" s="29" t="inlineStr">
        <is>
          <t>껍질몬</t>
        </is>
      </c>
      <c r="I293" s="29" t="inlineStr">
        <is>
          <t>脫殼忍者</t>
        </is>
      </c>
      <c r="J293" s="29">
        <f>IFERROR(__xludf.DUMMYFUNCTION("GOOGLETRANSLATE(I293,""zh_HANT"",""zh_HANS"")"),"脱壳忍者")</f>
        <v/>
      </c>
      <c r="K293" s="29">
        <f>F293</f>
        <v/>
      </c>
    </row>
    <row r="294">
      <c r="A294" s="29">
        <f>CONCATENATE("NAME_PkMn_", UPPER(B294))</f>
        <v/>
      </c>
      <c r="B294" s="29" t="inlineStr">
        <is>
          <t>Whismur</t>
        </is>
      </c>
      <c r="C294" s="29" t="inlineStr">
        <is>
          <t>ゴニョニョ</t>
        </is>
      </c>
      <c r="D294" s="29" t="inlineStr">
        <is>
          <t>Chuchmur</t>
        </is>
      </c>
      <c r="E294" s="29" t="inlineStr">
        <is>
          <t>Flurmel</t>
        </is>
      </c>
      <c r="F294" s="29">
        <f>B294</f>
        <v/>
      </c>
      <c r="G294" s="29">
        <f>B294</f>
        <v/>
      </c>
      <c r="H294" s="29" t="inlineStr">
        <is>
          <t>소곤룡</t>
        </is>
      </c>
      <c r="I294" s="29" t="inlineStr">
        <is>
          <t>咕妞妞</t>
        </is>
      </c>
      <c r="J294" s="29">
        <f>I294</f>
        <v/>
      </c>
      <c r="K294" s="29">
        <f>F294</f>
        <v/>
      </c>
    </row>
    <row r="295">
      <c r="A295" s="29">
        <f>CONCATENATE("NAME_PkMn_", UPPER(B295))</f>
        <v/>
      </c>
      <c r="B295" s="29" t="inlineStr">
        <is>
          <t>Loudred</t>
        </is>
      </c>
      <c r="C295" s="29" t="inlineStr">
        <is>
          <t>ドゴーム</t>
        </is>
      </c>
      <c r="D295" s="29" t="inlineStr">
        <is>
          <t>Ramboum</t>
        </is>
      </c>
      <c r="E295" s="29" t="inlineStr">
        <is>
          <t>Krakeelo</t>
        </is>
      </c>
      <c r="F295" s="29">
        <f>B295</f>
        <v/>
      </c>
      <c r="G295" s="29">
        <f>B295</f>
        <v/>
      </c>
      <c r="H295" s="29" t="inlineStr">
        <is>
          <t>노공룡</t>
        </is>
      </c>
      <c r="I295" s="29" t="inlineStr">
        <is>
          <t>吼爆彈</t>
        </is>
      </c>
      <c r="J295" s="29">
        <f>IFERROR(__xludf.DUMMYFUNCTION("GOOGLETRANSLATE(I295,""zh_HANT"",""zh_HANS"")"),"吼爆弹")</f>
        <v/>
      </c>
      <c r="K295" s="29">
        <f>F295</f>
        <v/>
      </c>
    </row>
    <row r="296">
      <c r="A296" s="29">
        <f>CONCATENATE("NAME_PkMn_", UPPER(B296))</f>
        <v/>
      </c>
      <c r="B296" s="29" t="inlineStr">
        <is>
          <t>Exploud</t>
        </is>
      </c>
      <c r="C296" s="29" t="inlineStr">
        <is>
          <t>バクオング</t>
        </is>
      </c>
      <c r="D296" s="29" t="inlineStr">
        <is>
          <t>Brouhabam</t>
        </is>
      </c>
      <c r="E296" s="29" t="inlineStr">
        <is>
          <t>Krawumms</t>
        </is>
      </c>
      <c r="F296" s="29">
        <f>B296</f>
        <v/>
      </c>
      <c r="G296" s="29">
        <f>B296</f>
        <v/>
      </c>
      <c r="H296" s="29" t="inlineStr">
        <is>
          <t>폭음룡</t>
        </is>
      </c>
      <c r="I296" s="29" t="inlineStr">
        <is>
          <t>爆音怪</t>
        </is>
      </c>
      <c r="J296" s="29">
        <f>I296</f>
        <v/>
      </c>
      <c r="K296" s="29">
        <f>F296</f>
        <v/>
      </c>
    </row>
    <row r="297">
      <c r="A297" s="29">
        <f>CONCATENATE("NAME_PkMn_", UPPER(B297))</f>
        <v/>
      </c>
      <c r="B297" s="29" t="inlineStr">
        <is>
          <t>Makuhita</t>
        </is>
      </c>
      <c r="C297" s="29" t="inlineStr">
        <is>
          <t>マクノシタ</t>
        </is>
      </c>
      <c r="D297" s="29">
        <f>B297</f>
        <v/>
      </c>
      <c r="E297" s="29" t="inlineStr">
        <is>
          <t>Makuhita</t>
        </is>
      </c>
      <c r="F297" s="29">
        <f>B297</f>
        <v/>
      </c>
      <c r="G297" s="29">
        <f>B297</f>
        <v/>
      </c>
      <c r="H297" s="29" t="inlineStr">
        <is>
          <t>마크탕</t>
        </is>
      </c>
      <c r="I297" s="29" t="inlineStr">
        <is>
          <t>幕下力士</t>
        </is>
      </c>
      <c r="J297" s="29">
        <f>I297</f>
        <v/>
      </c>
      <c r="K297" s="29">
        <f>F297</f>
        <v/>
      </c>
    </row>
    <row r="298">
      <c r="A298" s="29">
        <f>CONCATENATE("NAME_PkMn_", UPPER(B298))</f>
        <v/>
      </c>
      <c r="B298" s="29" t="inlineStr">
        <is>
          <t>Hariyama</t>
        </is>
      </c>
      <c r="C298" s="29" t="inlineStr">
        <is>
          <t>ハリテヤマ</t>
        </is>
      </c>
      <c r="D298" s="29">
        <f>B298</f>
        <v/>
      </c>
      <c r="E298" s="29" t="inlineStr">
        <is>
          <t>Hariyama</t>
        </is>
      </c>
      <c r="F298" s="29">
        <f>B298</f>
        <v/>
      </c>
      <c r="G298" s="29">
        <f>B298</f>
        <v/>
      </c>
      <c r="H298" s="29" t="inlineStr">
        <is>
          <t>하리뭉</t>
        </is>
      </c>
      <c r="I298" s="29" t="inlineStr">
        <is>
          <t>鐵掌力士</t>
        </is>
      </c>
      <c r="J298" s="29">
        <f>IFERROR(__xludf.DUMMYFUNCTION("GOOGLETRANSLATE(I298,""zh_HANT"",""zh_HANS"")"),"铁掌力士")</f>
        <v/>
      </c>
      <c r="K298" s="29">
        <f>F298</f>
        <v/>
      </c>
    </row>
    <row r="299">
      <c r="A299" s="29">
        <f>CONCATENATE("NAME_PkMn_", UPPER(B299))</f>
        <v/>
      </c>
      <c r="B299" s="29" t="inlineStr">
        <is>
          <t>Azurill</t>
        </is>
      </c>
      <c r="C299" s="29" t="inlineStr">
        <is>
          <t>ルリリ</t>
        </is>
      </c>
      <c r="D299" s="29">
        <f>B299</f>
        <v/>
      </c>
      <c r="E299" s="29" t="inlineStr">
        <is>
          <t>Azurill</t>
        </is>
      </c>
      <c r="F299" s="29">
        <f>B299</f>
        <v/>
      </c>
      <c r="G299" s="29">
        <f>B299</f>
        <v/>
      </c>
      <c r="H299" s="29" t="inlineStr">
        <is>
          <t>루리리</t>
        </is>
      </c>
      <c r="I299" s="29" t="inlineStr">
        <is>
          <t>露力麗</t>
        </is>
      </c>
      <c r="J299" s="29">
        <f>IFERROR(__xludf.DUMMYFUNCTION("GOOGLETRANSLATE(I299,""zh_HANT"",""zh_HANS"")"),"露力丽")</f>
        <v/>
      </c>
      <c r="K299" s="29">
        <f>F299</f>
        <v/>
      </c>
    </row>
    <row r="300">
      <c r="A300" s="29">
        <f>CONCATENATE("NAME_PkMn_", UPPER(B300))</f>
        <v/>
      </c>
      <c r="B300" s="29" t="inlineStr">
        <is>
          <t>Nosepass</t>
        </is>
      </c>
      <c r="C300" s="29" t="inlineStr">
        <is>
          <t>ノズパス</t>
        </is>
      </c>
      <c r="D300" s="29" t="inlineStr">
        <is>
          <t>Tarinor</t>
        </is>
      </c>
      <c r="E300" s="29" t="inlineStr">
        <is>
          <t>Nasgnet</t>
        </is>
      </c>
      <c r="F300" s="29">
        <f>B300</f>
        <v/>
      </c>
      <c r="G300" s="29">
        <f>B300</f>
        <v/>
      </c>
      <c r="H300" s="29" t="inlineStr">
        <is>
          <t>코코파스</t>
        </is>
      </c>
      <c r="I300" s="29" t="inlineStr">
        <is>
          <t>朝北鼻</t>
        </is>
      </c>
      <c r="J300" s="29">
        <f>I300</f>
        <v/>
      </c>
      <c r="K300" s="29">
        <f>F300</f>
        <v/>
      </c>
    </row>
    <row r="301">
      <c r="A301" s="29">
        <f>CONCATENATE("NAME_PkMn_", UPPER(B301))</f>
        <v/>
      </c>
      <c r="B301" s="29" t="inlineStr">
        <is>
          <t>Skitty</t>
        </is>
      </c>
      <c r="C301" s="29" t="inlineStr">
        <is>
          <t>エネコ</t>
        </is>
      </c>
      <c r="D301" s="29" t="inlineStr">
        <is>
          <t>Skitty</t>
        </is>
      </c>
      <c r="E301" s="29" t="inlineStr">
        <is>
          <t>Eneco</t>
        </is>
      </c>
      <c r="F301" s="29">
        <f>B301</f>
        <v/>
      </c>
      <c r="G301" s="29">
        <f>B301</f>
        <v/>
      </c>
      <c r="H301" s="29" t="inlineStr">
        <is>
          <t>에나비</t>
        </is>
      </c>
      <c r="I301" s="29" t="inlineStr">
        <is>
          <t>向尾喵</t>
        </is>
      </c>
      <c r="J301" s="29">
        <f>I301</f>
        <v/>
      </c>
      <c r="K301" s="29">
        <f>F301</f>
        <v/>
      </c>
    </row>
    <row r="302">
      <c r="A302" s="29">
        <f>CONCATENATE("NAME_PkMn_", UPPER(B302))</f>
        <v/>
      </c>
      <c r="B302" s="29" t="inlineStr">
        <is>
          <t>Delcatty</t>
        </is>
      </c>
      <c r="C302" s="29" t="inlineStr">
        <is>
          <t>エネコロロ</t>
        </is>
      </c>
      <c r="D302" s="29">
        <f>B302</f>
        <v/>
      </c>
      <c r="E302" s="29" t="inlineStr">
        <is>
          <t>Enekoro</t>
        </is>
      </c>
      <c r="F302" s="29">
        <f>B302</f>
        <v/>
      </c>
      <c r="G302" s="29">
        <f>B302</f>
        <v/>
      </c>
      <c r="H302" s="29" t="inlineStr">
        <is>
          <t>델케티</t>
        </is>
      </c>
      <c r="I302" s="29" t="inlineStr">
        <is>
          <t>優雅貓</t>
        </is>
      </c>
      <c r="J302" s="29">
        <f>IFERROR(__xludf.DUMMYFUNCTION("GOOGLETRANSLATE(I302,""zh_HANT"",""zh_HANS"")"),"优雅猫")</f>
        <v/>
      </c>
      <c r="K302" s="29">
        <f>F302</f>
        <v/>
      </c>
    </row>
    <row r="303">
      <c r="A303" s="29">
        <f>CONCATENATE("NAME_PkMn_", UPPER(B303))</f>
        <v/>
      </c>
      <c r="B303" s="29" t="inlineStr">
        <is>
          <t>Sableye</t>
        </is>
      </c>
      <c r="C303" s="29" t="inlineStr">
        <is>
          <t>ヤミラミ</t>
        </is>
      </c>
      <c r="D303" s="29" t="inlineStr">
        <is>
          <t>Ténéfix</t>
        </is>
      </c>
      <c r="E303" s="29" t="inlineStr">
        <is>
          <t>Zobiris</t>
        </is>
      </c>
      <c r="F303" s="29">
        <f>B303</f>
        <v/>
      </c>
      <c r="G303" s="29">
        <f>B303</f>
        <v/>
      </c>
      <c r="H303" s="29" t="inlineStr">
        <is>
          <t>깜까미</t>
        </is>
      </c>
      <c r="I303" s="29">
        <f>J303</f>
        <v/>
      </c>
      <c r="J303" s="29" t="inlineStr">
        <is>
          <t>勾魂眼</t>
        </is>
      </c>
      <c r="K303" s="29">
        <f>F303</f>
        <v/>
      </c>
    </row>
    <row r="304">
      <c r="A304" s="29">
        <f>CONCATENATE("NAME_PkMn_", UPPER(B304))</f>
        <v/>
      </c>
      <c r="B304" s="29" t="inlineStr">
        <is>
          <t>Mawile</t>
        </is>
      </c>
      <c r="C304" s="29" t="inlineStr">
        <is>
          <t>クチート</t>
        </is>
      </c>
      <c r="D304" s="29" t="inlineStr">
        <is>
          <t>Mysdibule</t>
        </is>
      </c>
      <c r="E304" s="29" t="inlineStr">
        <is>
          <t>Flunkifer</t>
        </is>
      </c>
      <c r="F304" s="29">
        <f>B304</f>
        <v/>
      </c>
      <c r="G304" s="29">
        <f>B304</f>
        <v/>
      </c>
      <c r="H304" s="29" t="inlineStr">
        <is>
          <t>입치트</t>
        </is>
      </c>
      <c r="I304" s="29">
        <f>J304</f>
        <v/>
      </c>
      <c r="J304" s="29" t="inlineStr">
        <is>
          <t>大嘴娃</t>
        </is>
      </c>
      <c r="K304" s="29">
        <f>F304</f>
        <v/>
      </c>
    </row>
    <row r="305">
      <c r="A305" s="29">
        <f>CONCATENATE("NAME_PkMn_", UPPER(B305))</f>
        <v/>
      </c>
      <c r="B305" s="29" t="inlineStr">
        <is>
          <t>Aron</t>
        </is>
      </c>
      <c r="C305" s="29" t="inlineStr">
        <is>
          <t>ココドラ</t>
        </is>
      </c>
      <c r="D305" s="29" t="inlineStr">
        <is>
          <t>Galekid</t>
        </is>
      </c>
      <c r="E305" s="29" t="inlineStr">
        <is>
          <t>Stollunior</t>
        </is>
      </c>
      <c r="F305" s="29">
        <f>B305</f>
        <v/>
      </c>
      <c r="G305" s="29">
        <f>B305</f>
        <v/>
      </c>
      <c r="H305" s="29" t="inlineStr">
        <is>
          <t>가보리</t>
        </is>
      </c>
      <c r="I305" s="29" t="inlineStr">
        <is>
          <t>可可多拉</t>
        </is>
      </c>
      <c r="J305" s="29">
        <f>I305</f>
        <v/>
      </c>
      <c r="K305" s="29">
        <f>F305</f>
        <v/>
      </c>
    </row>
    <row r="306">
      <c r="A306" s="29">
        <f>CONCATENATE("NAME_PkMn_", UPPER(B306))</f>
        <v/>
      </c>
      <c r="B306" s="29" t="inlineStr">
        <is>
          <t>Lairon</t>
        </is>
      </c>
      <c r="C306" s="29" t="inlineStr">
        <is>
          <t>コドラ</t>
        </is>
      </c>
      <c r="D306" s="29" t="inlineStr">
        <is>
          <t>Galegon</t>
        </is>
      </c>
      <c r="E306" s="29" t="inlineStr">
        <is>
          <t>Stollrak</t>
        </is>
      </c>
      <c r="F306" s="29">
        <f>B306</f>
        <v/>
      </c>
      <c r="G306" s="29">
        <f>B306</f>
        <v/>
      </c>
      <c r="H306" s="29" t="inlineStr">
        <is>
          <t>갱도라</t>
        </is>
      </c>
      <c r="I306" s="29" t="inlineStr">
        <is>
          <t>可多拉</t>
        </is>
      </c>
      <c r="J306" s="29">
        <f>I306</f>
        <v/>
      </c>
      <c r="K306" s="29">
        <f>F306</f>
        <v/>
      </c>
    </row>
    <row r="307">
      <c r="A307" s="29">
        <f>CONCATENATE("NAME_PkMn_", UPPER(B307))</f>
        <v/>
      </c>
      <c r="B307" s="29" t="inlineStr">
        <is>
          <t>Aggron</t>
        </is>
      </c>
      <c r="C307" s="29" t="inlineStr">
        <is>
          <t>バスゴドラ</t>
        </is>
      </c>
      <c r="D307" s="29" t="inlineStr">
        <is>
          <t>Galeking</t>
        </is>
      </c>
      <c r="E307" s="29" t="inlineStr">
        <is>
          <t>Stolloss</t>
        </is>
      </c>
      <c r="F307" s="29">
        <f>B307</f>
        <v/>
      </c>
      <c r="G307" s="29">
        <f>B307</f>
        <v/>
      </c>
      <c r="H307" s="29" t="inlineStr">
        <is>
          <t>보스로라</t>
        </is>
      </c>
      <c r="I307" s="29">
        <f>J307</f>
        <v/>
      </c>
      <c r="J307" s="29" t="inlineStr">
        <is>
          <t>波士可多拉</t>
        </is>
      </c>
      <c r="K307" s="29">
        <f>F307</f>
        <v/>
      </c>
    </row>
    <row r="308">
      <c r="A308" s="29">
        <f>CONCATENATE("NAME_PkMn_", UPPER(B308))</f>
        <v/>
      </c>
      <c r="B308" s="29" t="inlineStr">
        <is>
          <t>Meditite</t>
        </is>
      </c>
      <c r="C308" s="29" t="inlineStr">
        <is>
          <t>アサナン</t>
        </is>
      </c>
      <c r="D308" s="29" t="inlineStr">
        <is>
          <t>Méditikka</t>
        </is>
      </c>
      <c r="E308" s="29" t="inlineStr">
        <is>
          <t>Meditie</t>
        </is>
      </c>
      <c r="F308" s="29">
        <f>B308</f>
        <v/>
      </c>
      <c r="G308" s="29">
        <f>B308</f>
        <v/>
      </c>
      <c r="H308" s="29" t="inlineStr">
        <is>
          <t>요가랑</t>
        </is>
      </c>
      <c r="I308" s="29" t="inlineStr">
        <is>
          <t>瑪沙那</t>
        </is>
      </c>
      <c r="J308" s="29">
        <f>IFERROR(__xludf.DUMMYFUNCTION("GOOGLETRANSLATE(I308,""zh_HANT"",""zh_HANS"")"),"玛沙那")</f>
        <v/>
      </c>
      <c r="K308" s="29">
        <f>F308</f>
        <v/>
      </c>
    </row>
    <row r="309">
      <c r="A309" s="29">
        <f>CONCATENATE("NAME_PkMn_", UPPER(B309))</f>
        <v/>
      </c>
      <c r="B309" s="29" t="inlineStr">
        <is>
          <t>Medicham</t>
        </is>
      </c>
      <c r="C309" s="29" t="inlineStr">
        <is>
          <t>チャーレム</t>
        </is>
      </c>
      <c r="D309" s="29" t="inlineStr">
        <is>
          <t>Charmina</t>
        </is>
      </c>
      <c r="E309" s="29" t="inlineStr">
        <is>
          <t>Meditalis</t>
        </is>
      </c>
      <c r="F309" s="29">
        <f>B309</f>
        <v/>
      </c>
      <c r="G309" s="29">
        <f>B309</f>
        <v/>
      </c>
      <c r="H309" s="29" t="inlineStr">
        <is>
          <t>요가램</t>
        </is>
      </c>
      <c r="I309" s="29">
        <f>J309</f>
        <v/>
      </c>
      <c r="J309" s="29" t="inlineStr">
        <is>
          <t>恰雷姆</t>
        </is>
      </c>
      <c r="K309" s="29">
        <f>F309</f>
        <v/>
      </c>
    </row>
    <row r="310">
      <c r="A310" s="29">
        <f>CONCATENATE("NAME_PkMn_", UPPER(B310))</f>
        <v/>
      </c>
      <c r="B310" s="29" t="inlineStr">
        <is>
          <t>Electrike</t>
        </is>
      </c>
      <c r="C310" s="29" t="inlineStr">
        <is>
          <t>ラクライ</t>
        </is>
      </c>
      <c r="D310" s="29" t="inlineStr">
        <is>
          <t>Dynavolt</t>
        </is>
      </c>
      <c r="E310" s="29" t="inlineStr">
        <is>
          <t>Frizelbliz</t>
        </is>
      </c>
      <c r="F310" s="29">
        <f>B310</f>
        <v/>
      </c>
      <c r="G310" s="29">
        <f>B310</f>
        <v/>
      </c>
      <c r="H310" s="29" t="inlineStr">
        <is>
          <t>썬더라이</t>
        </is>
      </c>
      <c r="I310" s="29" t="inlineStr">
        <is>
          <t>落雷獸</t>
        </is>
      </c>
      <c r="J310" s="29">
        <f>IFERROR(__xludf.DUMMYFUNCTION("GOOGLETRANSLATE(I310,""zh_HANT"",""zh_HANS"")"),"落雷兽")</f>
        <v/>
      </c>
      <c r="K310" s="29">
        <f>F310</f>
        <v/>
      </c>
    </row>
    <row r="311">
      <c r="A311" s="29">
        <f>CONCATENATE("NAME_PkMn_", UPPER(B311))</f>
        <v/>
      </c>
      <c r="B311" s="29" t="inlineStr">
        <is>
          <t>Manectric</t>
        </is>
      </c>
      <c r="C311" s="29" t="inlineStr">
        <is>
          <t>ライボルト</t>
        </is>
      </c>
      <c r="D311" s="29" t="inlineStr">
        <is>
          <t>Élecsprint</t>
        </is>
      </c>
      <c r="E311" s="29" t="inlineStr">
        <is>
          <t>Voltenso</t>
        </is>
      </c>
      <c r="F311" s="29">
        <f>B311</f>
        <v/>
      </c>
      <c r="G311" s="29">
        <f>B311</f>
        <v/>
      </c>
      <c r="H311" s="29" t="inlineStr">
        <is>
          <t>썬더볼트</t>
        </is>
      </c>
      <c r="I311" s="29">
        <f>IFERROR(__xludf.DUMMYFUNCTION("GOOGLETRANSLATE(J311,""zh_HANS"",""zh_HANT"")"),"雷電獸")</f>
        <v/>
      </c>
      <c r="J311" s="29" t="inlineStr">
        <is>
          <t>雷电兽</t>
        </is>
      </c>
      <c r="K311" s="29">
        <f>F311</f>
        <v/>
      </c>
    </row>
    <row r="312">
      <c r="A312" s="29">
        <f>CONCATENATE("NAME_PkMn_", UPPER(B312))</f>
        <v/>
      </c>
      <c r="B312" s="29" t="inlineStr">
        <is>
          <t>Plusle</t>
        </is>
      </c>
      <c r="C312" s="29" t="inlineStr">
        <is>
          <t>プラスル</t>
        </is>
      </c>
      <c r="D312" s="29" t="inlineStr">
        <is>
          <t>Posipi</t>
        </is>
      </c>
      <c r="E312" s="29" t="inlineStr">
        <is>
          <t>Plusle</t>
        </is>
      </c>
      <c r="F312" s="29">
        <f>B312</f>
        <v/>
      </c>
      <c r="G312" s="29">
        <f>B312</f>
        <v/>
      </c>
      <c r="H312" s="29" t="inlineStr">
        <is>
          <t>플러시</t>
        </is>
      </c>
      <c r="I312" s="29" t="inlineStr">
        <is>
          <t>正電拍拍</t>
        </is>
      </c>
      <c r="J312" s="29">
        <f>IFERROR(__xludf.DUMMYFUNCTION("GOOGLETRANSLATE(I312,""zh_HANT"",""zh_HANS"")"),"正电拍拍")</f>
        <v/>
      </c>
      <c r="K312" s="29">
        <f>F312</f>
        <v/>
      </c>
    </row>
    <row r="313">
      <c r="A313" s="29">
        <f>CONCATENATE("NAME_PkMn_", UPPER(B313))</f>
        <v/>
      </c>
      <c r="B313" s="29" t="inlineStr">
        <is>
          <t>Minum</t>
        </is>
      </c>
      <c r="C313" s="29" t="inlineStr">
        <is>
          <t>マイナン</t>
        </is>
      </c>
      <c r="D313" s="29" t="inlineStr">
        <is>
          <t>Négapi</t>
        </is>
      </c>
      <c r="E313" s="29" t="inlineStr">
        <is>
          <t>Minun</t>
        </is>
      </c>
      <c r="F313" s="29">
        <f>B313</f>
        <v/>
      </c>
      <c r="G313" s="29">
        <f>B313</f>
        <v/>
      </c>
      <c r="H313" s="29" t="inlineStr">
        <is>
          <t>마이농</t>
        </is>
      </c>
      <c r="I313" s="29" t="inlineStr">
        <is>
          <t>負電拍拍</t>
        </is>
      </c>
      <c r="J313" s="29">
        <f>IFERROR(__xludf.DUMMYFUNCTION("GOOGLETRANSLATE(I313,""zh_HANT"",""zh_HANS"")"),"负电拍拍")</f>
        <v/>
      </c>
      <c r="K313" s="29">
        <f>F313</f>
        <v/>
      </c>
    </row>
    <row r="314">
      <c r="A314" s="29">
        <f>CONCATENATE("NAME_PkMn_", UPPER(B314))</f>
        <v/>
      </c>
      <c r="B314" s="29" t="inlineStr">
        <is>
          <t>Volbeat</t>
        </is>
      </c>
      <c r="C314" s="29" t="inlineStr">
        <is>
          <t>バルビート</t>
        </is>
      </c>
      <c r="D314" s="29" t="inlineStr">
        <is>
          <t>Muciole</t>
        </is>
      </c>
      <c r="E314" s="29" t="inlineStr">
        <is>
          <t>Volbeat</t>
        </is>
      </c>
      <c r="F314" s="29">
        <f>B314</f>
        <v/>
      </c>
      <c r="G314" s="29">
        <f>B314</f>
        <v/>
      </c>
      <c r="H314" s="29" t="inlineStr">
        <is>
          <t>볼비트</t>
        </is>
      </c>
      <c r="I314" s="29" t="inlineStr">
        <is>
          <t>電螢蟲</t>
        </is>
      </c>
      <c r="J314" s="29">
        <f>IFERROR(__xludf.DUMMYFUNCTION("GOOGLETRANSLATE(I314,""zh_HANT"",""zh_HANS"")"),"电萤虫")</f>
        <v/>
      </c>
      <c r="K314" s="29">
        <f>F314</f>
        <v/>
      </c>
    </row>
    <row r="315">
      <c r="A315" s="29">
        <f>CONCATENATE("NAME_PkMn_", UPPER(B315))</f>
        <v/>
      </c>
      <c r="B315" s="29" t="inlineStr">
        <is>
          <t>Illumise</t>
        </is>
      </c>
      <c r="C315" s="29" t="inlineStr">
        <is>
          <t>イルミーゼ</t>
        </is>
      </c>
      <c r="D315" s="29" t="inlineStr">
        <is>
          <t>Lumivole</t>
        </is>
      </c>
      <c r="E315" s="29" t="inlineStr">
        <is>
          <t>Illumise</t>
        </is>
      </c>
      <c r="F315" s="29">
        <f>B315</f>
        <v/>
      </c>
      <c r="G315" s="29">
        <f>B315</f>
        <v/>
      </c>
      <c r="H315" s="29" t="inlineStr">
        <is>
          <t>네오비트</t>
        </is>
      </c>
      <c r="I315" s="29" t="inlineStr">
        <is>
          <t>甜甜螢</t>
        </is>
      </c>
      <c r="J315" s="29">
        <f>IFERROR(__xludf.DUMMYFUNCTION("GOOGLETRANSLATE(I315,""zh_HANT"",""zh_HANS"")"),"甜甜萤")</f>
        <v/>
      </c>
      <c r="K315" s="29">
        <f>F315</f>
        <v/>
      </c>
    </row>
    <row r="316">
      <c r="A316" s="29">
        <f>CONCATENATE("NAME_PkMn_", UPPER(B316))</f>
        <v/>
      </c>
      <c r="B316" s="29" t="inlineStr">
        <is>
          <t>Roselia</t>
        </is>
      </c>
      <c r="C316" s="29" t="inlineStr">
        <is>
          <t>ロゼリア</t>
        </is>
      </c>
      <c r="D316" s="29" t="inlineStr">
        <is>
          <t>Rosélia</t>
        </is>
      </c>
      <c r="E316" s="29" t="inlineStr">
        <is>
          <t>Roselia</t>
        </is>
      </c>
      <c r="F316" s="29">
        <f>B316</f>
        <v/>
      </c>
      <c r="G316" s="29">
        <f>B316</f>
        <v/>
      </c>
      <c r="H316" s="29" t="inlineStr">
        <is>
          <t>로젤리아</t>
        </is>
      </c>
      <c r="I316" s="29" t="inlineStr">
        <is>
          <t>毒薔薇</t>
        </is>
      </c>
      <c r="J316" s="29">
        <f>IFERROR(__xludf.DUMMYFUNCTION("GOOGLETRANSLATE(I316,""zh_HANT"",""zh_HANS"")"),"毒蔷薇")</f>
        <v/>
      </c>
      <c r="K316" s="29">
        <f>F316</f>
        <v/>
      </c>
    </row>
    <row r="317">
      <c r="A317" s="29">
        <f>CONCATENATE("NAME_PkMn_", UPPER(B317))</f>
        <v/>
      </c>
      <c r="B317" s="29" t="inlineStr">
        <is>
          <t>Gulpin</t>
        </is>
      </c>
      <c r="C317" s="29" t="inlineStr">
        <is>
          <t>ゴクリン</t>
        </is>
      </c>
      <c r="D317" s="29" t="inlineStr">
        <is>
          <t>Gloupti</t>
        </is>
      </c>
      <c r="E317" s="29" t="inlineStr">
        <is>
          <t>Schluppuck</t>
        </is>
      </c>
      <c r="F317" s="29">
        <f>B317</f>
        <v/>
      </c>
      <c r="G317" s="29">
        <f>B317</f>
        <v/>
      </c>
      <c r="H317" s="29" t="inlineStr">
        <is>
          <t>꼴깍몬</t>
        </is>
      </c>
      <c r="I317" s="29" t="inlineStr">
        <is>
          <t>溶食獸</t>
        </is>
      </c>
      <c r="J317" s="29">
        <f>IFERROR(__xludf.DUMMYFUNCTION("GOOGLETRANSLATE(I317,""zh_HANT"",""zh_HANS"")"),"溶食兽")</f>
        <v/>
      </c>
      <c r="K317" s="29">
        <f>F317</f>
        <v/>
      </c>
    </row>
    <row r="318">
      <c r="A318" s="29">
        <f>CONCATENATE("NAME_PkMn_", UPPER(B318))</f>
        <v/>
      </c>
      <c r="B318" s="29" t="inlineStr">
        <is>
          <t>Swalot</t>
        </is>
      </c>
      <c r="C318" s="29" t="inlineStr">
        <is>
          <t>マルノーム</t>
        </is>
      </c>
      <c r="D318" s="29" t="inlineStr">
        <is>
          <t>Avaltout</t>
        </is>
      </c>
      <c r="E318" s="29" t="inlineStr">
        <is>
          <t>Schluckwech</t>
        </is>
      </c>
      <c r="F318" s="29">
        <f>B318</f>
        <v/>
      </c>
      <c r="G318" s="29">
        <f>B318</f>
        <v/>
      </c>
      <c r="H318" s="29" t="inlineStr">
        <is>
          <t>꿀꺽몬</t>
        </is>
      </c>
      <c r="I318" s="29" t="inlineStr">
        <is>
          <t>吞食獸</t>
        </is>
      </c>
      <c r="J318" s="29">
        <f>IFERROR(__xludf.DUMMYFUNCTION("GOOGLETRANSLATE(I318,""zh_HANT"",""zh_HANS"")"),"吞食兽")</f>
        <v/>
      </c>
      <c r="K318" s="29">
        <f>F318</f>
        <v/>
      </c>
    </row>
    <row r="319">
      <c r="A319" s="29">
        <f>CONCATENATE("NAME_PkMn_", UPPER(B319))</f>
        <v/>
      </c>
      <c r="B319" s="29" t="inlineStr">
        <is>
          <t>Carvanha</t>
        </is>
      </c>
      <c r="C319" s="29" t="inlineStr">
        <is>
          <t>キバニア</t>
        </is>
      </c>
      <c r="D319" s="29">
        <f>B319</f>
        <v/>
      </c>
      <c r="E319" s="29" t="inlineStr">
        <is>
          <t>kanivanha</t>
        </is>
      </c>
      <c r="F319" s="29">
        <f>B319</f>
        <v/>
      </c>
      <c r="G319" s="29">
        <f>B319</f>
        <v/>
      </c>
      <c r="H319" s="29" t="inlineStr">
        <is>
          <t>샤프니아</t>
        </is>
      </c>
      <c r="I319" s="29" t="inlineStr">
        <is>
          <t>吞食獸</t>
        </is>
      </c>
      <c r="J319" s="29">
        <f>IFERROR(__xludf.DUMMYFUNCTION("GOOGLETRANSLATE(I319,""zh_HANT"",""zh_HANS"")"),"吞食兽")</f>
        <v/>
      </c>
      <c r="K319" s="29">
        <f>F319</f>
        <v/>
      </c>
    </row>
    <row r="320">
      <c r="A320" s="29">
        <f>CONCATENATE("NAME_PkMn_", UPPER(B320))</f>
        <v/>
      </c>
      <c r="B320" s="29" t="inlineStr">
        <is>
          <t>Sharpedo</t>
        </is>
      </c>
      <c r="C320" s="29" t="inlineStr">
        <is>
          <t>サメハダー</t>
        </is>
      </c>
      <c r="D320" s="29">
        <f>B320</f>
        <v/>
      </c>
      <c r="E320" s="29" t="inlineStr">
        <is>
          <t>Tohaido</t>
        </is>
      </c>
      <c r="F320" s="29">
        <f>B320</f>
        <v/>
      </c>
      <c r="G320" s="29">
        <f>B320</f>
        <v/>
      </c>
      <c r="H320" s="29" t="inlineStr">
        <is>
          <t>샤크니아</t>
        </is>
      </c>
      <c r="I320" s="29">
        <f>IFERROR(__xludf.DUMMYFUNCTION("GOOGLETRANSLATE(J320,""zh_HANS"",""zh_HANT"")"),"巨牙鯊")</f>
        <v/>
      </c>
      <c r="J320" s="29" t="inlineStr">
        <is>
          <t>巨牙鲨</t>
        </is>
      </c>
      <c r="K320" s="29">
        <f>F320</f>
        <v/>
      </c>
    </row>
    <row r="321">
      <c r="A321" s="29">
        <f>CONCATENATE("NAME_PkMn_", UPPER(B321))</f>
        <v/>
      </c>
      <c r="B321" s="29" t="inlineStr">
        <is>
          <t>Wailmer</t>
        </is>
      </c>
      <c r="C321" s="29" t="inlineStr">
        <is>
          <t>ホエルコ</t>
        </is>
      </c>
      <c r="D321" s="29">
        <f>B321</f>
        <v/>
      </c>
      <c r="E321" s="29" t="inlineStr">
        <is>
          <t>Wailmer</t>
        </is>
      </c>
      <c r="F321" s="29">
        <f>B321</f>
        <v/>
      </c>
      <c r="G321" s="29">
        <f>B321</f>
        <v/>
      </c>
      <c r="H321" s="29" t="inlineStr">
        <is>
          <t>고래왕자</t>
        </is>
      </c>
      <c r="I321" s="29" t="inlineStr">
        <is>
          <t>吼吼鯨</t>
        </is>
      </c>
      <c r="J321" s="29">
        <f>IFERROR(__xludf.DUMMYFUNCTION("GOOGLETRANSLATE(I321,""zh_HANT"",""zh_HANS"")"),"吼吼鲸")</f>
        <v/>
      </c>
      <c r="K321" s="29">
        <f>F321</f>
        <v/>
      </c>
    </row>
    <row r="322">
      <c r="A322" s="29">
        <f>CONCATENATE("NAME_PkMn_", UPPER(B322))</f>
        <v/>
      </c>
      <c r="B322" s="29" t="inlineStr">
        <is>
          <t>Wailord</t>
        </is>
      </c>
      <c r="C322" s="29" t="inlineStr">
        <is>
          <t>ホエルオー</t>
        </is>
      </c>
      <c r="D322" s="29">
        <f>B322</f>
        <v/>
      </c>
      <c r="E322" s="29" t="inlineStr">
        <is>
          <t>Wailord</t>
        </is>
      </c>
      <c r="F322" s="29">
        <f>B322</f>
        <v/>
      </c>
      <c r="G322" s="29">
        <f>B322</f>
        <v/>
      </c>
      <c r="H322" s="29" t="inlineStr">
        <is>
          <t>고래왕자</t>
        </is>
      </c>
      <c r="I322" s="29" t="inlineStr">
        <is>
          <t>吼鯨王</t>
        </is>
      </c>
      <c r="J322" s="29">
        <f>IFERROR(__xludf.DUMMYFUNCTION("GOOGLETRANSLATE(I322,""zh_HANT"",""zh_HANS"")"),"吼鲸王")</f>
        <v/>
      </c>
      <c r="K322" s="29">
        <f>F322</f>
        <v/>
      </c>
    </row>
    <row r="323">
      <c r="A323" s="29">
        <f>CONCATENATE("NAME_PkMn_", UPPER(B323))</f>
        <v/>
      </c>
      <c r="B323" s="29" t="inlineStr">
        <is>
          <t>Numel</t>
        </is>
      </c>
      <c r="C323" s="29" t="inlineStr">
        <is>
          <t>ドンメル</t>
        </is>
      </c>
      <c r="D323" s="29" t="inlineStr">
        <is>
          <t>Chamallot</t>
        </is>
      </c>
      <c r="E323" s="29" t="inlineStr">
        <is>
          <t>Camaub</t>
        </is>
      </c>
      <c r="F323" s="29">
        <f>B323</f>
        <v/>
      </c>
      <c r="G323" s="29">
        <f>B323</f>
        <v/>
      </c>
      <c r="H323" s="29" t="inlineStr">
        <is>
          <t>둔타</t>
        </is>
      </c>
      <c r="I323" s="29" t="inlineStr">
        <is>
          <t>呆火駝</t>
        </is>
      </c>
      <c r="J323" s="29">
        <f>IFERROR(__xludf.DUMMYFUNCTION("GOOGLETRANSLATE(I323,""zh_HANT"",""zh_HANS"")"),"呆火驼")</f>
        <v/>
      </c>
      <c r="K323" s="29">
        <f>F323</f>
        <v/>
      </c>
    </row>
    <row r="324">
      <c r="A324" s="29">
        <f>CONCATENATE("NAME_PkMn_", UPPER(B324))</f>
        <v/>
      </c>
      <c r="B324" s="29" t="inlineStr">
        <is>
          <t>Camerupt</t>
        </is>
      </c>
      <c r="C324" s="29" t="inlineStr">
        <is>
          <t>バクーダ</t>
        </is>
      </c>
      <c r="D324" s="29">
        <f>B324</f>
        <v/>
      </c>
      <c r="E324" s="29" t="inlineStr">
        <is>
          <t>Camerupt</t>
        </is>
      </c>
      <c r="F324" s="29">
        <f>B324</f>
        <v/>
      </c>
      <c r="G324" s="29">
        <f>B324</f>
        <v/>
      </c>
      <c r="H324" s="29" t="inlineStr">
        <is>
          <t>폭타</t>
        </is>
      </c>
      <c r="I324" s="29">
        <f>IFERROR(__xludf.DUMMYFUNCTION("GOOGLETRANSLATE(J324,""zh_HANS"",""zh_HANT"")"),"噴火駝")</f>
        <v/>
      </c>
      <c r="J324" s="29" t="inlineStr">
        <is>
          <t>喷火驼</t>
        </is>
      </c>
      <c r="K324" s="29">
        <f>F324</f>
        <v/>
      </c>
    </row>
    <row r="325">
      <c r="A325" s="29">
        <f>CONCATENATE("NAME_PkMn_", UPPER(B325))</f>
        <v/>
      </c>
      <c r="B325" s="29" t="inlineStr">
        <is>
          <t>Torkoal</t>
        </is>
      </c>
      <c r="C325" s="29" t="inlineStr">
        <is>
          <t>コータス</t>
        </is>
      </c>
      <c r="D325" s="29" t="inlineStr">
        <is>
          <t>Chartor</t>
        </is>
      </c>
      <c r="E325" s="29" t="inlineStr">
        <is>
          <t>Qurtel</t>
        </is>
      </c>
      <c r="F325" s="29">
        <f>B325</f>
        <v/>
      </c>
      <c r="G325" s="29">
        <f>B325</f>
        <v/>
      </c>
      <c r="H325" s="29" t="inlineStr">
        <is>
          <t>코터스</t>
        </is>
      </c>
      <c r="I325" s="29" t="inlineStr">
        <is>
          <t>煤炭龜</t>
        </is>
      </c>
      <c r="J325" s="29">
        <f>IFERROR(__xludf.DUMMYFUNCTION("GOOGLETRANSLATE(I325,""zh_HANT"",""zh_HANS"")"),"煤炭龟")</f>
        <v/>
      </c>
      <c r="K325" s="29">
        <f>F325</f>
        <v/>
      </c>
    </row>
    <row r="326">
      <c r="A326" s="29">
        <f>CONCATENATE("NAME_PkMn_", UPPER(B326))</f>
        <v/>
      </c>
      <c r="B326" s="29" t="inlineStr">
        <is>
          <t>Spoink</t>
        </is>
      </c>
      <c r="C326" s="29" t="inlineStr">
        <is>
          <t>バネブー</t>
        </is>
      </c>
      <c r="D326" s="29">
        <f>B326</f>
        <v/>
      </c>
      <c r="E326" s="29" t="inlineStr">
        <is>
          <t>Spoink</t>
        </is>
      </c>
      <c r="F326" s="29">
        <f>B326</f>
        <v/>
      </c>
      <c r="G326" s="29">
        <f>B326</f>
        <v/>
      </c>
      <c r="H326" s="29" t="inlineStr">
        <is>
          <t>피그점프</t>
        </is>
      </c>
      <c r="I326" s="29" t="inlineStr">
        <is>
          <t>跳跳豬</t>
        </is>
      </c>
      <c r="J326" s="29">
        <f>IFERROR(__xludf.DUMMYFUNCTION("GOOGLETRANSLATE(I326,""zh_HANT"",""zh_HANS"")"),"跳跳猪")</f>
        <v/>
      </c>
      <c r="K326" s="29">
        <f>F326</f>
        <v/>
      </c>
    </row>
    <row r="327">
      <c r="A327" s="29">
        <f>CONCATENATE("NAME_PkMn_", UPPER(B327))</f>
        <v/>
      </c>
      <c r="B327" s="29" t="inlineStr">
        <is>
          <t>Grumpig</t>
        </is>
      </c>
      <c r="C327" s="29" t="inlineStr">
        <is>
          <t>ブーピッグ</t>
        </is>
      </c>
      <c r="D327" s="29" t="inlineStr">
        <is>
          <t>Groret</t>
        </is>
      </c>
      <c r="E327" s="29" t="inlineStr">
        <is>
          <t>Groink</t>
        </is>
      </c>
      <c r="F327" s="29">
        <f>B327</f>
        <v/>
      </c>
      <c r="G327" s="29">
        <f>B327</f>
        <v/>
      </c>
      <c r="H327" s="29" t="inlineStr">
        <is>
          <t>피그킹</t>
        </is>
      </c>
      <c r="I327" s="29" t="inlineStr">
        <is>
          <t>噗噗豬</t>
        </is>
      </c>
      <c r="J327" s="29">
        <f>IFERROR(__xludf.DUMMYFUNCTION("GOOGLETRANSLATE(I327,""zh_HANT"",""zh_HANS"")"),"噗噗猪")</f>
        <v/>
      </c>
      <c r="K327" s="29">
        <f>F327</f>
        <v/>
      </c>
    </row>
    <row r="328">
      <c r="A328" s="29">
        <f>CONCATENATE("NAME_PkMn_", UPPER(B328))</f>
        <v/>
      </c>
      <c r="B328" s="29" t="inlineStr">
        <is>
          <t>Spinda</t>
        </is>
      </c>
      <c r="C328" s="29" t="inlineStr">
        <is>
          <t>パッチール</t>
        </is>
      </c>
      <c r="D328" s="29">
        <f>B328</f>
        <v/>
      </c>
      <c r="E328" s="29" t="inlineStr">
        <is>
          <t>Pandir</t>
        </is>
      </c>
      <c r="F328" s="29">
        <f>B328</f>
        <v/>
      </c>
      <c r="G328" s="29">
        <f>B328</f>
        <v/>
      </c>
      <c r="H328" s="29" t="inlineStr">
        <is>
          <t>얼루기</t>
        </is>
      </c>
      <c r="I328" s="29" t="inlineStr">
        <is>
          <t>晃晃斑</t>
        </is>
      </c>
      <c r="J328" s="29">
        <f>I328</f>
        <v/>
      </c>
      <c r="K328" s="29">
        <f>F328</f>
        <v/>
      </c>
    </row>
    <row r="329">
      <c r="A329" s="29">
        <f>CONCATENATE("NAME_PkMn_", UPPER(B329))</f>
        <v/>
      </c>
      <c r="B329" s="29" t="inlineStr">
        <is>
          <t>Trapinch</t>
        </is>
      </c>
      <c r="C329" s="29" t="inlineStr">
        <is>
          <t>ナックラー</t>
        </is>
      </c>
      <c r="D329" s="29" t="inlineStr">
        <is>
          <t>Kraknoix</t>
        </is>
      </c>
      <c r="E329" s="29" t="inlineStr">
        <is>
          <t>Knacklion</t>
        </is>
      </c>
      <c r="F329" s="29">
        <f>B329</f>
        <v/>
      </c>
      <c r="G329" s="29">
        <f>B329</f>
        <v/>
      </c>
      <c r="H329" s="29" t="inlineStr">
        <is>
          <t>톱치</t>
        </is>
      </c>
      <c r="I329" s="29" t="inlineStr">
        <is>
          <t>大顎蟻</t>
        </is>
      </c>
      <c r="J329" s="29">
        <f>IFERROR(__xludf.DUMMYFUNCTION("GOOGLETRANSLATE(I329,""zh_HANT"",""zh_HANS"")"),"大颚蚁")</f>
        <v/>
      </c>
      <c r="K329" s="29">
        <f>F329</f>
        <v/>
      </c>
    </row>
    <row r="330">
      <c r="A330" s="29">
        <f>CONCATENATE("NAME_PkMn_", UPPER(B330))</f>
        <v/>
      </c>
      <c r="B330" s="29" t="inlineStr">
        <is>
          <t>Vibrava</t>
        </is>
      </c>
      <c r="C330" s="29" t="inlineStr">
        <is>
          <t>ビブラーバ</t>
        </is>
      </c>
      <c r="D330" s="29" t="inlineStr">
        <is>
          <t>Vibraninf</t>
        </is>
      </c>
      <c r="E330" s="29" t="inlineStr">
        <is>
          <t>Vibrara</t>
        </is>
      </c>
      <c r="F330" s="29">
        <f>B330</f>
        <v/>
      </c>
      <c r="G330" s="29">
        <f>B330</f>
        <v/>
      </c>
      <c r="H330" s="29" t="inlineStr">
        <is>
          <t>비브라바</t>
        </is>
      </c>
      <c r="I330" s="29" t="inlineStr">
        <is>
          <t>超音波幼蟲</t>
        </is>
      </c>
      <c r="J330" s="29">
        <f>IFERROR(__xludf.DUMMYFUNCTION("GOOGLETRANSLATE(I330,""zh_HANT"",""zh_HANS"")"),"超音波幼虫")</f>
        <v/>
      </c>
      <c r="K330" s="29">
        <f>F330</f>
        <v/>
      </c>
    </row>
    <row r="331">
      <c r="A331" s="29">
        <f>CONCATENATE("NAME_PkMn_", UPPER(B331))</f>
        <v/>
      </c>
      <c r="B331" s="29" t="inlineStr">
        <is>
          <t>Flygon</t>
        </is>
      </c>
      <c r="C331" s="29" t="inlineStr">
        <is>
          <t>フライゴン</t>
        </is>
      </c>
      <c r="D331" s="29" t="inlineStr">
        <is>
          <t>Libégon</t>
        </is>
      </c>
      <c r="E331" s="29" t="inlineStr">
        <is>
          <t>Libelldra</t>
        </is>
      </c>
      <c r="F331" s="29">
        <f>B331</f>
        <v/>
      </c>
      <c r="G331" s="29">
        <f>B331</f>
        <v/>
      </c>
      <c r="H331" s="29" t="inlineStr">
        <is>
          <t>플라이곤</t>
        </is>
      </c>
      <c r="I331" s="29" t="inlineStr">
        <is>
          <t>沙漠蜻蜓</t>
        </is>
      </c>
      <c r="J331" s="29">
        <f>I331</f>
        <v/>
      </c>
      <c r="K331" s="29">
        <f>F331</f>
        <v/>
      </c>
    </row>
    <row r="332">
      <c r="A332" s="29">
        <f>CONCATENATE("NAME_PkMn_", UPPER(B332))</f>
        <v/>
      </c>
      <c r="B332" s="29" t="inlineStr">
        <is>
          <t>Cacnea</t>
        </is>
      </c>
      <c r="C332" s="29" t="inlineStr">
        <is>
          <t>サボネア</t>
        </is>
      </c>
      <c r="D332" s="29" t="inlineStr">
        <is>
          <t>Cacnéa</t>
        </is>
      </c>
      <c r="E332" s="29" t="inlineStr">
        <is>
          <t>Tuska</t>
        </is>
      </c>
      <c r="F332" s="29">
        <f>B332</f>
        <v/>
      </c>
      <c r="G332" s="29">
        <f>B332</f>
        <v/>
      </c>
      <c r="H332" s="29" t="inlineStr">
        <is>
          <t>선인왕</t>
        </is>
      </c>
      <c r="I332" s="29" t="inlineStr">
        <is>
          <t>刺球仙人掌</t>
        </is>
      </c>
      <c r="J332" s="29">
        <f>I332</f>
        <v/>
      </c>
      <c r="K332" s="29">
        <f>F332</f>
        <v/>
      </c>
    </row>
    <row r="333">
      <c r="A333" s="29">
        <f>CONCATENATE("NAME_PkMn_", UPPER(B333))</f>
        <v/>
      </c>
      <c r="B333" s="29" t="inlineStr">
        <is>
          <t>Cacturne</t>
        </is>
      </c>
      <c r="C333" s="29" t="inlineStr">
        <is>
          <t>ノクタス</t>
        </is>
      </c>
      <c r="D333" s="29">
        <f>B333</f>
        <v/>
      </c>
      <c r="E333" s="29" t="inlineStr">
        <is>
          <t>Noktuska</t>
        </is>
      </c>
      <c r="F333" s="29">
        <f>B333</f>
        <v/>
      </c>
      <c r="G333" s="29">
        <f>B333</f>
        <v/>
      </c>
      <c r="H333" s="29" t="inlineStr">
        <is>
          <t>밤선인</t>
        </is>
      </c>
      <c r="I333" s="29" t="inlineStr">
        <is>
          <t>夢歌仙人掌</t>
        </is>
      </c>
      <c r="J333" s="29">
        <f>IFERROR(__xludf.DUMMYFUNCTION("GOOGLETRANSLATE(I333,""zh_HANT"",""zh_HANS"")"),"梦歌仙人掌")</f>
        <v/>
      </c>
      <c r="K333" s="29">
        <f>F333</f>
        <v/>
      </c>
    </row>
    <row r="334">
      <c r="A334" s="29">
        <f>CONCATENATE("NAME_PkMn_", UPPER(B334))</f>
        <v/>
      </c>
      <c r="B334" s="29" t="inlineStr">
        <is>
          <t>Swablu</t>
        </is>
      </c>
      <c r="C334" s="29" t="inlineStr">
        <is>
          <t>チルット</t>
        </is>
      </c>
      <c r="D334" s="29" t="inlineStr">
        <is>
          <t>Tylton</t>
        </is>
      </c>
      <c r="E334" s="29" t="inlineStr">
        <is>
          <t>Wablu</t>
        </is>
      </c>
      <c r="F334" s="29">
        <f>B334</f>
        <v/>
      </c>
      <c r="G334" s="29">
        <f>B334</f>
        <v/>
      </c>
      <c r="H334" s="29" t="inlineStr">
        <is>
          <t>파비코</t>
        </is>
      </c>
      <c r="I334" s="29" t="inlineStr">
        <is>
          <t>青綿鳥</t>
        </is>
      </c>
      <c r="J334" s="29">
        <f>IFERROR(__xludf.DUMMYFUNCTION("GOOGLETRANSLATE(I334,""zh_HANT"",""zh_HANS"")"),"青绵鸟")</f>
        <v/>
      </c>
      <c r="K334" s="29">
        <f>F334</f>
        <v/>
      </c>
    </row>
    <row r="335">
      <c r="A335" s="29">
        <f>CONCATENATE("NAME_PkMn_", UPPER(B335))</f>
        <v/>
      </c>
      <c r="B335" s="29" t="inlineStr">
        <is>
          <t>Altaria</t>
        </is>
      </c>
      <c r="C335" s="29" t="inlineStr">
        <is>
          <t>チルタリス</t>
        </is>
      </c>
      <c r="D335" s="29">
        <f>B335</f>
        <v/>
      </c>
      <c r="E335" s="29" t="inlineStr">
        <is>
          <t>Altaria</t>
        </is>
      </c>
      <c r="F335" s="29">
        <f>B335</f>
        <v/>
      </c>
      <c r="G335" s="29">
        <f>B335</f>
        <v/>
      </c>
      <c r="H335" s="29" t="inlineStr">
        <is>
          <t>파비코리</t>
        </is>
      </c>
      <c r="I335" s="29">
        <f>IFERROR(__xludf.DUMMYFUNCTION("GOOGLETRANSLATE(J335,""zh_HANS"",""zh_HANT"")"),"七夕青鳥")</f>
        <v/>
      </c>
      <c r="J335" s="29" t="inlineStr">
        <is>
          <t>七夕青鸟</t>
        </is>
      </c>
      <c r="K335" s="29">
        <f>F335</f>
        <v/>
      </c>
    </row>
    <row r="336">
      <c r="A336" s="29">
        <f>CONCATENATE("NAME_PkMn_", UPPER(B336))</f>
        <v/>
      </c>
      <c r="B336" s="29" t="inlineStr">
        <is>
          <t>Zangoose</t>
        </is>
      </c>
      <c r="C336" s="29" t="inlineStr">
        <is>
          <t>ザングース</t>
        </is>
      </c>
      <c r="D336" s="29" t="inlineStr">
        <is>
          <t>Mangriff</t>
        </is>
      </c>
      <c r="E336" s="29" t="inlineStr">
        <is>
          <t>Sengo</t>
        </is>
      </c>
      <c r="F336" s="29">
        <f>B336</f>
        <v/>
      </c>
      <c r="G336" s="29">
        <f>B336</f>
        <v/>
      </c>
      <c r="H336" s="29" t="inlineStr">
        <is>
          <t>쟝고</t>
        </is>
      </c>
      <c r="I336" s="29" t="inlineStr">
        <is>
          <t>貓鼬斬</t>
        </is>
      </c>
      <c r="J336" s="29">
        <f>IFERROR(__xludf.DUMMYFUNCTION("GOOGLETRANSLATE(I336,""zh_HANT"",""zh_HANS"")"),"猫鼬斩")</f>
        <v/>
      </c>
      <c r="K336" s="29">
        <f>F336</f>
        <v/>
      </c>
    </row>
    <row r="337">
      <c r="A337" s="29">
        <f>CONCATENATE("NAME_PkMn_", UPPER(B337))</f>
        <v/>
      </c>
      <c r="B337" s="29" t="inlineStr">
        <is>
          <t>Seviper</t>
        </is>
      </c>
      <c r="C337" s="29" t="inlineStr">
        <is>
          <t>ハブネーク</t>
        </is>
      </c>
      <c r="D337" s="29" t="inlineStr">
        <is>
          <t>Séviper</t>
        </is>
      </c>
      <c r="E337" s="29" t="inlineStr">
        <is>
          <t>Vipitis</t>
        </is>
      </c>
      <c r="F337" s="29">
        <f>B337</f>
        <v/>
      </c>
      <c r="G337" s="29">
        <f>B337</f>
        <v/>
      </c>
      <c r="H337" s="29" t="inlineStr">
        <is>
          <t>세비퍼</t>
        </is>
      </c>
      <c r="I337" s="29" t="inlineStr">
        <is>
          <t>飯匙蛇</t>
        </is>
      </c>
      <c r="J337" s="29">
        <f>I337</f>
        <v/>
      </c>
      <c r="K337" s="29">
        <f>F337</f>
        <v/>
      </c>
    </row>
    <row r="338">
      <c r="A338" s="29">
        <f>CONCATENATE("NAME_PkMn_", UPPER(B338))</f>
        <v/>
      </c>
      <c r="B338" s="29" t="inlineStr">
        <is>
          <t>Lunatone</t>
        </is>
      </c>
      <c r="C338" s="29" t="inlineStr">
        <is>
          <t>ルナトーン</t>
        </is>
      </c>
      <c r="D338" s="29" t="inlineStr">
        <is>
          <t>Séléroc</t>
        </is>
      </c>
      <c r="E338" s="29" t="inlineStr">
        <is>
          <t>Lunastein</t>
        </is>
      </c>
      <c r="F338" s="29">
        <f>B338</f>
        <v/>
      </c>
      <c r="G338" s="29">
        <f>B338</f>
        <v/>
      </c>
      <c r="H338" s="29" t="inlineStr">
        <is>
          <t>루나톤</t>
        </is>
      </c>
      <c r="I338" s="29" t="inlineStr">
        <is>
          <t>月石</t>
        </is>
      </c>
      <c r="J338" s="29">
        <f>I338</f>
        <v/>
      </c>
      <c r="K338" s="29">
        <f>F338</f>
        <v/>
      </c>
    </row>
    <row r="339">
      <c r="A339" s="29">
        <f>CONCATENATE("NAME_PkMn_", UPPER(B339))</f>
        <v/>
      </c>
      <c r="B339" s="29" t="inlineStr">
        <is>
          <t>Solrock</t>
        </is>
      </c>
      <c r="C339" s="29" t="inlineStr">
        <is>
          <t>ソルロック</t>
        </is>
      </c>
      <c r="D339" s="29" t="inlineStr">
        <is>
          <t>Solaroc</t>
        </is>
      </c>
      <c r="E339" s="29" t="inlineStr">
        <is>
          <t>Sonnfel</t>
        </is>
      </c>
      <c r="F339" s="29">
        <f>B339</f>
        <v/>
      </c>
      <c r="G339" s="29">
        <f>B339</f>
        <v/>
      </c>
      <c r="H339" s="29" t="inlineStr">
        <is>
          <t>솔록</t>
        </is>
      </c>
      <c r="I339" s="29" t="inlineStr">
        <is>
          <t>太陽岩</t>
        </is>
      </c>
      <c r="J339" s="29">
        <f>IFERROR(__xludf.DUMMYFUNCTION("GOOGLETRANSLATE(I339,""zh_HANT"",""zh_HANS"")"),"太阳岩")</f>
        <v/>
      </c>
      <c r="K339" s="29">
        <f>F339</f>
        <v/>
      </c>
    </row>
    <row r="340">
      <c r="A340" s="29">
        <f>CONCATENATE("NAME_PkMn_", UPPER(B340))</f>
        <v/>
      </c>
      <c r="B340" s="29" t="inlineStr">
        <is>
          <t>Barboach</t>
        </is>
      </c>
      <c r="C340" s="29" t="inlineStr">
        <is>
          <t>ドジョッチ</t>
        </is>
      </c>
      <c r="D340" s="29" t="inlineStr">
        <is>
          <t>Barloche</t>
        </is>
      </c>
      <c r="E340" s="29" t="inlineStr">
        <is>
          <t>Schmerbe</t>
        </is>
      </c>
      <c r="F340" s="29">
        <f>B340</f>
        <v/>
      </c>
      <c r="G340" s="29">
        <f>B340</f>
        <v/>
      </c>
      <c r="H340" s="29" t="inlineStr">
        <is>
          <t>미꾸리</t>
        </is>
      </c>
      <c r="I340" s="29" t="inlineStr">
        <is>
          <t>泥泥鰍</t>
        </is>
      </c>
      <c r="J340" s="29">
        <f>IFERROR(__xludf.DUMMYFUNCTION("GOOGLETRANSLATE(I340,""zh_HANT"",""zh_HANS"")"),"泥泥鳅")</f>
        <v/>
      </c>
      <c r="K340" s="29">
        <f>F340</f>
        <v/>
      </c>
    </row>
    <row r="341">
      <c r="A341" s="29">
        <f>CONCATENATE("NAME_PkMn_", UPPER(B341))</f>
        <v/>
      </c>
      <c r="B341" s="29" t="inlineStr">
        <is>
          <t>Whiscash</t>
        </is>
      </c>
      <c r="C341" s="29" t="inlineStr">
        <is>
          <t>ナマズン</t>
        </is>
      </c>
      <c r="D341" s="29" t="inlineStr">
        <is>
          <t>Barbicha</t>
        </is>
      </c>
      <c r="E341" s="29" t="inlineStr">
        <is>
          <t>Welsar</t>
        </is>
      </c>
      <c r="F341" s="29">
        <f>B341</f>
        <v/>
      </c>
      <c r="G341" s="29">
        <f>B341</f>
        <v/>
      </c>
      <c r="H341" s="29" t="inlineStr">
        <is>
          <t>메깅</t>
        </is>
      </c>
      <c r="I341" s="29" t="inlineStr">
        <is>
          <t>鯰魚王</t>
        </is>
      </c>
      <c r="J341" s="29">
        <f>IFERROR(__xludf.DUMMYFUNCTION("GOOGLETRANSLATE(I341,""zh_HANT"",""zh_HANS"")"),"鲶鱼王")</f>
        <v/>
      </c>
      <c r="K341" s="29">
        <f>F341</f>
        <v/>
      </c>
    </row>
    <row r="342">
      <c r="A342" s="29">
        <f>CONCATENATE("NAME_PkMn_", UPPER(B342))</f>
        <v/>
      </c>
      <c r="B342" s="29" t="inlineStr">
        <is>
          <t>Corphish</t>
        </is>
      </c>
      <c r="C342" s="29" t="inlineStr">
        <is>
          <t>ヘイガニ</t>
        </is>
      </c>
      <c r="D342" s="29" t="inlineStr">
        <is>
          <t>Écrapince</t>
        </is>
      </c>
      <c r="E342" s="29" t="inlineStr">
        <is>
          <t>Krebscorps</t>
        </is>
      </c>
      <c r="F342" s="29">
        <f>B342</f>
        <v/>
      </c>
      <c r="G342" s="29">
        <f>B342</f>
        <v/>
      </c>
      <c r="H342" s="29" t="inlineStr">
        <is>
          <t>가재군</t>
        </is>
      </c>
      <c r="I342" s="29" t="inlineStr">
        <is>
          <t>龍蝦小兵</t>
        </is>
      </c>
      <c r="J342" s="29">
        <f>IFERROR(__xludf.DUMMYFUNCTION("GOOGLETRANSLATE(I342,""zh_HANT"",""zh_HANS"")"),"龙虾小兵")</f>
        <v/>
      </c>
      <c r="K342" s="29">
        <f>F342</f>
        <v/>
      </c>
    </row>
    <row r="343">
      <c r="A343" s="29">
        <f>CONCATENATE("NAME_PkMn_", UPPER(B343))</f>
        <v/>
      </c>
      <c r="B343" s="29" t="inlineStr">
        <is>
          <t>Crawdaunt</t>
        </is>
      </c>
      <c r="C343" s="29" t="inlineStr">
        <is>
          <t>シザリガー</t>
        </is>
      </c>
      <c r="D343" s="29" t="inlineStr">
        <is>
          <t>Colhomard</t>
        </is>
      </c>
      <c r="E343" s="29" t="inlineStr">
        <is>
          <t>Krebutack</t>
        </is>
      </c>
      <c r="F343" s="29">
        <f>B343</f>
        <v/>
      </c>
      <c r="G343" s="29">
        <f>B343</f>
        <v/>
      </c>
      <c r="H343" s="29" t="inlineStr">
        <is>
          <t>가재장군</t>
        </is>
      </c>
      <c r="I343" s="29" t="inlineStr">
        <is>
          <t>鐵螯龍蝦</t>
        </is>
      </c>
      <c r="J343" s="29">
        <f>IFERROR(__xludf.DUMMYFUNCTION("GOOGLETRANSLATE(I343,""zh_HANT"",""zh_HANS"")"),"铁螯龙虾")</f>
        <v/>
      </c>
      <c r="K343" s="29">
        <f>F343</f>
        <v/>
      </c>
    </row>
    <row r="344">
      <c r="A344" s="29">
        <f>CONCATENATE("NAME_PkMn_", UPPER(B344))</f>
        <v/>
      </c>
      <c r="B344" s="29" t="inlineStr">
        <is>
          <t>Baltoy</t>
        </is>
      </c>
      <c r="C344" s="29" t="inlineStr">
        <is>
          <t>ヤジロン</t>
        </is>
      </c>
      <c r="D344" s="29" t="inlineStr">
        <is>
          <t>Balbuto</t>
        </is>
      </c>
      <c r="E344" s="29" t="inlineStr">
        <is>
          <t>Puppance</t>
        </is>
      </c>
      <c r="F344" s="29">
        <f>B344</f>
        <v/>
      </c>
      <c r="G344" s="29">
        <f>B344</f>
        <v/>
      </c>
      <c r="H344" s="29" t="inlineStr">
        <is>
          <t>오뚝군</t>
        </is>
      </c>
      <c r="I344" s="29" t="inlineStr">
        <is>
          <t>天秤偶</t>
        </is>
      </c>
      <c r="J344" s="29">
        <f>I344</f>
        <v/>
      </c>
      <c r="K344" s="29">
        <f>F344</f>
        <v/>
      </c>
    </row>
    <row r="345">
      <c r="A345" s="29">
        <f>CONCATENATE("NAME_PkMn_", UPPER(B345))</f>
        <v/>
      </c>
      <c r="B345" s="29" t="inlineStr">
        <is>
          <t>Claydol</t>
        </is>
      </c>
      <c r="C345" s="29" t="inlineStr">
        <is>
          <t>ネンドール</t>
        </is>
      </c>
      <c r="D345" s="29" t="inlineStr">
        <is>
          <t>Kaorine</t>
        </is>
      </c>
      <c r="E345" s="29" t="inlineStr">
        <is>
          <t>Lepumentas</t>
        </is>
      </c>
      <c r="F345" s="29">
        <f>B345</f>
        <v/>
      </c>
      <c r="G345" s="29">
        <f>B345</f>
        <v/>
      </c>
      <c r="H345" s="29" t="inlineStr">
        <is>
          <t>점토도리</t>
        </is>
      </c>
      <c r="I345" s="29" t="inlineStr">
        <is>
          <t>念力土偶</t>
        </is>
      </c>
      <c r="J345" s="29">
        <f>I345</f>
        <v/>
      </c>
      <c r="K345" s="29">
        <f>F345</f>
        <v/>
      </c>
    </row>
    <row r="346">
      <c r="A346" s="29">
        <f>CONCATENATE("NAME_PkMn_", UPPER(B346))</f>
        <v/>
      </c>
      <c r="B346" s="29" t="inlineStr">
        <is>
          <t>Lileep</t>
        </is>
      </c>
      <c r="C346" s="29" t="inlineStr">
        <is>
          <t>リリーヤ</t>
        </is>
      </c>
      <c r="D346" s="29" t="inlineStr">
        <is>
          <t>Lilia</t>
        </is>
      </c>
      <c r="E346" s="29" t="inlineStr">
        <is>
          <t>Liliep</t>
        </is>
      </c>
      <c r="F346" s="29">
        <f>B346</f>
        <v/>
      </c>
      <c r="G346" s="29">
        <f>B346</f>
        <v/>
      </c>
      <c r="H346" s="29" t="inlineStr">
        <is>
          <t>릴링</t>
        </is>
      </c>
      <c r="I346" s="29" t="inlineStr">
        <is>
          <t>觸手百合</t>
        </is>
      </c>
      <c r="J346" s="29">
        <f>IFERROR(__xludf.DUMMYFUNCTION("GOOGLETRANSLATE(I346,""zh_HANT"",""zh_HANS"")"),"触手百合")</f>
        <v/>
      </c>
      <c r="K346" s="29">
        <f>F346</f>
        <v/>
      </c>
    </row>
    <row r="347">
      <c r="A347" s="29">
        <f>CONCATENATE("NAME_PkMn_", UPPER(B347))</f>
        <v/>
      </c>
      <c r="B347" s="29" t="inlineStr">
        <is>
          <t>Cradily</t>
        </is>
      </c>
      <c r="C347" s="29" t="inlineStr">
        <is>
          <t>ユレイドル</t>
        </is>
      </c>
      <c r="D347" s="29" t="inlineStr">
        <is>
          <t>Vacilys</t>
        </is>
      </c>
      <c r="E347" s="29" t="inlineStr">
        <is>
          <t>Wielie</t>
        </is>
      </c>
      <c r="F347" s="29">
        <f>B347</f>
        <v/>
      </c>
      <c r="G347" s="29">
        <f>B347</f>
        <v/>
      </c>
      <c r="H347" s="29" t="inlineStr">
        <is>
          <t>릴리요</t>
        </is>
      </c>
      <c r="I347" s="29" t="inlineStr">
        <is>
          <t>搖籃百合</t>
        </is>
      </c>
      <c r="J347" s="29">
        <f>IFERROR(__xludf.DUMMYFUNCTION("GOOGLETRANSLATE(I347,""zh_HANT"",""zh_HANS"")"),"摇篮百合")</f>
        <v/>
      </c>
      <c r="K347" s="29">
        <f>F347</f>
        <v/>
      </c>
    </row>
    <row r="348">
      <c r="A348" s="29">
        <f>CONCATENATE("NAME_PkMn_", UPPER(B348))</f>
        <v/>
      </c>
      <c r="B348" s="29" t="inlineStr">
        <is>
          <t>Anorith</t>
        </is>
      </c>
      <c r="C348" s="29" t="inlineStr">
        <is>
          <t>アノプス</t>
        </is>
      </c>
      <c r="D348" s="29">
        <f>B348</f>
        <v/>
      </c>
      <c r="E348" s="29" t="inlineStr">
        <is>
          <t>Anorith</t>
        </is>
      </c>
      <c r="F348" s="29">
        <f>B348</f>
        <v/>
      </c>
      <c r="G348" s="29">
        <f>B348</f>
        <v/>
      </c>
      <c r="H348" s="29" t="inlineStr">
        <is>
          <t>아노딥스</t>
        </is>
      </c>
      <c r="I348" s="29" t="inlineStr">
        <is>
          <t>太古羽蟲</t>
        </is>
      </c>
      <c r="J348" s="29">
        <f>IFERROR(__xludf.DUMMYFUNCTION("GOOGLETRANSLATE(I348,""zh_HANT"",""zh_HANS"")"),"太古羽虫")</f>
        <v/>
      </c>
      <c r="K348" s="29">
        <f>F348</f>
        <v/>
      </c>
    </row>
    <row r="349">
      <c r="A349" s="29">
        <f>CONCATENATE("NAME_PkMn_", UPPER(B349))</f>
        <v/>
      </c>
      <c r="B349" s="29" t="inlineStr">
        <is>
          <t>Armaldo</t>
        </is>
      </c>
      <c r="C349" s="29" t="inlineStr">
        <is>
          <t>アーマルド</t>
        </is>
      </c>
      <c r="D349" s="29">
        <f>B349</f>
        <v/>
      </c>
      <c r="E349" s="29" t="inlineStr">
        <is>
          <t>Armaldo</t>
        </is>
      </c>
      <c r="F349" s="29">
        <f>B349</f>
        <v/>
      </c>
      <c r="G349" s="29">
        <f>B349</f>
        <v/>
      </c>
      <c r="H349" s="29" t="inlineStr">
        <is>
          <t>아말도</t>
        </is>
      </c>
      <c r="I349" s="29" t="inlineStr">
        <is>
          <t>太古盔甲</t>
        </is>
      </c>
      <c r="J349" s="29">
        <f>I349</f>
        <v/>
      </c>
      <c r="K349" s="29">
        <f>F349</f>
        <v/>
      </c>
    </row>
    <row r="350">
      <c r="A350" s="29">
        <f>CONCATENATE("NAME_PkMn_", UPPER(B350))</f>
        <v/>
      </c>
      <c r="B350" s="29" t="inlineStr">
        <is>
          <t>Feebas</t>
        </is>
      </c>
      <c r="C350" s="29" t="inlineStr">
        <is>
          <t>ヒンバス</t>
        </is>
      </c>
      <c r="D350" s="29" t="inlineStr">
        <is>
          <t>Barpau</t>
        </is>
      </c>
      <c r="E350" s="29" t="inlineStr">
        <is>
          <t>Barschwa</t>
        </is>
      </c>
      <c r="F350" s="29">
        <f>B350</f>
        <v/>
      </c>
      <c r="G350" s="29">
        <f>B350</f>
        <v/>
      </c>
      <c r="H350" s="29" t="inlineStr">
        <is>
          <t>빈티나</t>
        </is>
      </c>
      <c r="I350" s="29" t="inlineStr">
        <is>
          <t>醜醜魚</t>
        </is>
      </c>
      <c r="J350" s="29">
        <f>IFERROR(__xludf.DUMMYFUNCTION("GOOGLETRANSLATE(I350,""zh_HANT"",""zh_HANS"")"),"丑丑鱼")</f>
        <v/>
      </c>
      <c r="K350" s="29">
        <f>F350</f>
        <v/>
      </c>
    </row>
    <row r="351">
      <c r="A351" s="29">
        <f>CONCATENATE("NAME_PkMn_", UPPER(B351))</f>
        <v/>
      </c>
      <c r="B351" s="29" t="inlineStr">
        <is>
          <t>Milotic</t>
        </is>
      </c>
      <c r="C351" s="29" t="inlineStr">
        <is>
          <t>ミロカロス</t>
        </is>
      </c>
      <c r="D351" s="29" t="inlineStr">
        <is>
          <t>Milobellus</t>
        </is>
      </c>
      <c r="E351" s="29" t="inlineStr">
        <is>
          <t>Milotic</t>
        </is>
      </c>
      <c r="F351" s="29">
        <f>B351</f>
        <v/>
      </c>
      <c r="G351" s="29">
        <f>B351</f>
        <v/>
      </c>
      <c r="H351" s="29" t="inlineStr">
        <is>
          <t>밀로틱</t>
        </is>
      </c>
      <c r="I351" s="29" t="inlineStr">
        <is>
          <t>美納斯</t>
        </is>
      </c>
      <c r="J351" s="29">
        <f>IFERROR(__xludf.DUMMYFUNCTION("GOOGLETRANSLATE(I351,""zh_HANT"",""zh_HANS"")"),"美纳斯")</f>
        <v/>
      </c>
      <c r="K351" s="29">
        <f>F351</f>
        <v/>
      </c>
    </row>
    <row r="352">
      <c r="A352" s="29">
        <f>CONCATENATE("NAME_PkMn_", UPPER(B352))</f>
        <v/>
      </c>
      <c r="B352" s="29" t="inlineStr">
        <is>
          <t>Castform</t>
        </is>
      </c>
      <c r="C352" s="29" t="inlineStr">
        <is>
          <t>ポワルン</t>
        </is>
      </c>
      <c r="D352" s="29" t="inlineStr">
        <is>
          <t>Morphéo</t>
        </is>
      </c>
      <c r="E352" s="29" t="inlineStr">
        <is>
          <t>Formeo</t>
        </is>
      </c>
      <c r="F352" s="29">
        <f>B352</f>
        <v/>
      </c>
      <c r="G352" s="29">
        <f>B352</f>
        <v/>
      </c>
      <c r="H352" s="29" t="inlineStr">
        <is>
          <t>캐스퐁</t>
        </is>
      </c>
      <c r="I352" s="29" t="inlineStr">
        <is>
          <t>飄浮泡泡</t>
        </is>
      </c>
      <c r="J352" s="29">
        <f>IFERROR(__xludf.DUMMYFUNCTION("GOOGLETRANSLATE(I352,""zh_HANT"",""zh_HANS"")"),"飘浮泡泡")</f>
        <v/>
      </c>
      <c r="K352" s="29">
        <f>F352</f>
        <v/>
      </c>
    </row>
    <row r="353">
      <c r="A353" s="29">
        <f>CONCATENATE("NAME_PkMn_", UPPER(B353))</f>
        <v/>
      </c>
      <c r="B353" s="29" t="inlineStr">
        <is>
          <t>Kecleon</t>
        </is>
      </c>
      <c r="C353" s="29" t="inlineStr">
        <is>
          <t>カクレオン</t>
        </is>
      </c>
      <c r="D353" s="29">
        <f>B353</f>
        <v/>
      </c>
      <c r="E353" s="29" t="inlineStr">
        <is>
          <t>Kecleon</t>
        </is>
      </c>
      <c r="F353" s="29">
        <f>B353</f>
        <v/>
      </c>
      <c r="G353" s="29">
        <f>B353</f>
        <v/>
      </c>
      <c r="H353" s="29" t="inlineStr">
        <is>
          <t>켈리몬</t>
        </is>
      </c>
      <c r="I353" s="29" t="inlineStr">
        <is>
          <t>變隱龍</t>
        </is>
      </c>
      <c r="J353" s="29">
        <f>IFERROR(__xludf.DUMMYFUNCTION("GOOGLETRANSLATE(I353,""zh_HANT"",""zh_HANS"")"),"变隐龙")</f>
        <v/>
      </c>
      <c r="K353" s="29">
        <f>F353</f>
        <v/>
      </c>
    </row>
    <row r="354">
      <c r="A354" s="29">
        <f>CONCATENATE("NAME_PkMn_", UPPER(B354))</f>
        <v/>
      </c>
      <c r="B354" s="29" t="inlineStr">
        <is>
          <t>Shuppet</t>
        </is>
      </c>
      <c r="C354" s="29" t="inlineStr">
        <is>
          <t>カゲボオズ</t>
        </is>
      </c>
      <c r="D354" s="29" t="inlineStr">
        <is>
          <t>Polichombr</t>
        </is>
      </c>
      <c r="E354" s="29" t="inlineStr">
        <is>
          <t>Bannette</t>
        </is>
      </c>
      <c r="F354" s="29">
        <f>B354</f>
        <v/>
      </c>
      <c r="G354" s="29">
        <f>B354</f>
        <v/>
      </c>
      <c r="H354" s="29" t="inlineStr">
        <is>
          <t>어둠대신</t>
        </is>
      </c>
      <c r="I354" s="29" t="inlineStr">
        <is>
          <t>怨影娃娃</t>
        </is>
      </c>
      <c r="J354" s="29">
        <f>I354</f>
        <v/>
      </c>
      <c r="K354" s="29">
        <f>F354</f>
        <v/>
      </c>
    </row>
    <row r="355">
      <c r="A355" s="29">
        <f>CONCATENATE("NAME_PkMn_", UPPER(B355))</f>
        <v/>
      </c>
      <c r="B355" s="29" t="inlineStr">
        <is>
          <t>Banette</t>
        </is>
      </c>
      <c r="C355" s="29" t="inlineStr">
        <is>
          <t>ジュペッタ</t>
        </is>
      </c>
      <c r="D355" s="29" t="inlineStr">
        <is>
          <t>Branette</t>
        </is>
      </c>
      <c r="E355" s="29" t="inlineStr">
        <is>
          <t>Zwirllicht</t>
        </is>
      </c>
      <c r="F355" s="29">
        <f>B355</f>
        <v/>
      </c>
      <c r="G355" s="29">
        <f>B355</f>
        <v/>
      </c>
      <c r="H355" s="29" t="inlineStr">
        <is>
          <t>다크펫</t>
        </is>
      </c>
      <c r="I355" s="29">
        <f>IFERROR(__xludf.DUMMYFUNCTION("GOOGLETRANSLATE(J355,""zh_HANS"",""zh_HANT"")"),"詛咒娃娃")</f>
        <v/>
      </c>
      <c r="J355" s="29" t="inlineStr">
        <is>
          <t>诅咒娃娃</t>
        </is>
      </c>
      <c r="K355" s="29">
        <f>F355</f>
        <v/>
      </c>
    </row>
    <row r="356">
      <c r="A356" s="29">
        <f>CONCATENATE("NAME_PkMn_", UPPER(B356))</f>
        <v/>
      </c>
      <c r="B356" s="29" t="inlineStr">
        <is>
          <t>Duskull</t>
        </is>
      </c>
      <c r="C356" s="29" t="inlineStr">
        <is>
          <t>ヨマワル</t>
        </is>
      </c>
      <c r="D356" s="29" t="inlineStr">
        <is>
          <t>Skelénox</t>
        </is>
      </c>
      <c r="E356" s="29" t="inlineStr">
        <is>
          <t>Zwirrklop</t>
        </is>
      </c>
      <c r="F356" s="29">
        <f>B356</f>
        <v/>
      </c>
      <c r="G356" s="29">
        <f>B356</f>
        <v/>
      </c>
      <c r="H356" s="29" t="inlineStr">
        <is>
          <t>해골몽</t>
        </is>
      </c>
      <c r="I356" s="29" t="inlineStr">
        <is>
          <t>夜巡靈</t>
        </is>
      </c>
      <c r="J356" s="29">
        <f>IFERROR(__xludf.DUMMYFUNCTION("GOOGLETRANSLATE(I356,""zh_HANT"",""zh_HANS"")"),"夜巡灵")</f>
        <v/>
      </c>
      <c r="K356" s="29">
        <f>F356</f>
        <v/>
      </c>
    </row>
    <row r="357">
      <c r="A357" s="29">
        <f>CONCATENATE("NAME_PkMn_", UPPER(B357))</f>
        <v/>
      </c>
      <c r="B357" s="29" t="inlineStr">
        <is>
          <t>Dusclops</t>
        </is>
      </c>
      <c r="C357" s="29" t="inlineStr">
        <is>
          <t>サマヨール</t>
        </is>
      </c>
      <c r="D357" s="29" t="inlineStr">
        <is>
          <t>Téraclope</t>
        </is>
      </c>
      <c r="E357" s="29" t="inlineStr">
        <is>
          <t>Zwirrfinst</t>
        </is>
      </c>
      <c r="F357" s="29">
        <f>B357</f>
        <v/>
      </c>
      <c r="G357" s="29">
        <f>B357</f>
        <v/>
      </c>
      <c r="H357" s="29" t="inlineStr">
        <is>
          <t>미라몽</t>
        </is>
      </c>
      <c r="I357" s="29" t="inlineStr">
        <is>
          <t>彷徨夜靈</t>
        </is>
      </c>
      <c r="J357" s="29">
        <f>IFERROR(__xludf.DUMMYFUNCTION("GOOGLETRANSLATE(I357,""zh_HANT"",""zh_HANS"")"),"彷徨夜灵")</f>
        <v/>
      </c>
      <c r="K357" s="29">
        <f>F357</f>
        <v/>
      </c>
    </row>
    <row r="358">
      <c r="A358" s="29">
        <f>CONCATENATE("NAME_PkMn_", UPPER(B358))</f>
        <v/>
      </c>
      <c r="B358" s="29" t="inlineStr">
        <is>
          <t>Tropius</t>
        </is>
      </c>
      <c r="C358" s="29" t="inlineStr">
        <is>
          <t>トロピウス</t>
        </is>
      </c>
      <c r="D358" s="29">
        <f>B358</f>
        <v/>
      </c>
      <c r="E358" s="29" t="inlineStr">
        <is>
          <t>Tropius</t>
        </is>
      </c>
      <c r="F358" s="29">
        <f>B358</f>
        <v/>
      </c>
      <c r="G358" s="29">
        <f>B358</f>
        <v/>
      </c>
      <c r="H358" s="29" t="inlineStr">
        <is>
          <t>트로피우스</t>
        </is>
      </c>
      <c r="I358" s="29" t="inlineStr">
        <is>
          <t>熱帶龍</t>
        </is>
      </c>
      <c r="J358" s="29">
        <f>IFERROR(__xludf.DUMMYFUNCTION("GOOGLETRANSLATE(I358,""zh_HANT"",""zh_HANS"")"),"热带龙")</f>
        <v/>
      </c>
      <c r="K358" s="29">
        <f>F358</f>
        <v/>
      </c>
    </row>
    <row r="359">
      <c r="A359" s="29">
        <f>CONCATENATE("NAME_PkMn_", UPPER(B359))</f>
        <v/>
      </c>
      <c r="B359" s="29" t="inlineStr">
        <is>
          <t>Chimecho</t>
        </is>
      </c>
      <c r="C359" s="29" t="inlineStr">
        <is>
          <t>チリーン</t>
        </is>
      </c>
      <c r="D359" s="29" t="inlineStr">
        <is>
          <t>Éoko</t>
        </is>
      </c>
      <c r="E359" s="29" t="inlineStr">
        <is>
          <t>Palimpalim</t>
        </is>
      </c>
      <c r="F359" s="29">
        <f>B359</f>
        <v/>
      </c>
      <c r="G359" s="29">
        <f>B359</f>
        <v/>
      </c>
      <c r="H359" s="29" t="inlineStr">
        <is>
          <t>치렁</t>
        </is>
      </c>
      <c r="I359" s="29" t="inlineStr">
        <is>
          <t>風鈴鈴</t>
        </is>
      </c>
      <c r="J359" s="29">
        <f>IFERROR(__xludf.DUMMYFUNCTION("GOOGLETRANSLATE(I359,""zh_HANT"",""zh_HANS"")"),"风铃铃")</f>
        <v/>
      </c>
      <c r="K359" s="29">
        <f>F359</f>
        <v/>
      </c>
    </row>
    <row r="360">
      <c r="A360" s="29">
        <f>CONCATENATE("NAME_PkMn_", UPPER(B360))</f>
        <v/>
      </c>
      <c r="B360" s="29" t="inlineStr">
        <is>
          <t>Absol</t>
        </is>
      </c>
      <c r="C360" s="29" t="inlineStr">
        <is>
          <t>アブソル</t>
        </is>
      </c>
      <c r="D360" s="29">
        <f>B360</f>
        <v/>
      </c>
      <c r="E360" s="29" t="inlineStr">
        <is>
          <t>Absol</t>
        </is>
      </c>
      <c r="F360" s="29">
        <f>B360</f>
        <v/>
      </c>
      <c r="G360" s="29">
        <f>B360</f>
        <v/>
      </c>
      <c r="H360" s="29" t="inlineStr">
        <is>
          <t>앱솔</t>
        </is>
      </c>
      <c r="I360" s="29">
        <f>IFERROR(__xludf.DUMMYFUNCTION("GOOGLETRANSLATE(J360,""zh_HANS"",""zh_HANT"")"),"阿勃梭魯")</f>
        <v/>
      </c>
      <c r="J360" s="29" t="inlineStr">
        <is>
          <t>阿勃梭鲁</t>
        </is>
      </c>
      <c r="K360" s="29">
        <f>F360</f>
        <v/>
      </c>
    </row>
    <row r="361">
      <c r="A361" s="29">
        <f>CONCATENATE("NAME_PkMn_", UPPER(B361))</f>
        <v/>
      </c>
      <c r="B361" s="29" t="inlineStr">
        <is>
          <t>Wynaut</t>
        </is>
      </c>
      <c r="C361" s="29" t="inlineStr">
        <is>
          <t>ソーナノ</t>
        </is>
      </c>
      <c r="D361" s="29" t="inlineStr">
        <is>
          <t>Okéoké</t>
        </is>
      </c>
      <c r="E361" s="29" t="inlineStr">
        <is>
          <t>Isso</t>
        </is>
      </c>
      <c r="F361" s="29">
        <f>B361</f>
        <v/>
      </c>
      <c r="G361" s="29">
        <f>B361</f>
        <v/>
      </c>
      <c r="H361" s="29" t="inlineStr">
        <is>
          <t>마자</t>
        </is>
      </c>
      <c r="I361" s="29" t="inlineStr">
        <is>
          <t>小果然</t>
        </is>
      </c>
      <c r="J361" s="29">
        <f>I361</f>
        <v/>
      </c>
      <c r="K361" s="29">
        <f>F361</f>
        <v/>
      </c>
    </row>
    <row r="362">
      <c r="A362" s="29">
        <f>CONCATENATE("NAME_PkMn_", UPPER(B362))</f>
        <v/>
      </c>
      <c r="B362" s="29" t="inlineStr">
        <is>
          <t>Snorunt</t>
        </is>
      </c>
      <c r="C362" s="29" t="inlineStr">
        <is>
          <t>ユキワラシ</t>
        </is>
      </c>
      <c r="D362" s="29" t="inlineStr">
        <is>
          <t>Stalgamin</t>
        </is>
      </c>
      <c r="E362" s="29" t="inlineStr">
        <is>
          <t>Schneppke</t>
        </is>
      </c>
      <c r="F362" s="29">
        <f>B362</f>
        <v/>
      </c>
      <c r="G362" s="29">
        <f>B362</f>
        <v/>
      </c>
      <c r="H362" s="29" t="inlineStr">
        <is>
          <t>눈꼬마</t>
        </is>
      </c>
      <c r="I362" s="29" t="inlineStr">
        <is>
          <t>雪童子</t>
        </is>
      </c>
      <c r="J362" s="29">
        <f>I362</f>
        <v/>
      </c>
      <c r="K362" s="29">
        <f>F362</f>
        <v/>
      </c>
    </row>
    <row r="363">
      <c r="A363" s="29">
        <f>CONCATENATE("NAME_PkMn_", UPPER(B363))</f>
        <v/>
      </c>
      <c r="B363" s="29" t="inlineStr">
        <is>
          <t>Glalie</t>
        </is>
      </c>
      <c r="C363" s="29" t="inlineStr">
        <is>
          <t>オニゴーリ</t>
        </is>
      </c>
      <c r="D363" s="29" t="inlineStr">
        <is>
          <t>Oniglali</t>
        </is>
      </c>
      <c r="E363" s="29" t="inlineStr">
        <is>
          <t>Fimontor</t>
        </is>
      </c>
      <c r="F363" s="29">
        <f>B363</f>
        <v/>
      </c>
      <c r="G363" s="29">
        <f>B363</f>
        <v/>
      </c>
      <c r="H363" s="29" t="inlineStr">
        <is>
          <t>얼음귀신</t>
        </is>
      </c>
      <c r="I363" s="29">
        <f>IFERROR(__xludf.DUMMYFUNCTION("GOOGLETRANSLATE(J363,""zh_HANS"",""zh_HANT"")"),"冰鬼護")</f>
        <v/>
      </c>
      <c r="J363" s="29" t="inlineStr">
        <is>
          <t>冰鬼护</t>
        </is>
      </c>
      <c r="K363" s="29">
        <f>F363</f>
        <v/>
      </c>
    </row>
    <row r="364">
      <c r="A364" s="29">
        <f>CONCATENATE("NAME_PkMn_", UPPER(B364))</f>
        <v/>
      </c>
      <c r="B364" s="29" t="inlineStr">
        <is>
          <t>Spheal</t>
        </is>
      </c>
      <c r="C364" s="29" t="inlineStr">
        <is>
          <t>タマザラシ</t>
        </is>
      </c>
      <c r="D364" s="29" t="inlineStr">
        <is>
          <t>Obalie</t>
        </is>
      </c>
      <c r="E364" s="29" t="inlineStr">
        <is>
          <t>Seemops</t>
        </is>
      </c>
      <c r="F364" s="29">
        <f>B364</f>
        <v/>
      </c>
      <c r="G364" s="29">
        <f>B364</f>
        <v/>
      </c>
      <c r="H364" s="29" t="inlineStr">
        <is>
          <t>대굴레오</t>
        </is>
      </c>
      <c r="I364" s="29" t="inlineStr">
        <is>
          <t>海豹球</t>
        </is>
      </c>
      <c r="J364" s="29">
        <f>I364</f>
        <v/>
      </c>
      <c r="K364" s="29">
        <f>F364</f>
        <v/>
      </c>
    </row>
    <row r="365">
      <c r="A365" s="29">
        <f>CONCATENATE("NAME_PkMn_", UPPER(B365))</f>
        <v/>
      </c>
      <c r="B365" s="29" t="inlineStr">
        <is>
          <t>Sealeo</t>
        </is>
      </c>
      <c r="C365" s="29" t="inlineStr">
        <is>
          <t>トドグラ</t>
        </is>
      </c>
      <c r="D365" s="29" t="inlineStr">
        <is>
          <t>Phogleur</t>
        </is>
      </c>
      <c r="E365" s="29" t="inlineStr">
        <is>
          <t>Seejong</t>
        </is>
      </c>
      <c r="F365" s="29">
        <f>B365</f>
        <v/>
      </c>
      <c r="G365" s="29">
        <f>B365</f>
        <v/>
      </c>
      <c r="H365" s="29" t="inlineStr">
        <is>
          <t>씨레오</t>
        </is>
      </c>
      <c r="I365" s="29" t="inlineStr">
        <is>
          <t>海魔獅</t>
        </is>
      </c>
      <c r="J365" s="29">
        <f>IFERROR(__xludf.DUMMYFUNCTION("GOOGLETRANSLATE(I365,""zh_HANT"",""zh_HANS"")"),"海魔狮")</f>
        <v/>
      </c>
      <c r="K365" s="29">
        <f>F365</f>
        <v/>
      </c>
    </row>
    <row r="366">
      <c r="A366" s="29">
        <f>CONCATENATE("NAME_PkMn_", UPPER(B366))</f>
        <v/>
      </c>
      <c r="B366" s="29" t="inlineStr">
        <is>
          <t>Walrein</t>
        </is>
      </c>
      <c r="C366" s="29" t="inlineStr">
        <is>
          <t>トドゼルガ</t>
        </is>
      </c>
      <c r="D366" s="29" t="inlineStr">
        <is>
          <t>Kaimorse</t>
        </is>
      </c>
      <c r="E366" s="29" t="inlineStr">
        <is>
          <t>Walraisa</t>
        </is>
      </c>
      <c r="F366" s="29">
        <f>B366</f>
        <v/>
      </c>
      <c r="G366" s="29">
        <f>B366</f>
        <v/>
      </c>
      <c r="H366" s="29" t="inlineStr">
        <is>
          <t>씨카이저</t>
        </is>
      </c>
      <c r="I366" s="29" t="inlineStr">
        <is>
          <t>帝牙海獅</t>
        </is>
      </c>
      <c r="J366" s="29">
        <f>IFERROR(__xludf.DUMMYFUNCTION("GOOGLETRANSLATE(I366,""zh_HANT"",""zh_HANS"")"),"帝牙海狮")</f>
        <v/>
      </c>
      <c r="K366" s="29">
        <f>F366</f>
        <v/>
      </c>
    </row>
    <row r="367">
      <c r="A367" s="29">
        <f>CONCATENATE("NAME_PkMn_", UPPER(B367))</f>
        <v/>
      </c>
      <c r="B367" s="29" t="inlineStr">
        <is>
          <t>Clamperl</t>
        </is>
      </c>
      <c r="C367" s="29" t="inlineStr">
        <is>
          <t>パールル</t>
        </is>
      </c>
      <c r="D367" s="29" t="inlineStr">
        <is>
          <t>Coquiperl</t>
        </is>
      </c>
      <c r="E367" s="29" t="inlineStr">
        <is>
          <t>Perlu</t>
        </is>
      </c>
      <c r="F367" s="29">
        <f>B367</f>
        <v/>
      </c>
      <c r="G367" s="29">
        <f>B367</f>
        <v/>
      </c>
      <c r="H367" s="29" t="inlineStr">
        <is>
          <t>진주몽</t>
        </is>
      </c>
      <c r="I367" s="29" t="inlineStr">
        <is>
          <t>珍珠貝</t>
        </is>
      </c>
      <c r="J367" s="29">
        <f>I367</f>
        <v/>
      </c>
      <c r="K367" s="29">
        <f>F367</f>
        <v/>
      </c>
    </row>
    <row r="368">
      <c r="A368" s="29">
        <f>CONCATENATE("NAME_PkMn_", UPPER(B368))</f>
        <v/>
      </c>
      <c r="B368" s="29" t="inlineStr">
        <is>
          <t>Huntail</t>
        </is>
      </c>
      <c r="C368" s="29" t="inlineStr">
        <is>
          <t>ハンテール</t>
        </is>
      </c>
      <c r="D368" s="29" t="inlineStr">
        <is>
          <t>Serpang</t>
        </is>
      </c>
      <c r="E368" s="29" t="inlineStr">
        <is>
          <t>Aalabyss</t>
        </is>
      </c>
      <c r="F368" s="29">
        <f>B368</f>
        <v/>
      </c>
      <c r="G368" s="29">
        <f>B368</f>
        <v/>
      </c>
      <c r="H368" s="29" t="inlineStr">
        <is>
          <t>헌테일</t>
        </is>
      </c>
      <c r="I368" s="29" t="inlineStr">
        <is>
          <t>獵斑魚</t>
        </is>
      </c>
      <c r="J368" s="29">
        <f>IFERROR(__xludf.DUMMYFUNCTION("GOOGLETRANSLATE(I368,""zh_HANT"",""zh_HANS"")"),"猎斑鱼")</f>
        <v/>
      </c>
      <c r="K368" s="29">
        <f>F368</f>
        <v/>
      </c>
    </row>
    <row r="369">
      <c r="A369" s="29">
        <f>CONCATENATE("NAME_PkMn_", UPPER(B369))</f>
        <v/>
      </c>
      <c r="B369" s="29" t="inlineStr">
        <is>
          <t>Gorebyss</t>
        </is>
      </c>
      <c r="C369" s="29" t="inlineStr">
        <is>
          <t>サクラビス</t>
        </is>
      </c>
      <c r="D369" s="29" t="inlineStr">
        <is>
          <t>Rosabyss</t>
        </is>
      </c>
      <c r="E369" s="29" t="inlineStr">
        <is>
          <t>Saganbyss</t>
        </is>
      </c>
      <c r="F369" s="29">
        <f>B369</f>
        <v/>
      </c>
      <c r="G369" s="29">
        <f>B369</f>
        <v/>
      </c>
      <c r="H369" s="29" t="inlineStr">
        <is>
          <t>분홍장이</t>
        </is>
      </c>
      <c r="I369" s="29" t="inlineStr">
        <is>
          <t>櫻花魚</t>
        </is>
      </c>
      <c r="J369" s="29">
        <f>IFERROR(__xludf.DUMMYFUNCTION("GOOGLETRANSLATE(I369,""zh_HANT"",""zh_HANS"")"),"樱花鱼")</f>
        <v/>
      </c>
      <c r="K369" s="29">
        <f>F369</f>
        <v/>
      </c>
    </row>
    <row r="370">
      <c r="A370" s="29">
        <f>CONCATENATE("NAME_PkMn_", UPPER(B370))</f>
        <v/>
      </c>
      <c r="B370" s="29" t="inlineStr">
        <is>
          <t>Relicanth</t>
        </is>
      </c>
      <c r="C370" s="29" t="inlineStr">
        <is>
          <t>ジーランス</t>
        </is>
      </c>
      <c r="D370" s="29">
        <f>B370</f>
        <v/>
      </c>
      <c r="E370" s="29" t="inlineStr">
        <is>
          <t>Relicanth</t>
        </is>
      </c>
      <c r="F370" s="29">
        <f>B370</f>
        <v/>
      </c>
      <c r="G370" s="29">
        <f>B370</f>
        <v/>
      </c>
      <c r="H370" s="29" t="inlineStr">
        <is>
          <t>시라칸</t>
        </is>
      </c>
      <c r="I370" s="29" t="inlineStr">
        <is>
          <t>古空棘魚</t>
        </is>
      </c>
      <c r="J370" s="29">
        <f>IFERROR(__xludf.DUMMYFUNCTION("GOOGLETRANSLATE(I370,""zh_HANT"",""zh_HANS"")"),"古空棘鱼")</f>
        <v/>
      </c>
      <c r="K370" s="29">
        <f>F370</f>
        <v/>
      </c>
    </row>
    <row r="371">
      <c r="A371" s="29">
        <f>CONCATENATE("NAME_PkMn_", UPPER(B371))</f>
        <v/>
      </c>
      <c r="B371" s="29" t="inlineStr">
        <is>
          <t>Luvdisc</t>
        </is>
      </c>
      <c r="C371" s="29" t="inlineStr">
        <is>
          <t>ラブカス</t>
        </is>
      </c>
      <c r="D371" s="29" t="inlineStr">
        <is>
          <t>Lovdisc</t>
        </is>
      </c>
      <c r="E371" s="29" t="inlineStr">
        <is>
          <t>Liebiskuss</t>
        </is>
      </c>
      <c r="F371" s="29">
        <f>B371</f>
        <v/>
      </c>
      <c r="G371" s="29">
        <f>B371</f>
        <v/>
      </c>
      <c r="H371" s="29" t="inlineStr">
        <is>
          <t>사랑동이</t>
        </is>
      </c>
      <c r="I371" s="29" t="inlineStr">
        <is>
          <t>愛心魚</t>
        </is>
      </c>
      <c r="J371" s="29">
        <f>IFERROR(__xludf.DUMMYFUNCTION("GOOGLETRANSLATE(I371,""zh_HANT"",""zh_HANS"")"),"爱心鱼")</f>
        <v/>
      </c>
      <c r="K371" s="29">
        <f>F371</f>
        <v/>
      </c>
    </row>
    <row r="372">
      <c r="A372" s="29">
        <f>CONCATENATE("NAME_PkMn_", UPPER(B372))</f>
        <v/>
      </c>
      <c r="B372" s="29" t="inlineStr">
        <is>
          <t>Bagon</t>
        </is>
      </c>
      <c r="C372" s="29" t="inlineStr">
        <is>
          <t>タツベイ</t>
        </is>
      </c>
      <c r="D372" s="29" t="inlineStr">
        <is>
          <t>Draby</t>
        </is>
      </c>
      <c r="E372" s="29" t="inlineStr">
        <is>
          <t>Kindwurm</t>
        </is>
      </c>
      <c r="F372" s="29">
        <f>B372</f>
        <v/>
      </c>
      <c r="G372" s="29">
        <f>B372</f>
        <v/>
      </c>
      <c r="H372" s="29" t="inlineStr">
        <is>
          <t>아공이</t>
        </is>
      </c>
      <c r="I372" s="29" t="inlineStr">
        <is>
          <t>寶貝龍</t>
        </is>
      </c>
      <c r="J372" s="29">
        <f>IFERROR(__xludf.DUMMYFUNCTION("GOOGLETRANSLATE(I372,""zh_HANT"",""zh_HANS"")"),"宝贝龙")</f>
        <v/>
      </c>
      <c r="K372" s="29">
        <f>F372</f>
        <v/>
      </c>
    </row>
    <row r="373">
      <c r="A373" s="29">
        <f>CONCATENATE("NAME_PkMn_", UPPER(B373))</f>
        <v/>
      </c>
      <c r="B373" s="29" t="inlineStr">
        <is>
          <t>Shelgon</t>
        </is>
      </c>
      <c r="C373" s="29" t="inlineStr">
        <is>
          <t>コモルー</t>
        </is>
      </c>
      <c r="D373" s="29" t="inlineStr">
        <is>
          <t>Drackhaus</t>
        </is>
      </c>
      <c r="E373" s="29" t="inlineStr">
        <is>
          <t>Draschel</t>
        </is>
      </c>
      <c r="F373" s="29">
        <f>B373</f>
        <v/>
      </c>
      <c r="G373" s="29">
        <f>B373</f>
        <v/>
      </c>
      <c r="H373" s="29" t="inlineStr">
        <is>
          <t>쉘곤</t>
        </is>
      </c>
      <c r="I373" s="29" t="inlineStr">
        <is>
          <t>甲殼龍</t>
        </is>
      </c>
      <c r="J373" s="29">
        <f>IFERROR(__xludf.DUMMYFUNCTION("GOOGLETRANSLATE(I373,""zh_HANT"",""zh_HANS"")"),"甲壳龙")</f>
        <v/>
      </c>
      <c r="K373" s="29">
        <f>F373</f>
        <v/>
      </c>
    </row>
    <row r="374">
      <c r="A374" s="29">
        <f>CONCATENATE("NAME_PkMn_", UPPER(B374))</f>
        <v/>
      </c>
      <c r="B374" s="29" t="inlineStr">
        <is>
          <t>Salamence</t>
        </is>
      </c>
      <c r="C374" s="29" t="inlineStr">
        <is>
          <t>ボーマンダ</t>
        </is>
      </c>
      <c r="D374" s="29" t="inlineStr">
        <is>
          <t>Drattak</t>
        </is>
      </c>
      <c r="E374" s="29" t="inlineStr">
        <is>
          <t>Brutalanda</t>
        </is>
      </c>
      <c r="F374" s="29">
        <f>B374</f>
        <v/>
      </c>
      <c r="G374" s="29">
        <f>B374</f>
        <v/>
      </c>
      <c r="H374" s="29" t="inlineStr">
        <is>
          <t>보만다</t>
        </is>
      </c>
      <c r="I374" s="29">
        <f>IFERROR(__xludf.DUMMYFUNCTION("GOOGLETRANSLATE(J374,""zh_HANS"",""zh_HANT"")"),"暴飛龍")</f>
        <v/>
      </c>
      <c r="J374" s="29" t="inlineStr">
        <is>
          <t>暴飞龙</t>
        </is>
      </c>
      <c r="K374" s="29">
        <f>F374</f>
        <v/>
      </c>
    </row>
    <row r="375">
      <c r="A375" s="29">
        <f>CONCATENATE("NAME_PkMn_", UPPER(B375))</f>
        <v/>
      </c>
      <c r="B375" s="29" t="inlineStr">
        <is>
          <t>Beldum</t>
        </is>
      </c>
      <c r="C375" s="29" t="inlineStr">
        <is>
          <t>ダンバル</t>
        </is>
      </c>
      <c r="D375" s="29" t="inlineStr">
        <is>
          <t>Terhal</t>
        </is>
      </c>
      <c r="E375" s="29" t="inlineStr">
        <is>
          <t>Tanhel</t>
        </is>
      </c>
      <c r="F375" s="29">
        <f>B375</f>
        <v/>
      </c>
      <c r="G375" s="29">
        <f>B375</f>
        <v/>
      </c>
      <c r="H375" s="29" t="inlineStr">
        <is>
          <t>메탕</t>
        </is>
      </c>
      <c r="I375" s="29" t="inlineStr">
        <is>
          <t>鐵啞鈴</t>
        </is>
      </c>
      <c r="J375" s="29">
        <f>IFERROR(__xludf.DUMMYFUNCTION("GOOGLETRANSLATE(I375,""zh_HANT"",""zh_HANS"")"),"铁哑铃")</f>
        <v/>
      </c>
      <c r="K375" s="29">
        <f>F375</f>
        <v/>
      </c>
    </row>
    <row r="376">
      <c r="A376" s="29">
        <f>CONCATENATE("NAME_PkMn_", UPPER(B376))</f>
        <v/>
      </c>
      <c r="B376" s="29" t="inlineStr">
        <is>
          <t>Metang</t>
        </is>
      </c>
      <c r="C376" s="29" t="inlineStr">
        <is>
          <t>メタング</t>
        </is>
      </c>
      <c r="D376" s="29" t="inlineStr">
        <is>
          <t>Métang</t>
        </is>
      </c>
      <c r="E376" s="29">
        <f>B376</f>
        <v/>
      </c>
      <c r="F376" s="29">
        <f>B376</f>
        <v/>
      </c>
      <c r="G376" s="29">
        <f>B376</f>
        <v/>
      </c>
      <c r="H376" s="29" t="inlineStr">
        <is>
          <t>메탕구</t>
        </is>
      </c>
      <c r="I376" s="29" t="inlineStr">
        <is>
          <t>金屬怪</t>
        </is>
      </c>
      <c r="J376" s="29">
        <f>IFERROR(__xludf.DUMMYFUNCTION("GOOGLETRANSLATE(I376,""zh_HANT"",""zh_HANS"")"),"金属怪")</f>
        <v/>
      </c>
      <c r="K376" s="29">
        <f>F376</f>
        <v/>
      </c>
    </row>
    <row r="377">
      <c r="A377" s="29">
        <f>CONCATENATE("NAME_PkMn_", UPPER(B377))</f>
        <v/>
      </c>
      <c r="B377" s="29" t="inlineStr">
        <is>
          <t>Metagross</t>
        </is>
      </c>
      <c r="C377" s="29" t="inlineStr">
        <is>
          <t>メタグロス</t>
        </is>
      </c>
      <c r="D377" s="29" t="inlineStr">
        <is>
          <t>Métalosse</t>
        </is>
      </c>
      <c r="E377" s="29">
        <f>B377</f>
        <v/>
      </c>
      <c r="F377" s="29">
        <f>B377</f>
        <v/>
      </c>
      <c r="G377" s="29">
        <f>B377</f>
        <v/>
      </c>
      <c r="H377" s="29" t="inlineStr">
        <is>
          <t>메타그로스</t>
        </is>
      </c>
      <c r="I377" s="29">
        <f>J377</f>
        <v/>
      </c>
      <c r="J377" s="29" t="inlineStr">
        <is>
          <t>巨金怪</t>
        </is>
      </c>
      <c r="K377" s="29">
        <f>F377</f>
        <v/>
      </c>
    </row>
    <row r="378">
      <c r="A378" s="29">
        <f>CONCATENATE("NAME_PkMn_", UPPER(B378))</f>
        <v/>
      </c>
      <c r="B378" s="29" t="inlineStr">
        <is>
          <t>Regirock</t>
        </is>
      </c>
      <c r="C378" s="29" t="inlineStr">
        <is>
          <t>レジロック</t>
        </is>
      </c>
      <c r="D378" s="29">
        <f>B378</f>
        <v/>
      </c>
      <c r="E378" s="29">
        <f>B378</f>
        <v/>
      </c>
      <c r="F378" s="29">
        <f>B378</f>
        <v/>
      </c>
      <c r="G378" s="29">
        <f>B378</f>
        <v/>
      </c>
      <c r="H378" s="29" t="inlineStr">
        <is>
          <t>레지락</t>
        </is>
      </c>
      <c r="I378" s="29" t="inlineStr">
        <is>
          <t>雷吉洛克</t>
        </is>
      </c>
      <c r="J378" s="29">
        <f>I378</f>
        <v/>
      </c>
      <c r="K378" s="29">
        <f>F378</f>
        <v/>
      </c>
    </row>
    <row r="379">
      <c r="A379" s="29">
        <f>CONCATENATE("NAME_PkMn_", UPPER(B379))</f>
        <v/>
      </c>
      <c r="B379" s="29" t="inlineStr">
        <is>
          <t>Regice</t>
        </is>
      </c>
      <c r="C379" s="29" t="inlineStr">
        <is>
          <t>レジアイス</t>
        </is>
      </c>
      <c r="D379" s="29">
        <f>B379</f>
        <v/>
      </c>
      <c r="E379" s="29">
        <f>B379</f>
        <v/>
      </c>
      <c r="F379" s="29">
        <f>B379</f>
        <v/>
      </c>
      <c r="G379" s="29">
        <f>B379</f>
        <v/>
      </c>
      <c r="H379" s="29" t="inlineStr">
        <is>
          <t>레지아이스</t>
        </is>
      </c>
      <c r="I379" s="29" t="inlineStr">
        <is>
          <t>雷吉艾斯</t>
        </is>
      </c>
      <c r="J379" s="29">
        <f>I379</f>
        <v/>
      </c>
      <c r="K379" s="29">
        <f>F379</f>
        <v/>
      </c>
    </row>
    <row r="380">
      <c r="A380" s="29">
        <f>CONCATENATE("NAME_PkMn_", UPPER(B380))</f>
        <v/>
      </c>
      <c r="B380" s="29" t="inlineStr">
        <is>
          <t>Registeel</t>
        </is>
      </c>
      <c r="C380" s="29" t="inlineStr">
        <is>
          <t>レジスチル</t>
        </is>
      </c>
      <c r="D380" s="29">
        <f>B380</f>
        <v/>
      </c>
      <c r="E380" s="29">
        <f>B380</f>
        <v/>
      </c>
      <c r="F380" s="29">
        <f>B380</f>
        <v/>
      </c>
      <c r="G380" s="29">
        <f>B380</f>
        <v/>
      </c>
      <c r="H380" s="29" t="inlineStr">
        <is>
          <t>레지스틸</t>
        </is>
      </c>
      <c r="I380" s="29" t="inlineStr">
        <is>
          <t>雷吉斯奇魯</t>
        </is>
      </c>
      <c r="J380" s="29">
        <f>IFERROR(__xludf.DUMMYFUNCTION("GOOGLETRANSLATE(I380,""zh_HANT"",""zh_HANS"")"),"雷吉斯奇鲁")</f>
        <v/>
      </c>
      <c r="K380" s="29">
        <f>F380</f>
        <v/>
      </c>
    </row>
    <row r="381">
      <c r="A381" s="29">
        <f>CONCATENATE("NAME_PkMn_", UPPER(B381))</f>
        <v/>
      </c>
      <c r="B381" s="29" t="inlineStr">
        <is>
          <t>Latias</t>
        </is>
      </c>
      <c r="C381" s="29" t="inlineStr">
        <is>
          <t>ラティアス</t>
        </is>
      </c>
      <c r="D381" s="29">
        <f>B381</f>
        <v/>
      </c>
      <c r="E381" s="29">
        <f>B381</f>
        <v/>
      </c>
      <c r="F381" s="29">
        <f>B381</f>
        <v/>
      </c>
      <c r="G381" s="29">
        <f>B381</f>
        <v/>
      </c>
      <c r="H381" s="29" t="inlineStr">
        <is>
          <t>라티아스</t>
        </is>
      </c>
      <c r="I381" s="29">
        <f>IFERROR(__xludf.DUMMYFUNCTION("GOOGLETRANSLATE(J381,""zh_HANS"",""zh_HANT"")"),"拉帝亞斯")</f>
        <v/>
      </c>
      <c r="J381" s="29" t="inlineStr">
        <is>
          <t>拉帝亚斯</t>
        </is>
      </c>
      <c r="K381" s="29">
        <f>F381</f>
        <v/>
      </c>
    </row>
    <row r="382">
      <c r="A382" s="29">
        <f>CONCATENATE("NAME_PkMn_", UPPER(B382))</f>
        <v/>
      </c>
      <c r="B382" s="29" t="inlineStr">
        <is>
          <t>Latios</t>
        </is>
      </c>
      <c r="C382" s="29" t="inlineStr">
        <is>
          <t>ラティオス</t>
        </is>
      </c>
      <c r="D382" s="29">
        <f>B382</f>
        <v/>
      </c>
      <c r="E382" s="29">
        <f>B382</f>
        <v/>
      </c>
      <c r="F382" s="29">
        <f>B382</f>
        <v/>
      </c>
      <c r="G382" s="29">
        <f>B382</f>
        <v/>
      </c>
      <c r="H382" s="29" t="inlineStr">
        <is>
          <t>라티오스</t>
        </is>
      </c>
      <c r="I382" s="29">
        <f>IFERROR(__xludf.DUMMYFUNCTION("GOOGLETRANSLATE(J382,""zh_HANS"",""zh_HANT"")"),"拉帝歐斯")</f>
        <v/>
      </c>
      <c r="J382" s="29" t="inlineStr">
        <is>
          <t>拉帝欧斯</t>
        </is>
      </c>
      <c r="K382" s="29">
        <f>F382</f>
        <v/>
      </c>
    </row>
    <row r="383">
      <c r="A383" s="29">
        <f>CONCATENATE("NAME_PkMn_", UPPER(B383))</f>
        <v/>
      </c>
      <c r="B383" s="29" t="inlineStr">
        <is>
          <t>Kyogre</t>
        </is>
      </c>
      <c r="C383" s="29" t="inlineStr">
        <is>
          <t>カイオーガ</t>
        </is>
      </c>
      <c r="D383" s="29">
        <f>B383</f>
        <v/>
      </c>
      <c r="E383" s="29">
        <f>B383</f>
        <v/>
      </c>
      <c r="F383" s="29">
        <f>B383</f>
        <v/>
      </c>
      <c r="G383" s="29">
        <f>B383</f>
        <v/>
      </c>
      <c r="H383" s="29" t="inlineStr">
        <is>
          <t>가이오가</t>
        </is>
      </c>
      <c r="I383" s="29" t="inlineStr">
        <is>
          <t>蓋歐卡</t>
        </is>
      </c>
      <c r="J383" s="29">
        <f>IFERROR(__xludf.DUMMYFUNCTION("GOOGLETRANSLATE(I383,""zh_HANT"",""zh_HANS"")"),"盖欧卡")</f>
        <v/>
      </c>
      <c r="K383" s="29">
        <f>F383</f>
        <v/>
      </c>
    </row>
    <row r="384">
      <c r="A384" s="29">
        <f>CONCATENATE("NAME_PkMn_", UPPER(B384))</f>
        <v/>
      </c>
      <c r="B384" s="29" t="inlineStr">
        <is>
          <t>Groudon</t>
        </is>
      </c>
      <c r="C384" s="29" t="inlineStr">
        <is>
          <t>グラードン</t>
        </is>
      </c>
      <c r="D384" s="29">
        <f>B384</f>
        <v/>
      </c>
      <c r="E384" s="29">
        <f>B384</f>
        <v/>
      </c>
      <c r="F384" s="29">
        <f>B384</f>
        <v/>
      </c>
      <c r="G384" s="29">
        <f>B384</f>
        <v/>
      </c>
      <c r="H384" s="29" t="inlineStr">
        <is>
          <t>그란돈</t>
        </is>
      </c>
      <c r="I384" s="29" t="inlineStr">
        <is>
          <t>固拉多</t>
        </is>
      </c>
      <c r="J384" s="29">
        <f>I384</f>
        <v/>
      </c>
      <c r="K384" s="29">
        <f>F384</f>
        <v/>
      </c>
    </row>
    <row r="385">
      <c r="A385" s="29">
        <f>CONCATENATE("NAME_PkMn_", UPPER(B385))</f>
        <v/>
      </c>
      <c r="B385" s="29" t="inlineStr">
        <is>
          <t>Rayquaza</t>
        </is>
      </c>
      <c r="C385" s="29" t="inlineStr">
        <is>
          <t>レックウザ</t>
        </is>
      </c>
      <c r="D385" s="29">
        <f>B385</f>
        <v/>
      </c>
      <c r="E385" s="29">
        <f>B385</f>
        <v/>
      </c>
      <c r="F385" s="29">
        <f>B385</f>
        <v/>
      </c>
      <c r="G385" s="29">
        <f>B385</f>
        <v/>
      </c>
      <c r="H385" s="29" t="inlineStr">
        <is>
          <t>레쿠쟈</t>
        </is>
      </c>
      <c r="I385" s="29" t="inlineStr">
        <is>
          <t>烈空坐</t>
        </is>
      </c>
      <c r="J385" s="29">
        <f>I385</f>
        <v/>
      </c>
      <c r="K385" s="29">
        <f>F385</f>
        <v/>
      </c>
    </row>
    <row r="386">
      <c r="A386" s="29">
        <f>CONCATENATE("NAME_PkMn_", UPPER(B386))</f>
        <v/>
      </c>
      <c r="B386" s="29" t="inlineStr">
        <is>
          <t>Jirachi</t>
        </is>
      </c>
      <c r="C386" s="29" t="inlineStr">
        <is>
          <t>ジラーチ</t>
        </is>
      </c>
      <c r="D386" s="29">
        <f>B386</f>
        <v/>
      </c>
      <c r="E386" s="29">
        <f>B386</f>
        <v/>
      </c>
      <c r="F386" s="29">
        <f>B386</f>
        <v/>
      </c>
      <c r="G386" s="29">
        <f>B386</f>
        <v/>
      </c>
      <c r="H386" s="29" t="inlineStr">
        <is>
          <t>지라치</t>
        </is>
      </c>
      <c r="I386" s="29" t="inlineStr">
        <is>
          <t>基拉祈</t>
        </is>
      </c>
      <c r="J386" s="29">
        <f>I386</f>
        <v/>
      </c>
      <c r="K386" s="29">
        <f>F386</f>
        <v/>
      </c>
    </row>
    <row r="387">
      <c r="A387" s="29">
        <f>CONCATENATE("NAME_PkMn_", UPPER(B387))</f>
        <v/>
      </c>
      <c r="B387" s="29" t="inlineStr">
        <is>
          <t>Deoxys</t>
        </is>
      </c>
      <c r="C387" s="29" t="inlineStr">
        <is>
          <t>ヂオキシス</t>
        </is>
      </c>
      <c r="D387" s="29">
        <f>B387</f>
        <v/>
      </c>
      <c r="E387" s="29">
        <f>B387</f>
        <v/>
      </c>
      <c r="F387" s="29">
        <f>B387</f>
        <v/>
      </c>
      <c r="G387" s="29">
        <f>B387</f>
        <v/>
      </c>
      <c r="H387" s="29" t="inlineStr">
        <is>
          <t>테오키스</t>
        </is>
      </c>
      <c r="I387" s="29" t="inlineStr">
        <is>
          <t>代歐奇希斯</t>
        </is>
      </c>
      <c r="J387" s="29">
        <f>IFERROR(__xludf.DUMMYFUNCTION("GOOGLETRANSLATE(I387,""zh_HANT"",""zh_HANS"")"),"代欧奇希斯")</f>
        <v/>
      </c>
      <c r="K387" s="29">
        <f>F387</f>
        <v/>
      </c>
    </row>
    <row r="388">
      <c r="A388" s="29">
        <f>CONCATENATE("NAME_PkMn_", UPPER(B388))</f>
        <v/>
      </c>
      <c r="B388" s="29" t="inlineStr">
        <is>
          <t>Turtwig</t>
        </is>
      </c>
      <c r="C388" s="29" t="inlineStr">
        <is>
          <t>ナエトル</t>
        </is>
      </c>
      <c r="D388" s="29" t="inlineStr">
        <is>
          <t>Tortipouss</t>
        </is>
      </c>
      <c r="E388" s="29" t="inlineStr">
        <is>
          <t>Chelast</t>
        </is>
      </c>
      <c r="F388" s="29">
        <f>B388</f>
        <v/>
      </c>
      <c r="G388" s="29">
        <f>B388</f>
        <v/>
      </c>
      <c r="H388" s="29" t="inlineStr">
        <is>
          <t>모부기</t>
        </is>
      </c>
      <c r="I388" s="29" t="inlineStr">
        <is>
          <t>草苗龜</t>
        </is>
      </c>
      <c r="J388" s="29">
        <f>IFERROR(__xludf.DUMMYFUNCTION("GOOGLETRANSLATE(I388,""zh_HANT"",""zh_HANS"")"),"草苗龟")</f>
        <v/>
      </c>
      <c r="K388" s="29">
        <f>F388</f>
        <v/>
      </c>
    </row>
    <row r="389">
      <c r="A389" s="29">
        <f>CONCATENATE("NAME_PkMn_", UPPER(B389))</f>
        <v/>
      </c>
      <c r="B389" s="29" t="inlineStr">
        <is>
          <t>Grotle</t>
        </is>
      </c>
      <c r="C389" s="29" t="inlineStr">
        <is>
          <t>ハヤシガメ</t>
        </is>
      </c>
      <c r="D389" s="29" t="inlineStr">
        <is>
          <t>Boskara</t>
        </is>
      </c>
      <c r="E389" s="29" t="inlineStr">
        <is>
          <t>Chelcarain</t>
        </is>
      </c>
      <c r="F389" s="29">
        <f>B389</f>
        <v/>
      </c>
      <c r="G389" s="29">
        <f>B389</f>
        <v/>
      </c>
      <c r="H389" s="29" t="inlineStr">
        <is>
          <t>수풀부기</t>
        </is>
      </c>
      <c r="I389" s="29" t="inlineStr">
        <is>
          <t>樹林龜</t>
        </is>
      </c>
      <c r="J389" s="29">
        <f>IFERROR(__xludf.DUMMYFUNCTION("GOOGLETRANSLATE(I389,""zh_HANT"",""zh_HANS"")"),"树林龟")</f>
        <v/>
      </c>
      <c r="K389" s="29">
        <f>F389</f>
        <v/>
      </c>
    </row>
    <row r="390">
      <c r="A390" s="29">
        <f>CONCATENATE("NAME_PkMn_", UPPER(B390))</f>
        <v/>
      </c>
      <c r="B390" s="29" t="inlineStr">
        <is>
          <t>Torterra</t>
        </is>
      </c>
      <c r="C390" s="29" t="inlineStr">
        <is>
          <t>ドダイトス</t>
        </is>
      </c>
      <c r="D390" s="29">
        <f>B390</f>
        <v/>
      </c>
      <c r="E390" s="29" t="inlineStr">
        <is>
          <t>Chelterrar</t>
        </is>
      </c>
      <c r="F390" s="29">
        <f>B390</f>
        <v/>
      </c>
      <c r="G390" s="29">
        <f>B390</f>
        <v/>
      </c>
      <c r="H390" s="29" t="inlineStr">
        <is>
          <t>토대부기</t>
        </is>
      </c>
      <c r="I390" s="29" t="inlineStr">
        <is>
          <t>土台龜</t>
        </is>
      </c>
      <c r="J390" s="29">
        <f>IFERROR(__xludf.DUMMYFUNCTION("GOOGLETRANSLATE(I390,""zh_HANT"",""zh_HANS"")"),"土台龟")</f>
        <v/>
      </c>
      <c r="K390" s="29">
        <f>F390</f>
        <v/>
      </c>
    </row>
    <row r="391">
      <c r="A391" s="29">
        <f>CONCATENATE("NAME_PkMn_", UPPER(B391))</f>
        <v/>
      </c>
      <c r="B391" s="29" t="inlineStr">
        <is>
          <t>Chimchar</t>
        </is>
      </c>
      <c r="C391" s="29" t="inlineStr">
        <is>
          <t>ヒコザル</t>
        </is>
      </c>
      <c r="D391" s="29" t="inlineStr">
        <is>
          <t>Ouisticram</t>
        </is>
      </c>
      <c r="E391" s="29" t="inlineStr">
        <is>
          <t>Panflam</t>
        </is>
      </c>
      <c r="F391" s="29">
        <f>B391</f>
        <v/>
      </c>
      <c r="G391" s="29">
        <f>B391</f>
        <v/>
      </c>
      <c r="H391" s="29" t="inlineStr">
        <is>
          <t>불꽃숭이</t>
        </is>
      </c>
      <c r="I391" s="29" t="inlineStr">
        <is>
          <t>小火焰猴</t>
        </is>
      </c>
      <c r="J391" s="29">
        <f>I391</f>
        <v/>
      </c>
      <c r="K391" s="29">
        <f>F391</f>
        <v/>
      </c>
    </row>
    <row r="392">
      <c r="A392" s="29">
        <f>CONCATENATE("NAME_PkMn_", UPPER(B392))</f>
        <v/>
      </c>
      <c r="B392" s="29" t="inlineStr">
        <is>
          <t>Monferno</t>
        </is>
      </c>
      <c r="C392" s="29" t="inlineStr">
        <is>
          <t>モウカザル</t>
        </is>
      </c>
      <c r="D392" s="29" t="inlineStr">
        <is>
          <t>Chimpenfeu</t>
        </is>
      </c>
      <c r="E392" s="29" t="inlineStr">
        <is>
          <t>Panpyro</t>
        </is>
      </c>
      <c r="F392" s="29">
        <f>B392</f>
        <v/>
      </c>
      <c r="G392" s="29">
        <f>B392</f>
        <v/>
      </c>
      <c r="H392" s="29" t="inlineStr">
        <is>
          <t>파이숭이</t>
        </is>
      </c>
      <c r="I392" s="29" t="inlineStr">
        <is>
          <t>猛火猴</t>
        </is>
      </c>
      <c r="J392" s="29">
        <f>I392</f>
        <v/>
      </c>
      <c r="K392" s="29">
        <f>F392</f>
        <v/>
      </c>
    </row>
    <row r="393">
      <c r="A393" s="29">
        <f>CONCATENATE("NAME_PkMn_", UPPER(B393))</f>
        <v/>
      </c>
      <c r="B393" s="29" t="inlineStr">
        <is>
          <t>Infernape</t>
        </is>
      </c>
      <c r="C393" s="29" t="inlineStr">
        <is>
          <t>ゴウカザル</t>
        </is>
      </c>
      <c r="D393" s="29" t="inlineStr">
        <is>
          <t>Simiabraz</t>
        </is>
      </c>
      <c r="E393" s="29" t="inlineStr">
        <is>
          <t>Panferno</t>
        </is>
      </c>
      <c r="F393" s="29">
        <f>B393</f>
        <v/>
      </c>
      <c r="G393" s="29">
        <f>B393</f>
        <v/>
      </c>
      <c r="H393" s="29" t="inlineStr">
        <is>
          <t>초염몽</t>
        </is>
      </c>
      <c r="I393" s="29" t="inlineStr">
        <is>
          <t>烈焰猴</t>
        </is>
      </c>
      <c r="J393" s="29">
        <f>I393</f>
        <v/>
      </c>
      <c r="K393" s="29">
        <f>F393</f>
        <v/>
      </c>
    </row>
    <row r="394">
      <c r="A394" s="29">
        <f>CONCATENATE("NAME_PkMn_", UPPER(B394))</f>
        <v/>
      </c>
      <c r="B394" s="29" t="inlineStr">
        <is>
          <t>Piplup</t>
        </is>
      </c>
      <c r="C394" s="29" t="inlineStr">
        <is>
          <t>ポッチャマ</t>
        </is>
      </c>
      <c r="D394" s="29" t="inlineStr">
        <is>
          <t>Tiplouf</t>
        </is>
      </c>
      <c r="E394" s="29" t="inlineStr">
        <is>
          <t>Plinfa</t>
        </is>
      </c>
      <c r="F394" s="29">
        <f>B394</f>
        <v/>
      </c>
      <c r="G394" s="29">
        <f>B394</f>
        <v/>
      </c>
      <c r="H394" s="29" t="inlineStr">
        <is>
          <t>팽도리</t>
        </is>
      </c>
      <c r="I394" s="29" t="inlineStr">
        <is>
          <t>波加曼</t>
        </is>
      </c>
      <c r="J394" s="29">
        <f>I394</f>
        <v/>
      </c>
      <c r="K394" s="29">
        <f>F394</f>
        <v/>
      </c>
    </row>
    <row r="395">
      <c r="A395" s="29">
        <f>CONCATENATE("NAME_PkMn_", UPPER(B395))</f>
        <v/>
      </c>
      <c r="B395" s="29" t="inlineStr">
        <is>
          <t>Prinplup</t>
        </is>
      </c>
      <c r="C395" s="29" t="inlineStr">
        <is>
          <t>ポッタイシ</t>
        </is>
      </c>
      <c r="D395" s="29" t="inlineStr">
        <is>
          <t>Prinplouf</t>
        </is>
      </c>
      <c r="E395" s="29" t="inlineStr">
        <is>
          <t>Pliprin</t>
        </is>
      </c>
      <c r="F395" s="29">
        <f>B395</f>
        <v/>
      </c>
      <c r="G395" s="29">
        <f>B395</f>
        <v/>
      </c>
      <c r="H395" s="29" t="inlineStr">
        <is>
          <t>팽태자</t>
        </is>
      </c>
      <c r="I395" s="29" t="inlineStr">
        <is>
          <t>波皇子</t>
        </is>
      </c>
      <c r="J395" s="29">
        <f>I395</f>
        <v/>
      </c>
      <c r="K395" s="29">
        <f>F395</f>
        <v/>
      </c>
    </row>
    <row r="396">
      <c r="A396" s="29">
        <f>CONCATENATE("NAME_PkMn_", UPPER(B396))</f>
        <v/>
      </c>
      <c r="B396" s="29" t="inlineStr">
        <is>
          <t>Empoleon</t>
        </is>
      </c>
      <c r="C396" s="29" t="inlineStr">
        <is>
          <t>エンペルト</t>
        </is>
      </c>
      <c r="D396" s="29" t="inlineStr">
        <is>
          <t>Pingoléon</t>
        </is>
      </c>
      <c r="E396" s="29" t="inlineStr">
        <is>
          <t>Impoleon</t>
        </is>
      </c>
      <c r="F396" s="29">
        <f>B396</f>
        <v/>
      </c>
      <c r="G396" s="29">
        <f>B396</f>
        <v/>
      </c>
      <c r="H396" s="29" t="inlineStr">
        <is>
          <t>엠페르트</t>
        </is>
      </c>
      <c r="I396" s="29" t="inlineStr">
        <is>
          <t>帝王拿波</t>
        </is>
      </c>
      <c r="J396" s="29">
        <f>I396</f>
        <v/>
      </c>
      <c r="K396" s="29">
        <f>F396</f>
        <v/>
      </c>
    </row>
    <row r="397">
      <c r="A397" s="29">
        <f>CONCATENATE("NAME_PkMn_", UPPER(B397))</f>
        <v/>
      </c>
      <c r="B397" s="29" t="inlineStr">
        <is>
          <t>Starly</t>
        </is>
      </c>
      <c r="C397" s="29" t="inlineStr">
        <is>
          <t>ムックル</t>
        </is>
      </c>
      <c r="D397" s="29" t="inlineStr">
        <is>
          <t>Étourmi</t>
        </is>
      </c>
      <c r="E397" s="29" t="inlineStr">
        <is>
          <t>Staralili</t>
        </is>
      </c>
      <c r="F397" s="29">
        <f>B397</f>
        <v/>
      </c>
      <c r="G397" s="29">
        <f>B397</f>
        <v/>
      </c>
      <c r="H397" s="29" t="inlineStr">
        <is>
          <t>찌르꼬</t>
        </is>
      </c>
      <c r="I397" s="29" t="inlineStr">
        <is>
          <t>姆克兒</t>
        </is>
      </c>
      <c r="J397" s="29">
        <f>IFERROR(__xludf.DUMMYFUNCTION("GOOGLETRANSLATE(I397,""zh_HANT"",""zh_HANS"")"),"姆克儿")</f>
        <v/>
      </c>
      <c r="K397" s="29">
        <f>F397</f>
        <v/>
      </c>
    </row>
    <row r="398">
      <c r="A398" s="29">
        <f>CONCATENATE("NAME_PkMn_", UPPER(B398))</f>
        <v/>
      </c>
      <c r="B398" s="29" t="inlineStr">
        <is>
          <t>Staravia</t>
        </is>
      </c>
      <c r="C398" s="29" t="inlineStr">
        <is>
          <t>ムクバード</t>
        </is>
      </c>
      <c r="D398" s="29" t="inlineStr">
        <is>
          <t>Étourvol</t>
        </is>
      </c>
      <c r="E398" s="29">
        <f>B398</f>
        <v/>
      </c>
      <c r="F398" s="29">
        <f>B398</f>
        <v/>
      </c>
      <c r="G398" s="29">
        <f>B398</f>
        <v/>
      </c>
      <c r="H398" s="29" t="inlineStr">
        <is>
          <t>찌르버드</t>
        </is>
      </c>
      <c r="I398" s="29" t="inlineStr">
        <is>
          <t>姆克鳥</t>
        </is>
      </c>
      <c r="J398" s="29">
        <f>IFERROR(__xludf.DUMMYFUNCTION("GOOGLETRANSLATE(I398,""zh_HANT"",""zh_HANS"")"),"姆克鸟")</f>
        <v/>
      </c>
      <c r="K398" s="29">
        <f>F398</f>
        <v/>
      </c>
    </row>
    <row r="399">
      <c r="A399" s="29">
        <f>CONCATENATE("NAME_PkMn_", UPPER(B399))</f>
        <v/>
      </c>
      <c r="B399" s="29" t="inlineStr">
        <is>
          <t>Staraptor</t>
        </is>
      </c>
      <c r="C399" s="29" t="inlineStr">
        <is>
          <t>ムクホーク</t>
        </is>
      </c>
      <c r="D399" s="29" t="inlineStr">
        <is>
          <t>Étouraptor</t>
        </is>
      </c>
      <c r="E399" s="29">
        <f>B399</f>
        <v/>
      </c>
      <c r="F399" s="29">
        <f>B399</f>
        <v/>
      </c>
      <c r="G399" s="29">
        <f>B399</f>
        <v/>
      </c>
      <c r="H399" s="29" t="inlineStr">
        <is>
          <t>찌르호크</t>
        </is>
      </c>
      <c r="I399" s="29" t="inlineStr">
        <is>
          <t>姆克鷹</t>
        </is>
      </c>
      <c r="J399" s="29">
        <f>IFERROR(__xludf.DUMMYFUNCTION("GOOGLETRANSLATE(I399,""zh_HANT"",""zh_HANS"")"),"姆克鹰")</f>
        <v/>
      </c>
      <c r="K399" s="29">
        <f>F399</f>
        <v/>
      </c>
    </row>
    <row r="400">
      <c r="A400" s="29">
        <f>CONCATENATE("NAME_PkMn_", UPPER(B400))</f>
        <v/>
      </c>
      <c r="B400" s="29" t="inlineStr">
        <is>
          <t>Bidoof</t>
        </is>
      </c>
      <c r="C400" s="29" t="inlineStr">
        <is>
          <t>ビッパ</t>
        </is>
      </c>
      <c r="D400" s="29" t="inlineStr">
        <is>
          <t>Keunotor</t>
        </is>
      </c>
      <c r="E400" s="29" t="inlineStr">
        <is>
          <t>Bidiza</t>
        </is>
      </c>
      <c r="F400" s="29">
        <f>B400</f>
        <v/>
      </c>
      <c r="G400" s="29">
        <f>B400</f>
        <v/>
      </c>
      <c r="H400" s="29" t="inlineStr">
        <is>
          <t>비버니</t>
        </is>
      </c>
      <c r="I400" s="29" t="inlineStr">
        <is>
          <t>大牙狸</t>
        </is>
      </c>
      <c r="J400" s="29">
        <f>I400</f>
        <v/>
      </c>
      <c r="K400" s="29">
        <f>F400</f>
        <v/>
      </c>
    </row>
    <row r="401">
      <c r="A401" s="29">
        <f>CONCATENATE("NAME_PkMn_", UPPER(B401))</f>
        <v/>
      </c>
      <c r="B401" s="29" t="inlineStr">
        <is>
          <t>Bibarel</t>
        </is>
      </c>
      <c r="C401" s="29" t="inlineStr">
        <is>
          <t>ビーダル</t>
        </is>
      </c>
      <c r="D401" s="29" t="inlineStr">
        <is>
          <t>Castorno</t>
        </is>
      </c>
      <c r="E401" s="29" t="inlineStr">
        <is>
          <t>Bidifas</t>
        </is>
      </c>
      <c r="F401" s="29">
        <f>B401</f>
        <v/>
      </c>
      <c r="G401" s="29">
        <f>B401</f>
        <v/>
      </c>
      <c r="H401" s="29" t="inlineStr">
        <is>
          <t>비버통</t>
        </is>
      </c>
      <c r="I401" s="29" t="inlineStr">
        <is>
          <t>大尾狸</t>
        </is>
      </c>
      <c r="J401" s="29">
        <f>I401</f>
        <v/>
      </c>
      <c r="K401" s="29">
        <f>F401</f>
        <v/>
      </c>
    </row>
    <row r="402">
      <c r="A402" s="29">
        <f>CONCATENATE("NAME_PkMn_", UPPER(B402))</f>
        <v/>
      </c>
      <c r="B402" s="29" t="inlineStr">
        <is>
          <t>Kricketot</t>
        </is>
      </c>
      <c r="C402" s="29" t="inlineStr">
        <is>
          <t>コロボーシ</t>
        </is>
      </c>
      <c r="D402" s="29" t="inlineStr">
        <is>
          <t>Crikzik</t>
        </is>
      </c>
      <c r="E402" s="29" t="inlineStr">
        <is>
          <t>Zirpurze</t>
        </is>
      </c>
      <c r="F402" s="29">
        <f>B402</f>
        <v/>
      </c>
      <c r="G402" s="29">
        <f>B402</f>
        <v/>
      </c>
      <c r="H402" s="29" t="inlineStr">
        <is>
          <t>귀뚤뚜기</t>
        </is>
      </c>
      <c r="I402" s="29" t="inlineStr">
        <is>
          <t>圓法師</t>
        </is>
      </c>
      <c r="J402" s="29">
        <f>IFERROR(__xludf.DUMMYFUNCTION("GOOGLETRANSLATE(I402,""zh_HANT"",""zh_HANS"")"),"圆法师")</f>
        <v/>
      </c>
      <c r="K402" s="29">
        <f>F402</f>
        <v/>
      </c>
    </row>
    <row r="403">
      <c r="A403" s="29">
        <f>CONCATENATE("NAME_PkMn_", UPPER(B403))</f>
        <v/>
      </c>
      <c r="B403" s="29" t="inlineStr">
        <is>
          <t>Kricketune</t>
        </is>
      </c>
      <c r="C403" s="29" t="inlineStr">
        <is>
          <t>コロトック</t>
        </is>
      </c>
      <c r="D403" s="29" t="inlineStr">
        <is>
          <t>Mélokrik</t>
        </is>
      </c>
      <c r="E403" s="29" t="inlineStr">
        <is>
          <t>Zirpeise</t>
        </is>
      </c>
      <c r="F403" s="29">
        <f>B403</f>
        <v/>
      </c>
      <c r="G403" s="29">
        <f>B403</f>
        <v/>
      </c>
      <c r="H403" s="29" t="inlineStr">
        <is>
          <t>귀뚤톡크</t>
        </is>
      </c>
      <c r="I403" s="29" t="inlineStr">
        <is>
          <t>音箱蟀</t>
        </is>
      </c>
      <c r="J403" s="29">
        <f>I403</f>
        <v/>
      </c>
      <c r="K403" s="29">
        <f>F403</f>
        <v/>
      </c>
    </row>
    <row r="404">
      <c r="A404" s="29">
        <f>CONCATENATE("NAME_PkMn_", UPPER(B404))</f>
        <v/>
      </c>
      <c r="B404" s="29" t="inlineStr">
        <is>
          <t>Shinx</t>
        </is>
      </c>
      <c r="C404" s="29" t="inlineStr">
        <is>
          <t>コリンク</t>
        </is>
      </c>
      <c r="D404" s="29" t="inlineStr">
        <is>
          <t>Lixy</t>
        </is>
      </c>
      <c r="E404" s="29" t="inlineStr">
        <is>
          <t>Sheinux</t>
        </is>
      </c>
      <c r="F404" s="29">
        <f>B404</f>
        <v/>
      </c>
      <c r="G404" s="29">
        <f>B404</f>
        <v/>
      </c>
      <c r="H404" s="29" t="inlineStr">
        <is>
          <t>꼬링크</t>
        </is>
      </c>
      <c r="I404" s="29" t="inlineStr">
        <is>
          <t>小貓怪</t>
        </is>
      </c>
      <c r="J404" s="29">
        <f>IFERROR(__xludf.DUMMYFUNCTION("GOOGLETRANSLATE(I404,""zh_HANT"",""zh_HANS"")"),"小猫怪")</f>
        <v/>
      </c>
      <c r="K404" s="29">
        <f>F404</f>
        <v/>
      </c>
    </row>
    <row r="405">
      <c r="A405" s="29">
        <f>CONCATENATE("NAME_PkMn_", UPPER(B405))</f>
        <v/>
      </c>
      <c r="B405" s="29" t="inlineStr">
        <is>
          <t>Luxio</t>
        </is>
      </c>
      <c r="C405" s="29" t="inlineStr">
        <is>
          <t>ルクシオ</t>
        </is>
      </c>
      <c r="D405" s="29">
        <f>B405</f>
        <v/>
      </c>
      <c r="E405" s="29">
        <f>B405</f>
        <v/>
      </c>
      <c r="F405" s="29">
        <f>B405</f>
        <v/>
      </c>
      <c r="G405" s="29">
        <f>B405</f>
        <v/>
      </c>
      <c r="H405" s="29" t="inlineStr">
        <is>
          <t>럭시오</t>
        </is>
      </c>
      <c r="I405" s="29" t="inlineStr">
        <is>
          <t>勒克貓</t>
        </is>
      </c>
      <c r="J405" s="29">
        <f>IFERROR(__xludf.DUMMYFUNCTION("GOOGLETRANSLATE(I405,""zh_HANT"",""zh_HANS"")"),"勒克猫")</f>
        <v/>
      </c>
      <c r="K405" s="29">
        <f>F405</f>
        <v/>
      </c>
    </row>
    <row r="406">
      <c r="A406" s="29">
        <f>CONCATENATE("NAME_PkMn_", UPPER(B406))</f>
        <v/>
      </c>
      <c r="B406" s="29" t="inlineStr">
        <is>
          <t>Luxray</t>
        </is>
      </c>
      <c r="C406" s="29" t="inlineStr">
        <is>
          <t>レントラー</t>
        </is>
      </c>
      <c r="D406" s="29">
        <f>B406</f>
        <v/>
      </c>
      <c r="E406" s="29" t="inlineStr">
        <is>
          <t>Luxtra</t>
        </is>
      </c>
      <c r="F406" s="29">
        <f>B406</f>
        <v/>
      </c>
      <c r="G406" s="29">
        <f>B406</f>
        <v/>
      </c>
      <c r="H406" s="29" t="inlineStr">
        <is>
          <t>렌트라</t>
        </is>
      </c>
      <c r="I406" s="29" t="inlineStr">
        <is>
          <t>倫琴貓</t>
        </is>
      </c>
      <c r="J406" s="29">
        <f>IFERROR(__xludf.DUMMYFUNCTION("GOOGLETRANSLATE(I406,""zh_HANT"",""zh_HANS"")"),"伦琴猫")</f>
        <v/>
      </c>
      <c r="K406" s="29">
        <f>F406</f>
        <v/>
      </c>
    </row>
    <row r="407">
      <c r="A407" s="29">
        <f>CONCATENATE("NAME_PkMn_", UPPER(B407))</f>
        <v/>
      </c>
      <c r="B407" s="29" t="inlineStr">
        <is>
          <t>Budew</t>
        </is>
      </c>
      <c r="C407" s="29" t="inlineStr">
        <is>
          <t>スボミー</t>
        </is>
      </c>
      <c r="D407" s="29" t="inlineStr">
        <is>
          <t>Rozbouton</t>
        </is>
      </c>
      <c r="E407" s="29" t="inlineStr">
        <is>
          <t>Knospi</t>
        </is>
      </c>
      <c r="F407" s="29">
        <f>B407</f>
        <v/>
      </c>
      <c r="G407" s="29">
        <f>B407</f>
        <v/>
      </c>
      <c r="H407" s="29" t="inlineStr">
        <is>
          <t>꼬몽울</t>
        </is>
      </c>
      <c r="I407" s="29" t="inlineStr">
        <is>
          <t>含羞苞</t>
        </is>
      </c>
      <c r="J407" s="29">
        <f>I407</f>
        <v/>
      </c>
      <c r="K407" s="29">
        <f>F407</f>
        <v/>
      </c>
    </row>
    <row r="408">
      <c r="A408" s="29">
        <f>CONCATENATE("NAME_PkMn_", UPPER(B408))</f>
        <v/>
      </c>
      <c r="B408" s="29" t="inlineStr">
        <is>
          <t>Roserade</t>
        </is>
      </c>
      <c r="C408" s="29" t="inlineStr">
        <is>
          <t>ロズレイド</t>
        </is>
      </c>
      <c r="D408" s="29">
        <f>B408</f>
        <v/>
      </c>
      <c r="E408" s="29">
        <f>B408</f>
        <v/>
      </c>
      <c r="F408" s="29">
        <f>B408</f>
        <v/>
      </c>
      <c r="G408" s="29">
        <f>B408</f>
        <v/>
      </c>
      <c r="H408" s="29" t="inlineStr">
        <is>
          <t>로즈레이드</t>
        </is>
      </c>
      <c r="I408" s="29" t="inlineStr">
        <is>
          <t>羅絲雷朵</t>
        </is>
      </c>
      <c r="J408" s="29">
        <f>IFERROR(__xludf.DUMMYFUNCTION("GOOGLETRANSLATE(I408,""zh_HANT"",""zh_HANS"")"),"罗丝雷朵")</f>
        <v/>
      </c>
      <c r="K408" s="29">
        <f>F408</f>
        <v/>
      </c>
    </row>
    <row r="409">
      <c r="A409" s="29">
        <f>CONCATENATE("NAME_PkMn_", UPPER(B409))</f>
        <v/>
      </c>
      <c r="B409" s="29" t="inlineStr">
        <is>
          <t>Cranidos</t>
        </is>
      </c>
      <c r="C409" s="29" t="inlineStr">
        <is>
          <t>ズガイドス</t>
        </is>
      </c>
      <c r="D409" s="29" t="inlineStr">
        <is>
          <t>Kranidos</t>
        </is>
      </c>
      <c r="E409" s="29" t="inlineStr">
        <is>
          <t>Koknodon</t>
        </is>
      </c>
      <c r="F409" s="29">
        <f>B409</f>
        <v/>
      </c>
      <c r="G409" s="29">
        <f>B409</f>
        <v/>
      </c>
      <c r="H409" s="29" t="inlineStr">
        <is>
          <t>두개도스</t>
        </is>
      </c>
      <c r="I409" s="29" t="inlineStr">
        <is>
          <t>頭蓋龍</t>
        </is>
      </c>
      <c r="J409" s="29">
        <f>IFERROR(__xludf.DUMMYFUNCTION("GOOGLETRANSLATE(I409,""zh_HANT"",""zh_HANS"")"),"头盖龙")</f>
        <v/>
      </c>
      <c r="K409" s="29">
        <f>F409</f>
        <v/>
      </c>
    </row>
    <row r="410">
      <c r="A410" s="29">
        <f>CONCATENATE("NAME_PkMn_", UPPER(B410))</f>
        <v/>
      </c>
      <c r="B410" s="29" t="inlineStr">
        <is>
          <t>Rampardos</t>
        </is>
      </c>
      <c r="C410" s="29" t="inlineStr">
        <is>
          <t>ラムパルド</t>
        </is>
      </c>
      <c r="D410" s="29" t="inlineStr">
        <is>
          <t>Charkos</t>
        </is>
      </c>
      <c r="E410" s="29" t="inlineStr">
        <is>
          <t>Rameidon</t>
        </is>
      </c>
      <c r="F410" s="29">
        <f>B410</f>
        <v/>
      </c>
      <c r="G410" s="29">
        <f>B410</f>
        <v/>
      </c>
      <c r="H410" s="29" t="inlineStr">
        <is>
          <t>램펄드</t>
        </is>
      </c>
      <c r="I410" s="29" t="inlineStr">
        <is>
          <t>戰槌龍</t>
        </is>
      </c>
      <c r="J410" s="29">
        <f>IFERROR(__xludf.DUMMYFUNCTION("GOOGLETRANSLATE(I410,""zh_HANT"",""zh_HANS"")"),"战槌龙")</f>
        <v/>
      </c>
      <c r="K410" s="29">
        <f>F410</f>
        <v/>
      </c>
    </row>
    <row r="411">
      <c r="A411" s="29">
        <f>CONCATENATE("NAME_PkMn_", UPPER(B411))</f>
        <v/>
      </c>
      <c r="B411" s="29" t="inlineStr">
        <is>
          <t>Shieldon</t>
        </is>
      </c>
      <c r="C411" s="29" t="inlineStr">
        <is>
          <t>タテトプス</t>
        </is>
      </c>
      <c r="D411" s="29" t="inlineStr">
        <is>
          <t>Dinoclier</t>
        </is>
      </c>
      <c r="E411" s="29" t="inlineStr">
        <is>
          <t>Schilterus</t>
        </is>
      </c>
      <c r="F411" s="29">
        <f>B411</f>
        <v/>
      </c>
      <c r="G411" s="29">
        <f>B411</f>
        <v/>
      </c>
      <c r="H411" s="29" t="inlineStr">
        <is>
          <t>방패톱스</t>
        </is>
      </c>
      <c r="I411" s="29" t="inlineStr">
        <is>
          <t>盾甲龍</t>
        </is>
      </c>
      <c r="J411" s="29">
        <f>IFERROR(__xludf.DUMMYFUNCTION("GOOGLETRANSLATE(I411,""zh_HANT"",""zh_HANS"")"),"盾甲龙")</f>
        <v/>
      </c>
      <c r="K411" s="29">
        <f>F411</f>
        <v/>
      </c>
    </row>
    <row r="412">
      <c r="A412" s="29">
        <f>CONCATENATE("NAME_PkMn_", UPPER(B412))</f>
        <v/>
      </c>
      <c r="B412" s="29" t="inlineStr">
        <is>
          <t>Bastiodon</t>
        </is>
      </c>
      <c r="C412" s="29" t="inlineStr">
        <is>
          <t>トリデプス</t>
        </is>
      </c>
      <c r="D412" s="29">
        <f>B412</f>
        <v/>
      </c>
      <c r="E412" s="29" t="inlineStr">
        <is>
          <t>Bollterus</t>
        </is>
      </c>
      <c r="F412" s="29">
        <f>B412</f>
        <v/>
      </c>
      <c r="G412" s="29">
        <f>B412</f>
        <v/>
      </c>
      <c r="H412" s="29" t="inlineStr">
        <is>
          <t>바리톱스</t>
        </is>
      </c>
      <c r="I412" s="29" t="inlineStr">
        <is>
          <t>護城龍</t>
        </is>
      </c>
      <c r="J412" s="29">
        <f>IFERROR(__xludf.DUMMYFUNCTION("GOOGLETRANSLATE(I412,""zh_HANT"",""zh_HANS"")"),"护城龙")</f>
        <v/>
      </c>
      <c r="K412" s="29">
        <f>F412</f>
        <v/>
      </c>
    </row>
    <row r="413">
      <c r="A413" s="29">
        <f>CONCATENATE("NAME_PkMn_", UPPER(B413))</f>
        <v/>
      </c>
      <c r="B413" s="29" t="inlineStr">
        <is>
          <t>Burmy</t>
        </is>
      </c>
      <c r="C413" s="29" t="inlineStr">
        <is>
          <t>ミノムッチ</t>
        </is>
      </c>
      <c r="D413" s="29" t="inlineStr">
        <is>
          <t>Cheniti</t>
        </is>
      </c>
      <c r="E413" s="29">
        <f>B413</f>
        <v/>
      </c>
      <c r="F413" s="29">
        <f>B413</f>
        <v/>
      </c>
      <c r="G413" s="29">
        <f>B413</f>
        <v/>
      </c>
      <c r="H413" s="29" t="inlineStr">
        <is>
          <t>도롱충이</t>
        </is>
      </c>
      <c r="I413" s="29" t="inlineStr">
        <is>
          <t>結草兒</t>
        </is>
      </c>
      <c r="J413" s="29">
        <f>IFERROR(__xludf.DUMMYFUNCTION("GOOGLETRANSLATE(I413,""zh_HANT"",""zh_HANS"")"),"结草儿")</f>
        <v/>
      </c>
      <c r="K413" s="29">
        <f>F413</f>
        <v/>
      </c>
    </row>
    <row r="414">
      <c r="A414" s="29">
        <f>CONCATENATE("NAME_PkMn_", UPPER(B414))</f>
        <v/>
      </c>
      <c r="B414" s="29" t="inlineStr">
        <is>
          <t>Wormadam</t>
        </is>
      </c>
      <c r="C414" s="29" t="inlineStr">
        <is>
          <t>ミノマダム</t>
        </is>
      </c>
      <c r="D414" s="29" t="inlineStr">
        <is>
          <t>Cheniselle</t>
        </is>
      </c>
      <c r="E414" s="29" t="inlineStr">
        <is>
          <t>Burmadame</t>
        </is>
      </c>
      <c r="F414" s="29">
        <f>B414</f>
        <v/>
      </c>
      <c r="G414" s="29">
        <f>B414</f>
        <v/>
      </c>
      <c r="H414" s="29" t="inlineStr">
        <is>
          <t>도롱마담</t>
        </is>
      </c>
      <c r="I414" s="29" t="inlineStr">
        <is>
          <t>結草貴婦</t>
        </is>
      </c>
      <c r="J414" s="29">
        <f>IFERROR(__xludf.DUMMYFUNCTION("GOOGLETRANSLATE(I414,""zh_HANT"",""zh_HANS"")"),"结草贵妇")</f>
        <v/>
      </c>
      <c r="K414" s="29">
        <f>F414</f>
        <v/>
      </c>
    </row>
    <row r="415">
      <c r="A415" s="29">
        <f>CONCATENATE("NAME_PkMn_", UPPER(B415))</f>
        <v/>
      </c>
      <c r="B415" s="29" t="inlineStr">
        <is>
          <t>Mothim</t>
        </is>
      </c>
      <c r="C415" s="29" t="inlineStr">
        <is>
          <t>ガーメイル</t>
        </is>
      </c>
      <c r="D415" s="29" t="inlineStr">
        <is>
          <t>Papilord</t>
        </is>
      </c>
      <c r="E415" s="29" t="inlineStr">
        <is>
          <t>Moterpel</t>
        </is>
      </c>
      <c r="F415" s="29">
        <f>B415</f>
        <v/>
      </c>
      <c r="G415" s="29">
        <f>B415</f>
        <v/>
      </c>
      <c r="H415" s="29" t="inlineStr">
        <is>
          <t>나메일</t>
        </is>
      </c>
      <c r="I415" s="29" t="inlineStr">
        <is>
          <t>紳士蛾</t>
        </is>
      </c>
      <c r="J415" s="29">
        <f>IFERROR(__xludf.DUMMYFUNCTION("GOOGLETRANSLATE(I415,""zh_HANT"",""zh_HANS"")"),"绅士蛾")</f>
        <v/>
      </c>
      <c r="K415" s="29">
        <f>F415</f>
        <v/>
      </c>
    </row>
    <row r="416">
      <c r="A416" s="29">
        <f>CONCATENATE("NAME_PkMn_", UPPER(B416))</f>
        <v/>
      </c>
      <c r="B416" s="29" t="inlineStr">
        <is>
          <t>Combee</t>
        </is>
      </c>
      <c r="C416" s="29" t="inlineStr">
        <is>
          <t>ミツハニー</t>
        </is>
      </c>
      <c r="D416" s="29" t="inlineStr">
        <is>
          <t>Apitrini</t>
        </is>
      </c>
      <c r="E416" s="29" t="inlineStr">
        <is>
          <t>Wadribie</t>
        </is>
      </c>
      <c r="F416" s="29">
        <f>B416</f>
        <v/>
      </c>
      <c r="G416" s="29">
        <f>B416</f>
        <v/>
      </c>
      <c r="H416" s="29" t="inlineStr">
        <is>
          <t>세꿀버리</t>
        </is>
      </c>
      <c r="I416" s="29" t="inlineStr">
        <is>
          <t>三蜜蜂</t>
        </is>
      </c>
      <c r="J416" s="29">
        <f>I416</f>
        <v/>
      </c>
      <c r="K416" s="29">
        <f>F416</f>
        <v/>
      </c>
    </row>
    <row r="417">
      <c r="A417" s="29">
        <f>CONCATENATE("NAME_PkMn_", UPPER(B417))</f>
        <v/>
      </c>
      <c r="B417" s="29" t="inlineStr">
        <is>
          <t>Vespiquen</t>
        </is>
      </c>
      <c r="C417" s="29" t="inlineStr">
        <is>
          <t>ビークイン</t>
        </is>
      </c>
      <c r="D417" s="29" t="inlineStr">
        <is>
          <t>Apireine</t>
        </is>
      </c>
      <c r="E417" s="29" t="inlineStr">
        <is>
          <t>Honweisel</t>
        </is>
      </c>
      <c r="F417" s="29">
        <f>B417</f>
        <v/>
      </c>
      <c r="G417" s="29">
        <f>B417</f>
        <v/>
      </c>
      <c r="H417" s="29" t="inlineStr">
        <is>
          <t>비퀸</t>
        </is>
      </c>
      <c r="I417" s="29" t="inlineStr">
        <is>
          <t>蜂女王</t>
        </is>
      </c>
      <c r="J417" s="29">
        <f>I417</f>
        <v/>
      </c>
      <c r="K417" s="29">
        <f>F417</f>
        <v/>
      </c>
    </row>
    <row r="418">
      <c r="A418" s="29">
        <f>CONCATENATE("NAME_PkMn_", UPPER(B418))</f>
        <v/>
      </c>
      <c r="B418" s="29" t="inlineStr">
        <is>
          <t>Pachirisu</t>
        </is>
      </c>
      <c r="C418" s="29" t="inlineStr">
        <is>
          <t>パチリス</t>
        </is>
      </c>
      <c r="D418" s="29">
        <f>B418</f>
        <v/>
      </c>
      <c r="E418" s="29">
        <f>B418</f>
        <v/>
      </c>
      <c r="F418" s="29">
        <f>B418</f>
        <v/>
      </c>
      <c r="G418" s="29">
        <f>B418</f>
        <v/>
      </c>
      <c r="H418" s="29" t="inlineStr">
        <is>
          <t>파치리스</t>
        </is>
      </c>
      <c r="I418" s="29" t="inlineStr">
        <is>
          <t>帕奇利茲</t>
        </is>
      </c>
      <c r="J418" s="29">
        <f>I418</f>
        <v/>
      </c>
      <c r="K418" s="29">
        <f>F418</f>
        <v/>
      </c>
    </row>
    <row r="419">
      <c r="A419" s="29">
        <f>CONCATENATE("NAME_PkMn_", UPPER(B419))</f>
        <v/>
      </c>
      <c r="B419" s="29" t="inlineStr">
        <is>
          <t>Buizel</t>
        </is>
      </c>
      <c r="C419" s="29" t="inlineStr">
        <is>
          <t>ブイゼル</t>
        </is>
      </c>
      <c r="D419" s="29" t="inlineStr">
        <is>
          <t>Mustébouée</t>
        </is>
      </c>
      <c r="E419" s="29" t="inlineStr">
        <is>
          <t>Bamelin</t>
        </is>
      </c>
      <c r="F419" s="29">
        <f>B419</f>
        <v/>
      </c>
      <c r="G419" s="29">
        <f>B419</f>
        <v/>
      </c>
      <c r="H419" s="29" t="inlineStr">
        <is>
          <t>브이젤</t>
        </is>
      </c>
      <c r="I419" s="29" t="inlineStr">
        <is>
          <t>泳圈鼬</t>
        </is>
      </c>
      <c r="J419" s="29">
        <f>I419</f>
        <v/>
      </c>
      <c r="K419" s="29">
        <f>F419</f>
        <v/>
      </c>
    </row>
    <row r="420">
      <c r="A420" s="29">
        <f>CONCATENATE("NAME_PkMn_", UPPER(B420))</f>
        <v/>
      </c>
      <c r="B420" s="29" t="inlineStr">
        <is>
          <t>Floatzel</t>
        </is>
      </c>
      <c r="C420" s="29" t="inlineStr">
        <is>
          <t>フローゼル</t>
        </is>
      </c>
      <c r="D420" s="29" t="inlineStr">
        <is>
          <t>Mustéflott</t>
        </is>
      </c>
      <c r="E420" s="29" t="inlineStr">
        <is>
          <t>Bojelin</t>
        </is>
      </c>
      <c r="F420" s="29">
        <f>B420</f>
        <v/>
      </c>
      <c r="G420" s="29">
        <f>B420</f>
        <v/>
      </c>
      <c r="H420" s="29" t="inlineStr">
        <is>
          <t>플로젤</t>
        </is>
      </c>
      <c r="I420" s="29" t="inlineStr">
        <is>
          <t>浮潛鼬</t>
        </is>
      </c>
      <c r="J420" s="29">
        <f>IFERROR(__xludf.DUMMYFUNCTION("GOOGLETRANSLATE(I420,""zh_HANT"",""zh_HANS"")"),"浮潜鼬")</f>
        <v/>
      </c>
      <c r="K420" s="29">
        <f>F420</f>
        <v/>
      </c>
    </row>
    <row r="421">
      <c r="A421" s="29">
        <f>CONCATENATE("NAME_PkMn_", UPPER(B421))</f>
        <v/>
      </c>
      <c r="B421" s="29" t="inlineStr">
        <is>
          <t>Cherubi</t>
        </is>
      </c>
      <c r="C421" s="29" t="inlineStr">
        <is>
          <t>チェリンボ</t>
        </is>
      </c>
      <c r="D421" s="29" t="inlineStr">
        <is>
          <t>Ceribou</t>
        </is>
      </c>
      <c r="E421" s="29" t="inlineStr">
        <is>
          <t>Kikugi</t>
        </is>
      </c>
      <c r="F421" s="29">
        <f>B421</f>
        <v/>
      </c>
      <c r="G421" s="29">
        <f>B421</f>
        <v/>
      </c>
      <c r="H421" s="29" t="inlineStr">
        <is>
          <t>체리버</t>
        </is>
      </c>
      <c r="I421" s="29" t="inlineStr">
        <is>
          <t>櫻花寶</t>
        </is>
      </c>
      <c r="J421" s="29">
        <f>IFERROR(__xludf.DUMMYFUNCTION("GOOGLETRANSLATE(I421,""zh_HANT"",""zh_HANS"")"),"樱花宝")</f>
        <v/>
      </c>
      <c r="K421" s="29">
        <f>F421</f>
        <v/>
      </c>
    </row>
    <row r="422">
      <c r="A422" s="29">
        <f>CONCATENATE("NAME_PkMn_", UPPER(B422))</f>
        <v/>
      </c>
      <c r="B422" s="29" t="inlineStr">
        <is>
          <t>Cherrim</t>
        </is>
      </c>
      <c r="C422" s="29" t="inlineStr">
        <is>
          <t>チェリム</t>
        </is>
      </c>
      <c r="D422" s="29" t="inlineStr">
        <is>
          <t>Ceriflor</t>
        </is>
      </c>
      <c r="E422" s="29" t="inlineStr">
        <is>
          <t>Kinoso</t>
        </is>
      </c>
      <c r="F422" s="29">
        <f>B422</f>
        <v/>
      </c>
      <c r="G422" s="29">
        <f>B422</f>
        <v/>
      </c>
      <c r="H422" s="29" t="inlineStr">
        <is>
          <t>체리꼬</t>
        </is>
      </c>
      <c r="I422" s="29" t="inlineStr">
        <is>
          <t>櫻花兒</t>
        </is>
      </c>
      <c r="J422" s="29">
        <f>IFERROR(__xludf.DUMMYFUNCTION("GOOGLETRANSLATE(I422,""zh_HANT"",""zh_HANS"")"),"樱花儿")</f>
        <v/>
      </c>
      <c r="K422" s="29">
        <f>F422</f>
        <v/>
      </c>
    </row>
    <row r="423">
      <c r="A423" s="29">
        <f>CONCATENATE("NAME_PkMn_", UPPER(B423))</f>
        <v/>
      </c>
      <c r="B423" s="29" t="inlineStr">
        <is>
          <t>Shellos</t>
        </is>
      </c>
      <c r="C423" s="29" t="inlineStr">
        <is>
          <t>カラナクシ</t>
        </is>
      </c>
      <c r="D423" s="29" t="inlineStr">
        <is>
          <t>Sancoki</t>
        </is>
      </c>
      <c r="E423" s="29" t="inlineStr">
        <is>
          <t>Schalellos</t>
        </is>
      </c>
      <c r="F423" s="29">
        <f>B423</f>
        <v/>
      </c>
      <c r="G423" s="29">
        <f>B423</f>
        <v/>
      </c>
      <c r="H423" s="29" t="inlineStr">
        <is>
          <t>깝질무</t>
        </is>
      </c>
      <c r="I423" s="29" t="inlineStr">
        <is>
          <t>無殼海兔</t>
        </is>
      </c>
      <c r="J423" s="29">
        <f>IFERROR(__xludf.DUMMYFUNCTION("GOOGLETRANSLATE(I423,""zh_HANT"",""zh_HANS"")"),"无壳海兔")</f>
        <v/>
      </c>
      <c r="K423" s="29">
        <f>F423</f>
        <v/>
      </c>
    </row>
    <row r="424">
      <c r="A424" s="29">
        <f>CONCATENATE("NAME_PkMn_", UPPER(B424))</f>
        <v/>
      </c>
      <c r="B424" s="29" t="inlineStr">
        <is>
          <t>Gastrodon</t>
        </is>
      </c>
      <c r="C424" s="29" t="inlineStr">
        <is>
          <t>トリトソン</t>
        </is>
      </c>
      <c r="D424" s="29" t="inlineStr">
        <is>
          <t>Tritosor</t>
        </is>
      </c>
      <c r="E424" s="29">
        <f>B424</f>
        <v/>
      </c>
      <c r="F424" s="29">
        <f>B424</f>
        <v/>
      </c>
      <c r="G424" s="29">
        <f>B424</f>
        <v/>
      </c>
      <c r="H424" s="29" t="inlineStr">
        <is>
          <t>트리토돈</t>
        </is>
      </c>
      <c r="I424" s="29" t="inlineStr">
        <is>
          <t>海兔獸</t>
        </is>
      </c>
      <c r="J424" s="29">
        <f>IFERROR(__xludf.DUMMYFUNCTION("GOOGLETRANSLATE(I424,""zh_HANT"",""zh_HANS"")"),"海兔兽")</f>
        <v/>
      </c>
      <c r="K424" s="29">
        <f>F424</f>
        <v/>
      </c>
    </row>
    <row r="425">
      <c r="A425" s="29">
        <f>CONCATENATE("NAME_PkMn_", UPPER(B425))</f>
        <v/>
      </c>
      <c r="B425" s="29" t="inlineStr">
        <is>
          <t>Ambipom</t>
        </is>
      </c>
      <c r="C425" s="29" t="inlineStr">
        <is>
          <t>エテボース</t>
        </is>
      </c>
      <c r="D425" s="29" t="inlineStr">
        <is>
          <t>Capidextre</t>
        </is>
      </c>
      <c r="E425" s="29" t="inlineStr">
        <is>
          <t>Ambidiffel</t>
        </is>
      </c>
      <c r="F425" s="29">
        <f>B425</f>
        <v/>
      </c>
      <c r="G425" s="29">
        <f>B425</f>
        <v/>
      </c>
      <c r="H425" s="29" t="inlineStr">
        <is>
          <t>겟핸보숭</t>
        </is>
      </c>
      <c r="I425" s="29" t="inlineStr">
        <is>
          <t>雙尾怪手</t>
        </is>
      </c>
      <c r="J425" s="29">
        <f>IFERROR(__xludf.DUMMYFUNCTION("GOOGLETRANSLATE(I425,""zh_HANT"",""zh_HANS"")"),"双尾怪手")</f>
        <v/>
      </c>
      <c r="K425" s="29">
        <f>F425</f>
        <v/>
      </c>
    </row>
    <row r="426">
      <c r="A426" s="29">
        <f>CONCATENATE("NAME_PkMn_", UPPER(B426))</f>
        <v/>
      </c>
      <c r="B426" s="29" t="inlineStr">
        <is>
          <t>Drifloon</t>
        </is>
      </c>
      <c r="C426" s="29" t="inlineStr">
        <is>
          <t>フワンテ</t>
        </is>
      </c>
      <c r="D426" s="29" t="inlineStr">
        <is>
          <t>Baudrive</t>
        </is>
      </c>
      <c r="E426" s="29" t="inlineStr">
        <is>
          <t>Driftlon</t>
        </is>
      </c>
      <c r="F426" s="29">
        <f>B426</f>
        <v/>
      </c>
      <c r="G426" s="29">
        <f>B426</f>
        <v/>
      </c>
      <c r="H426" s="29" t="inlineStr">
        <is>
          <t>흔들풍손</t>
        </is>
      </c>
      <c r="I426" s="29" t="inlineStr">
        <is>
          <t>飄飄球</t>
        </is>
      </c>
      <c r="J426" s="29">
        <f>IFERROR(__xludf.DUMMYFUNCTION("GOOGLETRANSLATE(I426,""zh_HANT"",""zh_HANS"")"),"飘飘球")</f>
        <v/>
      </c>
      <c r="K426" s="29">
        <f>F426</f>
        <v/>
      </c>
    </row>
    <row r="427">
      <c r="A427" s="29">
        <f>CONCATENATE("NAME_PkMn_", UPPER(B427))</f>
        <v/>
      </c>
      <c r="B427" s="29" t="inlineStr">
        <is>
          <t>Drifblim</t>
        </is>
      </c>
      <c r="C427" s="29" t="inlineStr">
        <is>
          <t>フワライド</t>
        </is>
      </c>
      <c r="D427" s="29" t="inlineStr">
        <is>
          <t>Grodrive</t>
        </is>
      </c>
      <c r="E427" s="29" t="inlineStr">
        <is>
          <t>Drifzepeli</t>
        </is>
      </c>
      <c r="F427" s="29">
        <f>B427</f>
        <v/>
      </c>
      <c r="G427" s="29">
        <f>B427</f>
        <v/>
      </c>
      <c r="H427" s="29" t="inlineStr">
        <is>
          <t>둥실라이드</t>
        </is>
      </c>
      <c r="I427" s="29" t="inlineStr">
        <is>
          <t>隨風球</t>
        </is>
      </c>
      <c r="J427" s="29">
        <f>IFERROR(__xludf.DUMMYFUNCTION("GOOGLETRANSLATE(I427,""zh_HANT"",""zh_HANS"")"),"随风球")</f>
        <v/>
      </c>
      <c r="K427" s="29">
        <f>F427</f>
        <v/>
      </c>
    </row>
    <row r="428">
      <c r="A428" s="29">
        <f>CONCATENATE("NAME_PkMn_", UPPER(B428))</f>
        <v/>
      </c>
      <c r="B428" s="29" t="inlineStr">
        <is>
          <t>Buneary</t>
        </is>
      </c>
      <c r="C428" s="29" t="inlineStr">
        <is>
          <t>ミミロル</t>
        </is>
      </c>
      <c r="D428" s="29" t="inlineStr">
        <is>
          <t>Laporeille</t>
        </is>
      </c>
      <c r="E428" s="29" t="inlineStr">
        <is>
          <t>Haspiror</t>
        </is>
      </c>
      <c r="F428" s="29">
        <f>B428</f>
        <v/>
      </c>
      <c r="G428" s="29">
        <f>B428</f>
        <v/>
      </c>
      <c r="H428" s="29" t="inlineStr">
        <is>
          <t>이어롤</t>
        </is>
      </c>
      <c r="I428" s="29" t="inlineStr">
        <is>
          <t>捲捲耳</t>
        </is>
      </c>
      <c r="J428" s="29">
        <f>IFERROR(__xludf.DUMMYFUNCTION("GOOGLETRANSLATE(I428,""zh_HANT"",""zh_HANS"")"),"卷卷耳")</f>
        <v/>
      </c>
      <c r="K428" s="29">
        <f>F428</f>
        <v/>
      </c>
    </row>
    <row r="429">
      <c r="A429" s="29">
        <f>CONCATENATE("NAME_PkMn_", UPPER(B429))</f>
        <v/>
      </c>
      <c r="B429" s="29" t="inlineStr">
        <is>
          <t>Lopunny</t>
        </is>
      </c>
      <c r="C429" s="29" t="inlineStr">
        <is>
          <t>ミミロップ</t>
        </is>
      </c>
      <c r="D429" s="29" t="inlineStr">
        <is>
          <t>Lockpin</t>
        </is>
      </c>
      <c r="E429" s="29" t="inlineStr">
        <is>
          <t>Schlapor</t>
        </is>
      </c>
      <c r="F429" s="29">
        <f>B429</f>
        <v/>
      </c>
      <c r="G429" s="29">
        <f>B429</f>
        <v/>
      </c>
      <c r="H429" s="29" t="inlineStr">
        <is>
          <t>이어롭</t>
        </is>
      </c>
      <c r="I429" s="29">
        <f>IFERROR(__xludf.DUMMYFUNCTION("GOOGLETRANSLATE(J429,""zh_HANS"",""zh_HANT"")"),"長耳兔")</f>
        <v/>
      </c>
      <c r="J429" s="29" t="inlineStr">
        <is>
          <t>长耳兔</t>
        </is>
      </c>
      <c r="K429" s="29">
        <f>F429</f>
        <v/>
      </c>
    </row>
    <row r="430">
      <c r="A430" s="29">
        <f>CONCATENATE("NAME_PkMn_", UPPER(B430))</f>
        <v/>
      </c>
      <c r="B430" s="29" t="inlineStr">
        <is>
          <t>Mismagius</t>
        </is>
      </c>
      <c r="C430" s="29" t="inlineStr">
        <is>
          <t>ムウマージ</t>
        </is>
      </c>
      <c r="D430" s="29" t="inlineStr">
        <is>
          <t>Magirêve</t>
        </is>
      </c>
      <c r="E430" s="29" t="inlineStr">
        <is>
          <t>Traunmagil</t>
        </is>
      </c>
      <c r="F430" s="29">
        <f>B430</f>
        <v/>
      </c>
      <c r="G430" s="29">
        <f>B430</f>
        <v/>
      </c>
      <c r="H430" s="29" t="inlineStr">
        <is>
          <t>무우마직</t>
        </is>
      </c>
      <c r="I430" s="29" t="inlineStr">
        <is>
          <t>夢妖魔</t>
        </is>
      </c>
      <c r="J430" s="29">
        <f>IFERROR(__xludf.DUMMYFUNCTION("GOOGLETRANSLATE(I430,""zh_HANT"",""zh_HANS"")"),"梦妖魔")</f>
        <v/>
      </c>
      <c r="K430" s="29">
        <f>F430</f>
        <v/>
      </c>
    </row>
    <row r="431">
      <c r="A431" s="29">
        <f>CONCATENATE("NAME_PkMn_", UPPER(B431))</f>
        <v/>
      </c>
      <c r="B431" s="29" t="inlineStr">
        <is>
          <t>Honchkrow</t>
        </is>
      </c>
      <c r="C431" s="29" t="inlineStr">
        <is>
          <t>ドンカラス</t>
        </is>
      </c>
      <c r="D431" s="29" t="inlineStr">
        <is>
          <t>Corboss</t>
        </is>
      </c>
      <c r="E431" s="29" t="inlineStr">
        <is>
          <t>Kramshef</t>
        </is>
      </c>
      <c r="F431" s="29">
        <f>B431</f>
        <v/>
      </c>
      <c r="G431" s="29">
        <f>B431</f>
        <v/>
      </c>
      <c r="H431" s="29" t="inlineStr">
        <is>
          <t>돈크로우</t>
        </is>
      </c>
      <c r="I431" s="29" t="inlineStr">
        <is>
          <t>烏鴉頭頭</t>
        </is>
      </c>
      <c r="J431" s="29">
        <f>IFERROR(__xludf.DUMMYFUNCTION("GOOGLETRANSLATE(I431,""zh_HANT"",""zh_HANS"")"),"乌鸦头头")</f>
        <v/>
      </c>
      <c r="K431" s="29">
        <f>F431</f>
        <v/>
      </c>
    </row>
    <row r="432">
      <c r="A432" s="29">
        <f>CONCATENATE("NAME_PkMn_", UPPER(B432))</f>
        <v/>
      </c>
      <c r="B432" s="29" t="inlineStr">
        <is>
          <t>Glameow</t>
        </is>
      </c>
      <c r="C432" s="29" t="inlineStr">
        <is>
          <t>ミャルマー</t>
        </is>
      </c>
      <c r="D432" s="29" t="inlineStr">
        <is>
          <t>Chaglam</t>
        </is>
      </c>
      <c r="E432" s="29" t="inlineStr">
        <is>
          <t>Charmian</t>
        </is>
      </c>
      <c r="F432" s="29">
        <f>B432</f>
        <v/>
      </c>
      <c r="G432" s="29">
        <f>B432</f>
        <v/>
      </c>
      <c r="H432" s="29" t="inlineStr">
        <is>
          <t>나옹마</t>
        </is>
      </c>
      <c r="I432" s="29" t="inlineStr">
        <is>
          <t>魅力喵</t>
        </is>
      </c>
      <c r="J432" s="29">
        <f>I432</f>
        <v/>
      </c>
      <c r="K432" s="29">
        <f>F432</f>
        <v/>
      </c>
    </row>
    <row r="433">
      <c r="A433" s="29">
        <f>CONCATENATE("NAME_PkMn_", UPPER(B433))</f>
        <v/>
      </c>
      <c r="B433" s="29" t="inlineStr">
        <is>
          <t>Purugly</t>
        </is>
      </c>
      <c r="C433" s="29" t="inlineStr">
        <is>
          <t>ブニャット</t>
        </is>
      </c>
      <c r="D433" s="29" t="inlineStr">
        <is>
          <t>Chaffreux</t>
        </is>
      </c>
      <c r="E433" s="29" t="inlineStr">
        <is>
          <t>Shnurgarst</t>
        </is>
      </c>
      <c r="F433" s="29">
        <f>B433</f>
        <v/>
      </c>
      <c r="G433" s="29">
        <f>B433</f>
        <v/>
      </c>
      <c r="H433" s="29" t="inlineStr">
        <is>
          <t>몬냥이</t>
        </is>
      </c>
      <c r="I433" s="29" t="inlineStr">
        <is>
          <t>東施喵</t>
        </is>
      </c>
      <c r="J433" s="29">
        <f>IFERROR(__xludf.DUMMYFUNCTION("GOOGLETRANSLATE(I433,""zh_HANT"",""zh_HANS"")"),"东施喵")</f>
        <v/>
      </c>
      <c r="K433" s="29">
        <f>F433</f>
        <v/>
      </c>
    </row>
    <row r="434">
      <c r="A434" s="29">
        <f>CONCATENATE("NAME_PkMn_", UPPER(B434))</f>
        <v/>
      </c>
      <c r="B434" s="29" t="inlineStr">
        <is>
          <t>Chingling</t>
        </is>
      </c>
      <c r="C434" s="29" t="inlineStr">
        <is>
          <t>リーシャン</t>
        </is>
      </c>
      <c r="D434" s="29" t="inlineStr">
        <is>
          <t>Korillon</t>
        </is>
      </c>
      <c r="E434" s="29" t="inlineStr">
        <is>
          <t>Klingplim</t>
        </is>
      </c>
      <c r="F434" s="29">
        <f>B434</f>
        <v/>
      </c>
      <c r="G434" s="29">
        <f>B434</f>
        <v/>
      </c>
      <c r="H434" s="29" t="inlineStr">
        <is>
          <t>랑딸랑</t>
        </is>
      </c>
      <c r="I434" s="29" t="inlineStr">
        <is>
          <t>鈴鐺響</t>
        </is>
      </c>
      <c r="J434" s="29">
        <f>IFERROR(__xludf.DUMMYFUNCTION("GOOGLETRANSLATE(I434,""zh_HANT"",""zh_HANS"")"),"铃铛响")</f>
        <v/>
      </c>
      <c r="K434" s="29">
        <f>F434</f>
        <v/>
      </c>
    </row>
    <row r="435">
      <c r="A435" s="29">
        <f>CONCATENATE("NAME_PkMn_", UPPER(B435))</f>
        <v/>
      </c>
      <c r="B435" s="29" t="inlineStr">
        <is>
          <t>Stunky</t>
        </is>
      </c>
      <c r="C435" s="29" t="inlineStr">
        <is>
          <t>スカンプー</t>
        </is>
      </c>
      <c r="D435" s="29" t="inlineStr">
        <is>
          <t>Moufouette</t>
        </is>
      </c>
      <c r="E435" s="29" t="inlineStr">
        <is>
          <t>Skunkapuh</t>
        </is>
      </c>
      <c r="F435" s="29">
        <f>B435</f>
        <v/>
      </c>
      <c r="G435" s="29">
        <f>B435</f>
        <v/>
      </c>
      <c r="H435" s="29" t="inlineStr">
        <is>
          <t>스컹뿡</t>
        </is>
      </c>
      <c r="I435" s="29" t="inlineStr">
        <is>
          <t>臭鼬噗</t>
        </is>
      </c>
      <c r="J435" s="29">
        <f>I435</f>
        <v/>
      </c>
      <c r="K435" s="29">
        <f>F435</f>
        <v/>
      </c>
    </row>
    <row r="436">
      <c r="A436" s="29">
        <f>CONCATENATE("NAME_PkMn_", UPPER(B436))</f>
        <v/>
      </c>
      <c r="B436" s="29" t="inlineStr">
        <is>
          <t>Skuntank</t>
        </is>
      </c>
      <c r="C436" s="29" t="inlineStr">
        <is>
          <t>スカタンク</t>
        </is>
      </c>
      <c r="D436" s="29" t="inlineStr">
        <is>
          <t>Moufflair</t>
        </is>
      </c>
      <c r="E436" s="29">
        <f>B436</f>
        <v/>
      </c>
      <c r="F436" s="29">
        <f>B436</f>
        <v/>
      </c>
      <c r="G436" s="29">
        <f>B436</f>
        <v/>
      </c>
      <c r="H436" s="29" t="inlineStr">
        <is>
          <t>스컹탱크</t>
        </is>
      </c>
      <c r="I436" s="29" t="inlineStr">
        <is>
          <t>坦克臭鼬</t>
        </is>
      </c>
      <c r="J436" s="29">
        <f>I436</f>
        <v/>
      </c>
      <c r="K436" s="29">
        <f>F436</f>
        <v/>
      </c>
    </row>
    <row r="437">
      <c r="A437" s="29">
        <f>CONCATENATE("NAME_PkMn_", UPPER(B437))</f>
        <v/>
      </c>
      <c r="B437" s="29" t="inlineStr">
        <is>
          <t>Bronzor</t>
        </is>
      </c>
      <c r="C437" s="29" t="inlineStr">
        <is>
          <t>ドーミラー</t>
        </is>
      </c>
      <c r="D437" s="29" t="inlineStr">
        <is>
          <t>Archéomire</t>
        </is>
      </c>
      <c r="E437" s="29" t="inlineStr">
        <is>
          <t>Bronzel</t>
        </is>
      </c>
      <c r="F437" s="29">
        <f>B437</f>
        <v/>
      </c>
      <c r="G437" s="29">
        <f>B437</f>
        <v/>
      </c>
      <c r="H437" s="29" t="inlineStr">
        <is>
          <t>동미러</t>
        </is>
      </c>
      <c r="I437" s="29" t="inlineStr">
        <is>
          <t>銅鏡怪</t>
        </is>
      </c>
      <c r="J437" s="29">
        <f>IFERROR(__xludf.DUMMYFUNCTION("GOOGLETRANSLATE(I437,""zh_HANT"",""zh_HANS"")"),"铜镜怪")</f>
        <v/>
      </c>
      <c r="K437" s="29">
        <f>F437</f>
        <v/>
      </c>
    </row>
    <row r="438">
      <c r="A438" s="29">
        <f>CONCATENATE("NAME_PkMn_", UPPER(B438))</f>
        <v/>
      </c>
      <c r="B438" s="29" t="inlineStr">
        <is>
          <t>Bronzong</t>
        </is>
      </c>
      <c r="C438" s="29" t="inlineStr">
        <is>
          <t>ドータクン</t>
        </is>
      </c>
      <c r="D438" s="29" t="inlineStr">
        <is>
          <t>Archéodong</t>
        </is>
      </c>
      <c r="E438" s="29">
        <f>B438</f>
        <v/>
      </c>
      <c r="F438" s="29">
        <f>B438</f>
        <v/>
      </c>
      <c r="G438" s="29">
        <f>B438</f>
        <v/>
      </c>
      <c r="H438" s="29" t="inlineStr">
        <is>
          <t>동탁군</t>
        </is>
      </c>
      <c r="I438" s="29" t="inlineStr">
        <is>
          <t>青銅鐘</t>
        </is>
      </c>
      <c r="J438" s="29">
        <f>IFERROR(__xludf.DUMMYFUNCTION("GOOGLETRANSLATE(I438,""zh_HANT"",""zh_HANS"")"),"青铜钟")</f>
        <v/>
      </c>
      <c r="K438" s="29">
        <f>F438</f>
        <v/>
      </c>
    </row>
    <row r="439">
      <c r="A439" s="29">
        <f>CONCATENATE("NAME_PkMn_", UPPER(B439))</f>
        <v/>
      </c>
      <c r="B439" s="29" t="inlineStr">
        <is>
          <t>Bonsly</t>
        </is>
      </c>
      <c r="C439" s="29" t="inlineStr">
        <is>
          <t>ウソハチ</t>
        </is>
      </c>
      <c r="D439" s="29" t="inlineStr">
        <is>
          <t>Manzaï</t>
        </is>
      </c>
      <c r="E439" s="29" t="inlineStr">
        <is>
          <t>Mobai</t>
        </is>
      </c>
      <c r="F439" s="29">
        <f>B439</f>
        <v/>
      </c>
      <c r="G439" s="29">
        <f>B439</f>
        <v/>
      </c>
      <c r="H439" s="29" t="inlineStr">
        <is>
          <t>꼬지지</t>
        </is>
      </c>
      <c r="I439" s="29" t="inlineStr">
        <is>
          <t>盆才怪</t>
        </is>
      </c>
      <c r="J439" s="29">
        <f>I439</f>
        <v/>
      </c>
      <c r="K439" s="29">
        <f>F439</f>
        <v/>
      </c>
    </row>
    <row r="440">
      <c r="A440" s="29" t="inlineStr">
        <is>
          <t>NAME_PkMn_MIMEJR</t>
        </is>
      </c>
      <c r="B440" s="29" t="inlineStr">
        <is>
          <t>Mime Jr.</t>
        </is>
      </c>
      <c r="C440" s="29" t="inlineStr">
        <is>
          <t>マネネ</t>
        </is>
      </c>
      <c r="D440" s="29">
        <f>B440</f>
        <v/>
      </c>
      <c r="E440" s="29" t="inlineStr">
        <is>
          <t>Pantimimi</t>
        </is>
      </c>
      <c r="F440" s="29">
        <f>B440</f>
        <v/>
      </c>
      <c r="G440" s="29">
        <f>B440</f>
        <v/>
      </c>
      <c r="H440" s="29" t="inlineStr">
        <is>
          <t>흉내내</t>
        </is>
      </c>
      <c r="I440" s="29" t="inlineStr">
        <is>
          <t>魔尼尼</t>
        </is>
      </c>
      <c r="J440" s="29">
        <f>I440</f>
        <v/>
      </c>
      <c r="K440" s="29">
        <f>F440</f>
        <v/>
      </c>
    </row>
    <row r="441">
      <c r="A441" s="29">
        <f>CONCATENATE("NAME_PkMn_", UPPER(B441))</f>
        <v/>
      </c>
      <c r="B441" s="29" t="inlineStr">
        <is>
          <t>Happiny</t>
        </is>
      </c>
      <c r="C441" s="29" t="inlineStr">
        <is>
          <t>ピンプク</t>
        </is>
      </c>
      <c r="D441" s="29" t="inlineStr">
        <is>
          <t>Ptiravi</t>
        </is>
      </c>
      <c r="E441" s="29" t="inlineStr">
        <is>
          <t>Wonneira</t>
        </is>
      </c>
      <c r="F441" s="29">
        <f>B441</f>
        <v/>
      </c>
      <c r="G441" s="29">
        <f>B441</f>
        <v/>
      </c>
      <c r="H441" s="29" t="inlineStr">
        <is>
          <t>핑복</t>
        </is>
      </c>
      <c r="I441" s="29" t="inlineStr">
        <is>
          <t>小福蛋</t>
        </is>
      </c>
      <c r="J441" s="29">
        <f>I441</f>
        <v/>
      </c>
      <c r="K441" s="29">
        <f>F441</f>
        <v/>
      </c>
    </row>
    <row r="442">
      <c r="A442" s="29">
        <f>CONCATENATE("NAME_PkMn_", UPPER(B442))</f>
        <v/>
      </c>
      <c r="B442" s="29" t="inlineStr">
        <is>
          <t>Chatot</t>
        </is>
      </c>
      <c r="C442" s="29" t="inlineStr">
        <is>
          <t>ペラップ</t>
        </is>
      </c>
      <c r="D442" s="29" t="inlineStr">
        <is>
          <t>Pijako</t>
        </is>
      </c>
      <c r="E442" s="29" t="inlineStr">
        <is>
          <t>Plaudagei</t>
        </is>
      </c>
      <c r="F442" s="29">
        <f>B442</f>
        <v/>
      </c>
      <c r="G442" s="29">
        <f>B442</f>
        <v/>
      </c>
      <c r="H442" s="29" t="inlineStr">
        <is>
          <t>페라페</t>
        </is>
      </c>
      <c r="I442" s="29" t="inlineStr">
        <is>
          <t>聒噪鳥</t>
        </is>
      </c>
      <c r="J442" s="29">
        <f>IFERROR(__xludf.DUMMYFUNCTION("GOOGLETRANSLATE(I442,""zh_HANT"",""zh_HANS"")"),"聒噪鸟")</f>
        <v/>
      </c>
      <c r="K442" s="29">
        <f>F442</f>
        <v/>
      </c>
    </row>
    <row r="443">
      <c r="A443" s="29">
        <f>CONCATENATE("NAME_PkMn_", UPPER(B443))</f>
        <v/>
      </c>
      <c r="B443" s="29" t="inlineStr">
        <is>
          <t>Spiritomb</t>
        </is>
      </c>
      <c r="C443" s="29" t="inlineStr">
        <is>
          <t>ミカルゲ</t>
        </is>
      </c>
      <c r="D443" s="29">
        <f>B443</f>
        <v/>
      </c>
      <c r="E443" s="29" t="inlineStr">
        <is>
          <t>Kryppuk</t>
        </is>
      </c>
      <c r="F443" s="29">
        <f>B443</f>
        <v/>
      </c>
      <c r="G443" s="29">
        <f>B443</f>
        <v/>
      </c>
      <c r="H443" s="29" t="inlineStr">
        <is>
          <t>화강돌</t>
        </is>
      </c>
      <c r="I443" s="29" t="inlineStr">
        <is>
          <t>花岩怪</t>
        </is>
      </c>
      <c r="J443" s="29">
        <f>I443</f>
        <v/>
      </c>
      <c r="K443" s="29">
        <f>F443</f>
        <v/>
      </c>
    </row>
    <row r="444">
      <c r="A444" s="29">
        <f>CONCATENATE("NAME_PkMn_", UPPER(B444))</f>
        <v/>
      </c>
      <c r="B444" s="29" t="inlineStr">
        <is>
          <t>Gible</t>
        </is>
      </c>
      <c r="C444" s="29" t="inlineStr">
        <is>
          <t>フカマル</t>
        </is>
      </c>
      <c r="D444" s="29" t="inlineStr">
        <is>
          <t>Griknot</t>
        </is>
      </c>
      <c r="E444" s="29" t="inlineStr">
        <is>
          <t>Kaumalat</t>
        </is>
      </c>
      <c r="F444" s="29">
        <f>B444</f>
        <v/>
      </c>
      <c r="G444" s="29">
        <f>B444</f>
        <v/>
      </c>
      <c r="H444" s="29" t="inlineStr">
        <is>
          <t>딥상어동</t>
        </is>
      </c>
      <c r="I444" s="29" t="inlineStr">
        <is>
          <t>圓陸鯊</t>
        </is>
      </c>
      <c r="J444" s="29">
        <f>IFERROR(__xludf.DUMMYFUNCTION("GOOGLETRANSLATE(I444,""zh_HANT"",""zh_HANS"")"),"圆陆鲨")</f>
        <v/>
      </c>
      <c r="K444" s="29">
        <f>F444</f>
        <v/>
      </c>
    </row>
    <row r="445">
      <c r="A445" s="29">
        <f>CONCATENATE("NAME_PkMn_", UPPER(B445))</f>
        <v/>
      </c>
      <c r="B445" s="29" t="inlineStr">
        <is>
          <t>Gabite</t>
        </is>
      </c>
      <c r="C445" s="29" t="inlineStr">
        <is>
          <t>ガバイト</t>
        </is>
      </c>
      <c r="D445" s="29" t="inlineStr">
        <is>
          <t>Carmache</t>
        </is>
      </c>
      <c r="E445" s="29" t="inlineStr">
        <is>
          <t>Knarksel</t>
        </is>
      </c>
      <c r="F445" s="29">
        <f>B445</f>
        <v/>
      </c>
      <c r="G445" s="29">
        <f>B445</f>
        <v/>
      </c>
      <c r="H445" s="29" t="inlineStr">
        <is>
          <t>한바이트</t>
        </is>
      </c>
      <c r="I445" s="29" t="inlineStr">
        <is>
          <t>尖牙陸鯊</t>
        </is>
      </c>
      <c r="J445" s="29">
        <f>IFERROR(__xludf.DUMMYFUNCTION("GOOGLETRANSLATE(I445,""zh_HANT"",""zh_HANS"")"),"尖牙陆鲨")</f>
        <v/>
      </c>
      <c r="K445" s="29">
        <f>F445</f>
        <v/>
      </c>
    </row>
    <row r="446">
      <c r="A446" s="29">
        <f>CONCATENATE("NAME_PkMn_", UPPER(B446))</f>
        <v/>
      </c>
      <c r="B446" s="29" t="inlineStr">
        <is>
          <t>Garchomp</t>
        </is>
      </c>
      <c r="C446" s="29" t="inlineStr">
        <is>
          <t>ガブリアス</t>
        </is>
      </c>
      <c r="D446" s="29" t="inlineStr">
        <is>
          <t>Carchacrok</t>
        </is>
      </c>
      <c r="E446" s="29" t="inlineStr">
        <is>
          <t>Knakrack</t>
        </is>
      </c>
      <c r="F446" s="29">
        <f>B446</f>
        <v/>
      </c>
      <c r="G446" s="29">
        <f>B446</f>
        <v/>
      </c>
      <c r="H446" s="29" t="inlineStr">
        <is>
          <t>한카리아스</t>
        </is>
      </c>
      <c r="I446" s="29">
        <f>IFERROR(__xludf.DUMMYFUNCTION("GOOGLETRANSLATE(J446,""zh_HANS"",""zh_HANT"")"),"烈咬陸鯊")</f>
        <v/>
      </c>
      <c r="J446" s="29" t="inlineStr">
        <is>
          <t>烈咬陆鲨</t>
        </is>
      </c>
      <c r="K446" s="29">
        <f>F446</f>
        <v/>
      </c>
    </row>
    <row r="447">
      <c r="A447" s="29">
        <f>CONCATENATE("NAME_PkMn_", UPPER(B447))</f>
        <v/>
      </c>
      <c r="B447" s="29" t="inlineStr">
        <is>
          <t>Munchlax</t>
        </is>
      </c>
      <c r="C447" s="29" t="inlineStr">
        <is>
          <t>ゴンベ</t>
        </is>
      </c>
      <c r="D447" s="29" t="inlineStr">
        <is>
          <t>Goinfrex</t>
        </is>
      </c>
      <c r="E447" s="29" t="inlineStr">
        <is>
          <t>Mampfaxo</t>
        </is>
      </c>
      <c r="F447" s="29">
        <f>B447</f>
        <v/>
      </c>
      <c r="G447" s="29">
        <f>B447</f>
        <v/>
      </c>
      <c r="H447" s="29" t="inlineStr">
        <is>
          <t>먹고자</t>
        </is>
      </c>
      <c r="I447" s="29" t="inlineStr">
        <is>
          <t>小卡比獸</t>
        </is>
      </c>
      <c r="J447" s="29">
        <f>IFERROR(__xludf.DUMMYFUNCTION("GOOGLETRANSLATE(I447,""zh_HANT"",""zh_HANS"")"),"小卡比兽")</f>
        <v/>
      </c>
      <c r="K447" s="29">
        <f>F447</f>
        <v/>
      </c>
    </row>
    <row r="448">
      <c r="A448" s="29">
        <f>CONCATENATE("NAME_PkMn_", UPPER(B448))</f>
        <v/>
      </c>
      <c r="B448" s="29" t="inlineStr">
        <is>
          <t>Riolu</t>
        </is>
      </c>
      <c r="C448" s="29" t="inlineStr">
        <is>
          <t>リオル</t>
        </is>
      </c>
      <c r="D448" s="29">
        <f>B448</f>
        <v/>
      </c>
      <c r="E448" s="29">
        <f>B448</f>
        <v/>
      </c>
      <c r="F448" s="29">
        <f>B448</f>
        <v/>
      </c>
      <c r="G448" s="29">
        <f>B448</f>
        <v/>
      </c>
      <c r="H448" s="29" t="inlineStr">
        <is>
          <t>리오르</t>
        </is>
      </c>
      <c r="I448" s="29" t="inlineStr">
        <is>
          <t>利歐路</t>
        </is>
      </c>
      <c r="J448" s="29">
        <f>IFERROR(__xludf.DUMMYFUNCTION("GOOGLETRANSLATE(I448,""zh_HANT"",""zh_HANS"")"),"利欧路")</f>
        <v/>
      </c>
      <c r="K448" s="29">
        <f>F448</f>
        <v/>
      </c>
    </row>
    <row r="449">
      <c r="A449" s="29">
        <f>CONCATENATE("NAME_PkMn_", UPPER(B449))</f>
        <v/>
      </c>
      <c r="B449" s="29" t="inlineStr">
        <is>
          <t>Lucario</t>
        </is>
      </c>
      <c r="C449" s="29" t="inlineStr">
        <is>
          <t>ルカリオ</t>
        </is>
      </c>
      <c r="D449" s="29">
        <f>B449</f>
        <v/>
      </c>
      <c r="E449" s="29">
        <f>B449</f>
        <v/>
      </c>
      <c r="F449" s="29">
        <f>B449</f>
        <v/>
      </c>
      <c r="G449" s="29">
        <f>B449</f>
        <v/>
      </c>
      <c r="H449" s="29" t="inlineStr">
        <is>
          <t>루카리오</t>
        </is>
      </c>
      <c r="I449" s="29">
        <f>IFERROR(__xludf.DUMMYFUNCTION("GOOGLETRANSLATE(J449,""zh_HANS"",""zh_HANT"")"),"路卡利歐")</f>
        <v/>
      </c>
      <c r="J449" s="29" t="inlineStr">
        <is>
          <t>路卡利欧</t>
        </is>
      </c>
      <c r="K449" s="29">
        <f>F449</f>
        <v/>
      </c>
    </row>
    <row r="450">
      <c r="A450" s="29">
        <f>CONCATENATE("NAME_PkMn_", UPPER(B450))</f>
        <v/>
      </c>
      <c r="B450" s="29" t="inlineStr">
        <is>
          <t>Hippopotas</t>
        </is>
      </c>
      <c r="C450" s="29" t="inlineStr">
        <is>
          <t>ヒポポタス</t>
        </is>
      </c>
      <c r="D450" s="29">
        <f>B450</f>
        <v/>
      </c>
      <c r="E450" s="29">
        <f>B450</f>
        <v/>
      </c>
      <c r="F450" s="29">
        <f>B450</f>
        <v/>
      </c>
      <c r="G450" s="29">
        <f>B450</f>
        <v/>
      </c>
      <c r="H450" s="29" t="inlineStr">
        <is>
          <t>히포포타스</t>
        </is>
      </c>
      <c r="I450" s="29" t="inlineStr">
        <is>
          <t>沙河馬</t>
        </is>
      </c>
      <c r="J450" s="29">
        <f>IFERROR(__xludf.DUMMYFUNCTION("GOOGLETRANSLATE(I450,""zh_HANT"",""zh_HANS"")"),"沙河马")</f>
        <v/>
      </c>
      <c r="K450" s="29">
        <f>F450</f>
        <v/>
      </c>
    </row>
    <row r="451">
      <c r="A451" s="29">
        <f>CONCATENATE("NAME_PkMn_", UPPER(B451))</f>
        <v/>
      </c>
      <c r="B451" s="29" t="inlineStr">
        <is>
          <t>Hippowdon</t>
        </is>
      </c>
      <c r="C451" s="29" t="inlineStr">
        <is>
          <t>カバルドン</t>
        </is>
      </c>
      <c r="D451" s="29" t="inlineStr">
        <is>
          <t>Hippodocus</t>
        </is>
      </c>
      <c r="E451" s="29" t="inlineStr">
        <is>
          <t>Hippoterus</t>
        </is>
      </c>
      <c r="F451" s="29">
        <f>B451</f>
        <v/>
      </c>
      <c r="G451" s="29">
        <f>B451</f>
        <v/>
      </c>
      <c r="H451" s="29" t="inlineStr">
        <is>
          <t>하마돈</t>
        </is>
      </c>
      <c r="I451" s="29" t="inlineStr">
        <is>
          <t>河馬獸</t>
        </is>
      </c>
      <c r="J451" s="29">
        <f>IFERROR(__xludf.DUMMYFUNCTION("GOOGLETRANSLATE(I451,""zh_HANT"",""zh_HANS"")"),"河马兽")</f>
        <v/>
      </c>
      <c r="K451" s="29">
        <f>F451</f>
        <v/>
      </c>
    </row>
    <row r="452">
      <c r="A452" s="29">
        <f>CONCATENATE("NAME_PkMn_", UPPER(B452))</f>
        <v/>
      </c>
      <c r="B452" s="29" t="inlineStr">
        <is>
          <t>Skorupi</t>
        </is>
      </c>
      <c r="C452" s="29" t="inlineStr">
        <is>
          <t>スコルピ</t>
        </is>
      </c>
      <c r="D452" s="29" t="inlineStr">
        <is>
          <t>Rapion</t>
        </is>
      </c>
      <c r="E452" s="29" t="inlineStr">
        <is>
          <t>Pionskora</t>
        </is>
      </c>
      <c r="F452" s="29">
        <f>B452</f>
        <v/>
      </c>
      <c r="G452" s="29">
        <f>B452</f>
        <v/>
      </c>
      <c r="H452" s="29" t="inlineStr">
        <is>
          <t>스콜피</t>
        </is>
      </c>
      <c r="I452" s="29" t="inlineStr">
        <is>
          <t>鉗尾蠍</t>
        </is>
      </c>
      <c r="J452" s="29">
        <f>IFERROR(__xludf.DUMMYFUNCTION("GOOGLETRANSLATE(I452,""zh_HANT"",""zh_HANS"")"),"钳尾蝎")</f>
        <v/>
      </c>
      <c r="K452" s="29">
        <f>F452</f>
        <v/>
      </c>
    </row>
    <row r="453">
      <c r="A453" s="29">
        <f>CONCATENATE("NAME_PkMn_", UPPER(B453))</f>
        <v/>
      </c>
      <c r="B453" s="29" t="inlineStr">
        <is>
          <t>Drapion</t>
        </is>
      </c>
      <c r="C453" s="29" t="inlineStr">
        <is>
          <t>ドラピオン</t>
        </is>
      </c>
      <c r="D453" s="29" t="inlineStr">
        <is>
          <t>Drascore</t>
        </is>
      </c>
      <c r="E453" s="29" t="inlineStr">
        <is>
          <t>Piondragi</t>
        </is>
      </c>
      <c r="F453" s="29">
        <f>B453</f>
        <v/>
      </c>
      <c r="G453" s="29">
        <f>B453</f>
        <v/>
      </c>
      <c r="H453" s="29" t="inlineStr">
        <is>
          <t>드래피온</t>
        </is>
      </c>
      <c r="I453" s="29" t="inlineStr">
        <is>
          <t>龍王蠍</t>
        </is>
      </c>
      <c r="J453" s="29">
        <f>IFERROR(__xludf.DUMMYFUNCTION("GOOGLETRANSLATE(I453,""zh_HANT"",""zh_HANS"")"),"龙王蝎")</f>
        <v/>
      </c>
      <c r="K453" s="29">
        <f>F453</f>
        <v/>
      </c>
    </row>
    <row r="454">
      <c r="A454" s="29">
        <f>CONCATENATE("NAME_PkMn_", UPPER(B454))</f>
        <v/>
      </c>
      <c r="B454" s="29" t="inlineStr">
        <is>
          <t>Croagunk</t>
        </is>
      </c>
      <c r="C454" s="29" t="inlineStr">
        <is>
          <t>グレッグル</t>
        </is>
      </c>
      <c r="D454" s="29" t="inlineStr">
        <is>
          <t>Cradopaud</t>
        </is>
      </c>
      <c r="E454" s="29" t="inlineStr">
        <is>
          <t>Glibunkel</t>
        </is>
      </c>
      <c r="F454" s="29">
        <f>B454</f>
        <v/>
      </c>
      <c r="G454" s="29">
        <f>B454</f>
        <v/>
      </c>
      <c r="H454" s="29" t="inlineStr">
        <is>
          <t>삐딱구리</t>
        </is>
      </c>
      <c r="I454" s="29" t="inlineStr">
        <is>
          <t>不良蛙</t>
        </is>
      </c>
      <c r="J454" s="29">
        <f>I454</f>
        <v/>
      </c>
      <c r="K454" s="29">
        <f>F454</f>
        <v/>
      </c>
    </row>
    <row r="455">
      <c r="A455" s="29">
        <f>CONCATENATE("NAME_PkMn_", UPPER(B455))</f>
        <v/>
      </c>
      <c r="B455" s="29" t="inlineStr">
        <is>
          <t>Toxicroak</t>
        </is>
      </c>
      <c r="C455" s="29" t="inlineStr">
        <is>
          <t>ドクロッグ</t>
        </is>
      </c>
      <c r="D455" s="29" t="inlineStr">
        <is>
          <t>Coatox</t>
        </is>
      </c>
      <c r="E455" s="29" t="inlineStr">
        <is>
          <t>Toxiquak</t>
        </is>
      </c>
      <c r="F455" s="29">
        <f>B455</f>
        <v/>
      </c>
      <c r="G455" s="29">
        <f>B455</f>
        <v/>
      </c>
      <c r="H455" s="29" t="inlineStr">
        <is>
          <t>독개굴</t>
        </is>
      </c>
      <c r="I455" s="29" t="inlineStr">
        <is>
          <t>毒骷蛙</t>
        </is>
      </c>
      <c r="J455" s="29">
        <f>I455</f>
        <v/>
      </c>
      <c r="K455" s="29">
        <f>F455</f>
        <v/>
      </c>
    </row>
    <row r="456">
      <c r="A456" s="29">
        <f>CONCATENATE("NAME_PkMn_", UPPER(B456))</f>
        <v/>
      </c>
      <c r="B456" s="29" t="inlineStr">
        <is>
          <t>Carnivine</t>
        </is>
      </c>
      <c r="C456" s="29" t="inlineStr">
        <is>
          <t>マスキッパ</t>
        </is>
      </c>
      <c r="D456" s="29" t="inlineStr">
        <is>
          <t>Vortente</t>
        </is>
      </c>
      <c r="E456" s="29" t="inlineStr">
        <is>
          <t>Venuflibis</t>
        </is>
      </c>
      <c r="F456" s="29">
        <f>B456</f>
        <v/>
      </c>
      <c r="G456" s="29">
        <f>B456</f>
        <v/>
      </c>
      <c r="H456" s="29" t="inlineStr">
        <is>
          <t>무스틈니</t>
        </is>
      </c>
      <c r="I456" s="29" t="inlineStr">
        <is>
          <t>尖牙籠</t>
        </is>
      </c>
      <c r="J456" s="29">
        <f>IFERROR(__xludf.DUMMYFUNCTION("GOOGLETRANSLATE(I456,""zh_HANT"",""zh_HANS"")"),"尖牙笼")</f>
        <v/>
      </c>
      <c r="K456" s="29">
        <f>F456</f>
        <v/>
      </c>
    </row>
    <row r="457">
      <c r="A457" s="29">
        <f>CONCATENATE("NAME_PkMn_", UPPER(B457))</f>
        <v/>
      </c>
      <c r="B457" s="29" t="inlineStr">
        <is>
          <t>Finneon</t>
        </is>
      </c>
      <c r="C457" s="29" t="inlineStr">
        <is>
          <t>ケイコウオ</t>
        </is>
      </c>
      <c r="D457" s="29" t="inlineStr">
        <is>
          <t>Écayon</t>
        </is>
      </c>
      <c r="E457" s="29">
        <f>B457</f>
        <v/>
      </c>
      <c r="F457" s="29">
        <f>B457</f>
        <v/>
      </c>
      <c r="G457" s="29">
        <f>B457</f>
        <v/>
      </c>
      <c r="H457" s="29" t="inlineStr">
        <is>
          <t>형광어</t>
        </is>
      </c>
      <c r="I457" s="29" t="inlineStr">
        <is>
          <t>螢光魚</t>
        </is>
      </c>
      <c r="J457" s="29">
        <f>IFERROR(__xludf.DUMMYFUNCTION("GOOGLETRANSLATE(I457,""zh_HANT"",""zh_HANS"")"),"萤光鱼")</f>
        <v/>
      </c>
      <c r="K457" s="29">
        <f>F457</f>
        <v/>
      </c>
    </row>
    <row r="458">
      <c r="A458" s="29">
        <f>CONCATENATE("NAME_PkMn_", UPPER(B458))</f>
        <v/>
      </c>
      <c r="B458" s="29" t="inlineStr">
        <is>
          <t>Lumineon</t>
        </is>
      </c>
      <c r="C458" s="29" t="inlineStr">
        <is>
          <t>ネオラント</t>
        </is>
      </c>
      <c r="D458" s="29" t="inlineStr">
        <is>
          <t>Luminéon</t>
        </is>
      </c>
      <c r="E458" s="29">
        <f>B458</f>
        <v/>
      </c>
      <c r="F458" s="29">
        <f>B458</f>
        <v/>
      </c>
      <c r="G458" s="29">
        <f>B458</f>
        <v/>
      </c>
      <c r="H458" s="29" t="inlineStr">
        <is>
          <t>네오라이트</t>
        </is>
      </c>
      <c r="I458" s="29" t="inlineStr">
        <is>
          <t>霓虹魚</t>
        </is>
      </c>
      <c r="J458" s="29">
        <f>IFERROR(__xludf.DUMMYFUNCTION("GOOGLETRANSLATE(I458,""zh_HANT"",""zh_HANS"")"),"霓虹鱼")</f>
        <v/>
      </c>
      <c r="K458" s="29">
        <f>F458</f>
        <v/>
      </c>
    </row>
    <row r="459">
      <c r="A459" s="29">
        <f>CONCATENATE("NAME_PkMn_", UPPER(B459))</f>
        <v/>
      </c>
      <c r="B459" s="29" t="inlineStr">
        <is>
          <t>Mantyke</t>
        </is>
      </c>
      <c r="C459" s="29" t="inlineStr">
        <is>
          <t>タマンタ</t>
        </is>
      </c>
      <c r="D459" s="29" t="inlineStr">
        <is>
          <t>Babimanta</t>
        </is>
      </c>
      <c r="E459" s="29" t="inlineStr">
        <is>
          <t>Mantirps</t>
        </is>
      </c>
      <c r="F459" s="29">
        <f>B459</f>
        <v/>
      </c>
      <c r="G459" s="29">
        <f>B459</f>
        <v/>
      </c>
      <c r="H459" s="29" t="inlineStr">
        <is>
          <t>타만타</t>
        </is>
      </c>
      <c r="I459" s="29" t="inlineStr">
        <is>
          <t>小球飛魚</t>
        </is>
      </c>
      <c r="J459" s="29">
        <f>IFERROR(__xludf.DUMMYFUNCTION("GOOGLETRANSLATE(I459,""zh_HANT"",""zh_HANS"")"),"小球飞鱼")</f>
        <v/>
      </c>
      <c r="K459" s="29">
        <f>F459</f>
        <v/>
      </c>
    </row>
    <row r="460">
      <c r="A460" s="29">
        <f>CONCATENATE("NAME_PkMn_", UPPER(B460))</f>
        <v/>
      </c>
      <c r="B460" s="29" t="inlineStr">
        <is>
          <t>Snover</t>
        </is>
      </c>
      <c r="C460" s="29" t="inlineStr">
        <is>
          <t>ユキカブリ</t>
        </is>
      </c>
      <c r="D460" s="29" t="inlineStr">
        <is>
          <t>Blizzi</t>
        </is>
      </c>
      <c r="E460" s="29" t="inlineStr">
        <is>
          <t>Shnebedeck</t>
        </is>
      </c>
      <c r="F460" s="29">
        <f>B460</f>
        <v/>
      </c>
      <c r="G460" s="29">
        <f>B460</f>
        <v/>
      </c>
      <c r="H460" s="29" t="inlineStr">
        <is>
          <t>눈쓰개</t>
        </is>
      </c>
      <c r="I460" s="29" t="inlineStr">
        <is>
          <t>雪笠怪</t>
        </is>
      </c>
      <c r="J460" s="29">
        <f>I460</f>
        <v/>
      </c>
      <c r="K460" s="29">
        <f>F460</f>
        <v/>
      </c>
    </row>
    <row r="461">
      <c r="A461" s="29">
        <f>CONCATENATE("NAME_PkMn_", UPPER(B461))</f>
        <v/>
      </c>
      <c r="B461" s="29" t="inlineStr">
        <is>
          <t>Abomasnow</t>
        </is>
      </c>
      <c r="C461" s="29" t="inlineStr">
        <is>
          <t>ユキノオー</t>
        </is>
      </c>
      <c r="D461" s="29" t="inlineStr">
        <is>
          <t>Blizzaroi</t>
        </is>
      </c>
      <c r="E461" s="29" t="inlineStr">
        <is>
          <t>Rexblisar</t>
        </is>
      </c>
      <c r="F461" s="29">
        <f>B461</f>
        <v/>
      </c>
      <c r="G461" s="29">
        <f>B461</f>
        <v/>
      </c>
      <c r="H461" s="29" t="inlineStr">
        <is>
          <t>눈설왕</t>
        </is>
      </c>
      <c r="I461" s="29">
        <f>IFERROR(__xludf.DUMMYFUNCTION("GOOGLETRANSLATE(J461,""zh_HANS"",""zh_HANT"")"),"暴雪王")</f>
        <v/>
      </c>
      <c r="J461" s="29" t="inlineStr">
        <is>
          <t>暴雪王</t>
        </is>
      </c>
      <c r="K461" s="29">
        <f>F461</f>
        <v/>
      </c>
    </row>
    <row r="462">
      <c r="A462" s="29">
        <f>CONCATENATE("NAME_PkMn_", UPPER(B462))</f>
        <v/>
      </c>
      <c r="B462" s="29" t="inlineStr">
        <is>
          <t>Weavile</t>
        </is>
      </c>
      <c r="C462" s="29" t="inlineStr">
        <is>
          <t>マニューラ</t>
        </is>
      </c>
      <c r="D462" s="29" t="inlineStr">
        <is>
          <t>Dimoret</t>
        </is>
      </c>
      <c r="E462" s="29" t="inlineStr">
        <is>
          <t>Snibunna</t>
        </is>
      </c>
      <c r="F462" s="29">
        <f>B462</f>
        <v/>
      </c>
      <c r="G462" s="29">
        <f>B462</f>
        <v/>
      </c>
      <c r="H462" s="29" t="inlineStr">
        <is>
          <t>포푸니라</t>
        </is>
      </c>
      <c r="I462" s="29" t="inlineStr">
        <is>
          <t>瑪狃拉</t>
        </is>
      </c>
      <c r="J462" s="29">
        <f>IFERROR(__xludf.DUMMYFUNCTION("GOOGLETRANSLATE(I462,""zh_HANT"",""zh_HANS"")"),"玛狃拉")</f>
        <v/>
      </c>
      <c r="K462" s="29">
        <f>F462</f>
        <v/>
      </c>
    </row>
    <row r="463">
      <c r="A463" s="29">
        <f>CONCATENATE("NAME_PkMn_", UPPER(B463))</f>
        <v/>
      </c>
      <c r="B463" s="29" t="inlineStr">
        <is>
          <t>Magnezone</t>
        </is>
      </c>
      <c r="C463" s="29" t="inlineStr">
        <is>
          <t>ジバコイル</t>
        </is>
      </c>
      <c r="D463" s="29" t="inlineStr">
        <is>
          <t>Magnézone</t>
        </is>
      </c>
      <c r="E463" s="29">
        <f>B463</f>
        <v/>
      </c>
      <c r="F463" s="29">
        <f>B463</f>
        <v/>
      </c>
      <c r="G463" s="29">
        <f>B463</f>
        <v/>
      </c>
      <c r="H463" s="29" t="inlineStr">
        <is>
          <t>자포코일</t>
        </is>
      </c>
      <c r="I463" s="29" t="inlineStr">
        <is>
          <t>自爆磁怪</t>
        </is>
      </c>
      <c r="J463" s="29">
        <f>I463</f>
        <v/>
      </c>
      <c r="K463" s="29">
        <f>F463</f>
        <v/>
      </c>
    </row>
    <row r="464">
      <c r="A464" s="29">
        <f>CONCATENATE("NAME_PkMn_", UPPER(B464))</f>
        <v/>
      </c>
      <c r="B464" s="29" t="inlineStr">
        <is>
          <t>Lickilicky</t>
        </is>
      </c>
      <c r="C464" s="29" t="inlineStr">
        <is>
          <t>ベロベルト</t>
        </is>
      </c>
      <c r="D464" s="29" t="inlineStr">
        <is>
          <t>Coudlangue</t>
        </is>
      </c>
      <c r="E464" s="29" t="inlineStr">
        <is>
          <t>Schlurplek</t>
        </is>
      </c>
      <c r="F464" s="29">
        <f>B464</f>
        <v/>
      </c>
      <c r="G464" s="29">
        <f>B464</f>
        <v/>
      </c>
      <c r="H464" s="29" t="inlineStr">
        <is>
          <t>내룸벨트</t>
        </is>
      </c>
      <c r="I464" s="29" t="inlineStr">
        <is>
          <t>大舌舔</t>
        </is>
      </c>
      <c r="J464" s="29">
        <f>I464</f>
        <v/>
      </c>
      <c r="K464" s="29">
        <f>F464</f>
        <v/>
      </c>
    </row>
    <row r="465">
      <c r="A465" s="29">
        <f>CONCATENATE("NAME_PkMn_", UPPER(B465))</f>
        <v/>
      </c>
      <c r="B465" s="29" t="inlineStr">
        <is>
          <t>Rhyperior</t>
        </is>
      </c>
      <c r="C465" s="29" t="inlineStr">
        <is>
          <t>ドサイドン</t>
        </is>
      </c>
      <c r="D465" s="29" t="inlineStr">
        <is>
          <t>Rhinastoc</t>
        </is>
      </c>
      <c r="E465" s="29" t="inlineStr">
        <is>
          <t>Rihornior</t>
        </is>
      </c>
      <c r="F465" s="29">
        <f>B465</f>
        <v/>
      </c>
      <c r="G465" s="29">
        <f>B465</f>
        <v/>
      </c>
      <c r="H465" s="29" t="inlineStr">
        <is>
          <t>거대코뿌리</t>
        </is>
      </c>
      <c r="I465" s="29" t="inlineStr">
        <is>
          <t>超甲狂犀</t>
        </is>
      </c>
      <c r="J465" s="29">
        <f>I465</f>
        <v/>
      </c>
      <c r="K465" s="29">
        <f>F465</f>
        <v/>
      </c>
    </row>
    <row r="466">
      <c r="A466" s="29">
        <f>CONCATENATE("NAME_PkMn_", UPPER(B466))</f>
        <v/>
      </c>
      <c r="B466" s="29" t="inlineStr">
        <is>
          <t>Tangrowth</t>
        </is>
      </c>
      <c r="C466" s="29" t="inlineStr">
        <is>
          <t>モジャンボ</t>
        </is>
      </c>
      <c r="D466" s="29" t="inlineStr">
        <is>
          <t>Bouldeneu</t>
        </is>
      </c>
      <c r="E466" s="29" t="inlineStr">
        <is>
          <t>Tangoloss</t>
        </is>
      </c>
      <c r="F466" s="29">
        <f>B466</f>
        <v/>
      </c>
      <c r="G466" s="29">
        <f>B466</f>
        <v/>
      </c>
      <c r="H466" s="29" t="inlineStr">
        <is>
          <t>덩쿠림보</t>
        </is>
      </c>
      <c r="I466" s="29" t="inlineStr">
        <is>
          <t>巨蔓藤</t>
        </is>
      </c>
      <c r="J466" s="29">
        <f>I466</f>
        <v/>
      </c>
      <c r="K466" s="29">
        <f>F466</f>
        <v/>
      </c>
    </row>
    <row r="467">
      <c r="A467" s="29">
        <f>CONCATENATE("NAME_PkMn_", UPPER(B467))</f>
        <v/>
      </c>
      <c r="B467" s="29" t="inlineStr">
        <is>
          <t>Electivire</t>
        </is>
      </c>
      <c r="C467" s="29" t="inlineStr">
        <is>
          <t>エレキブル</t>
        </is>
      </c>
      <c r="D467" s="29" t="inlineStr">
        <is>
          <t>Élékable</t>
        </is>
      </c>
      <c r="E467" s="29" t="inlineStr">
        <is>
          <t>Elevoltek</t>
        </is>
      </c>
      <c r="F467" s="29">
        <f>B467</f>
        <v/>
      </c>
      <c r="G467" s="29">
        <f>B467</f>
        <v/>
      </c>
      <c r="H467" s="29" t="inlineStr">
        <is>
          <t>에레키블</t>
        </is>
      </c>
      <c r="I467" s="29" t="inlineStr">
        <is>
          <t>電擊魔獸</t>
        </is>
      </c>
      <c r="J467" s="29">
        <f>IFERROR(__xludf.DUMMYFUNCTION("GOOGLETRANSLATE(I467,""zh_HANT"",""zh_HANS"")"),"电击魔兽")</f>
        <v/>
      </c>
      <c r="K467" s="29">
        <f>F467</f>
        <v/>
      </c>
    </row>
    <row r="468">
      <c r="A468" s="29">
        <f>CONCATENATE("NAME_PkMn_", UPPER(B468))</f>
        <v/>
      </c>
      <c r="B468" s="29" t="inlineStr">
        <is>
          <t>Magmortar</t>
        </is>
      </c>
      <c r="C468" s="29" t="inlineStr">
        <is>
          <t>ブーバーン</t>
        </is>
      </c>
      <c r="D468" s="29" t="inlineStr">
        <is>
          <t>Maganon</t>
        </is>
      </c>
      <c r="E468" s="29" t="inlineStr">
        <is>
          <t>Magbrant</t>
        </is>
      </c>
      <c r="F468" s="29">
        <f>B468</f>
        <v/>
      </c>
      <c r="G468" s="29">
        <f>B468</f>
        <v/>
      </c>
      <c r="H468" s="29" t="inlineStr">
        <is>
          <t>마그마번</t>
        </is>
      </c>
      <c r="I468" s="29" t="inlineStr">
        <is>
          <t>鴨嘴炎獸</t>
        </is>
      </c>
      <c r="J468" s="29">
        <f>IFERROR(__xludf.DUMMYFUNCTION("GOOGLETRANSLATE(I468,""zh_HANT"",""zh_HANS"")"),"鸭嘴炎兽")</f>
        <v/>
      </c>
      <c r="K468" s="29">
        <f>F468</f>
        <v/>
      </c>
    </row>
    <row r="469">
      <c r="A469" s="29">
        <f>CONCATENATE("NAME_PkMn_", UPPER(B469))</f>
        <v/>
      </c>
      <c r="B469" s="29" t="inlineStr">
        <is>
          <t>Togekiss</t>
        </is>
      </c>
      <c r="C469" s="29" t="inlineStr">
        <is>
          <t>トゲキッス</t>
        </is>
      </c>
      <c r="D469" s="29">
        <f>B469</f>
        <v/>
      </c>
      <c r="E469" s="29">
        <f>B469</f>
        <v/>
      </c>
      <c r="F469" s="29">
        <f>B469</f>
        <v/>
      </c>
      <c r="G469" s="29">
        <f>B469</f>
        <v/>
      </c>
      <c r="H469" s="29" t="inlineStr">
        <is>
          <t>토게키스</t>
        </is>
      </c>
      <c r="I469" s="29" t="inlineStr">
        <is>
          <t>波克基斯</t>
        </is>
      </c>
      <c r="J469" s="29">
        <f>I469</f>
        <v/>
      </c>
      <c r="K469" s="29">
        <f>F469</f>
        <v/>
      </c>
    </row>
    <row r="470">
      <c r="A470" s="29">
        <f>CONCATENATE("NAME_PkMn_", UPPER(B470))</f>
        <v/>
      </c>
      <c r="B470" s="29" t="inlineStr">
        <is>
          <t>Yanmega</t>
        </is>
      </c>
      <c r="C470" s="29" t="inlineStr">
        <is>
          <t>メガヤンマ</t>
        </is>
      </c>
      <c r="D470" s="29">
        <f>B470</f>
        <v/>
      </c>
      <c r="E470" s="29">
        <f>B470</f>
        <v/>
      </c>
      <c r="F470" s="29">
        <f>B470</f>
        <v/>
      </c>
      <c r="G470" s="29">
        <f>B470</f>
        <v/>
      </c>
      <c r="H470" s="29" t="inlineStr">
        <is>
          <t>메가자리</t>
        </is>
      </c>
      <c r="I470" s="29" t="inlineStr">
        <is>
          <t>遠古巨蜓</t>
        </is>
      </c>
      <c r="J470" s="29">
        <f>IFERROR(__xludf.DUMMYFUNCTION("GOOGLETRANSLATE(I470,""zh_HANT"",""zh_HANS"")"),"远古巨蜓")</f>
        <v/>
      </c>
      <c r="K470" s="29">
        <f>F470</f>
        <v/>
      </c>
    </row>
    <row r="471">
      <c r="A471" s="29">
        <f>CONCATENATE("NAME_PkMn_", UPPER(B471))</f>
        <v/>
      </c>
      <c r="B471" s="29" t="inlineStr">
        <is>
          <t>Leafeon</t>
        </is>
      </c>
      <c r="C471" s="29" t="inlineStr">
        <is>
          <t>リーフィア</t>
        </is>
      </c>
      <c r="D471" s="29" t="inlineStr">
        <is>
          <t>Phyllali</t>
        </is>
      </c>
      <c r="E471" s="29" t="inlineStr">
        <is>
          <t>Folipurba</t>
        </is>
      </c>
      <c r="F471" s="29">
        <f>B471</f>
        <v/>
      </c>
      <c r="G471" s="29">
        <f>B471</f>
        <v/>
      </c>
      <c r="H471" s="29" t="inlineStr">
        <is>
          <t>리피아</t>
        </is>
      </c>
      <c r="I471" s="29" t="inlineStr">
        <is>
          <t>葉伊布</t>
        </is>
      </c>
      <c r="J471" s="29">
        <f>IFERROR(__xludf.DUMMYFUNCTION("GOOGLETRANSLATE(I471,""zh_HANT"",""zh_HANS"")"),"叶伊布")</f>
        <v/>
      </c>
      <c r="K471" s="29">
        <f>F471</f>
        <v/>
      </c>
    </row>
    <row r="472">
      <c r="A472" s="29">
        <f>CONCATENATE("NAME_PkMn_", UPPER(B472))</f>
        <v/>
      </c>
      <c r="B472" s="29" t="inlineStr">
        <is>
          <t>Glaceon</t>
        </is>
      </c>
      <c r="C472" s="29" t="inlineStr">
        <is>
          <t>グレイシア</t>
        </is>
      </c>
      <c r="D472" s="29" t="inlineStr">
        <is>
          <t>Givrali</t>
        </is>
      </c>
      <c r="E472" s="29" t="inlineStr">
        <is>
          <t>Glaziola</t>
        </is>
      </c>
      <c r="F472" s="29">
        <f>B472</f>
        <v/>
      </c>
      <c r="G472" s="29">
        <f>B472</f>
        <v/>
      </c>
      <c r="H472" s="29" t="inlineStr">
        <is>
          <t>글레이시아</t>
        </is>
      </c>
      <c r="I472" s="29" t="inlineStr">
        <is>
          <t>冰伊布</t>
        </is>
      </c>
      <c r="J472" s="29">
        <f>IFERROR(__xludf.DUMMYFUNCTION("GOOGLETRANSLATE(I472,""zh_HANT"",""zh_HANS"")"),"冰伊布")</f>
        <v/>
      </c>
      <c r="K472" s="29">
        <f>F472</f>
        <v/>
      </c>
    </row>
    <row r="473">
      <c r="A473" s="29">
        <f>CONCATENATE("NAME_PkMn_", UPPER(B473))</f>
        <v/>
      </c>
      <c r="B473" s="29" t="inlineStr">
        <is>
          <t>Gliscor</t>
        </is>
      </c>
      <c r="C473" s="29" t="inlineStr">
        <is>
          <t>グライオン</t>
        </is>
      </c>
      <c r="D473" s="29" t="inlineStr">
        <is>
          <t>Scorvol</t>
        </is>
      </c>
      <c r="E473" s="29" t="inlineStr">
        <is>
          <t>Skorgro</t>
        </is>
      </c>
      <c r="F473" s="29">
        <f>B473</f>
        <v/>
      </c>
      <c r="G473" s="29">
        <f>B473</f>
        <v/>
      </c>
      <c r="H473" s="29" t="inlineStr">
        <is>
          <t>글라이온</t>
        </is>
      </c>
      <c r="I473" s="29" t="inlineStr">
        <is>
          <t>天蠍王</t>
        </is>
      </c>
      <c r="J473" s="29">
        <f>IFERROR(__xludf.DUMMYFUNCTION("GOOGLETRANSLATE(I473,""zh_HANT"",""zh_HANS"")"),"天蝎王")</f>
        <v/>
      </c>
      <c r="K473" s="29">
        <f>F473</f>
        <v/>
      </c>
    </row>
    <row r="474">
      <c r="A474" s="29">
        <f>CONCATENATE("NAME_PkMn_", UPPER(B474))</f>
        <v/>
      </c>
      <c r="B474" s="29" t="inlineStr">
        <is>
          <t>Mamoswine</t>
        </is>
      </c>
      <c r="C474" s="29" t="inlineStr">
        <is>
          <t>マンムー</t>
        </is>
      </c>
      <c r="D474" s="29" t="inlineStr">
        <is>
          <t>Mammochon</t>
        </is>
      </c>
      <c r="E474" s="29" t="inlineStr">
        <is>
          <t>Mamutel</t>
        </is>
      </c>
      <c r="F474" s="29">
        <f>B474</f>
        <v/>
      </c>
      <c r="G474" s="29">
        <f>B474</f>
        <v/>
      </c>
      <c r="H474" s="29" t="inlineStr">
        <is>
          <t>맘모꾸리</t>
        </is>
      </c>
      <c r="I474" s="29" t="inlineStr">
        <is>
          <t>象牙豬</t>
        </is>
      </c>
      <c r="J474" s="29">
        <f>IFERROR(__xludf.DUMMYFUNCTION("GOOGLETRANSLATE(I474,""zh_HANT"",""zh_HANS"")"),"象牙猪")</f>
        <v/>
      </c>
      <c r="K474" s="29">
        <f>F474</f>
        <v/>
      </c>
    </row>
    <row r="475">
      <c r="A475" s="29" t="inlineStr">
        <is>
          <t>NAME_PkMn_PORYGONZ</t>
        </is>
      </c>
      <c r="B475" s="29" t="inlineStr">
        <is>
          <t>Porygon-Z</t>
        </is>
      </c>
      <c r="C475" s="29" t="inlineStr">
        <is>
          <t>ポリゴンＺ</t>
        </is>
      </c>
      <c r="D475" s="29">
        <f>B475</f>
        <v/>
      </c>
      <c r="E475" s="29">
        <f>B475</f>
        <v/>
      </c>
      <c r="F475" s="29">
        <f>B475</f>
        <v/>
      </c>
      <c r="G475" s="29">
        <f>B475</f>
        <v/>
      </c>
      <c r="H475" s="29">
        <f>CONCATENATE(H138,"Ｚ")</f>
        <v/>
      </c>
      <c r="I475" s="29">
        <f>CONCATENATE(I138,"Ｚ")</f>
        <v/>
      </c>
      <c r="J475" s="29" t="inlineStr">
        <is>
          <t>多边兽乙型</t>
        </is>
      </c>
      <c r="K475" s="29">
        <f>F475</f>
        <v/>
      </c>
    </row>
    <row r="476">
      <c r="A476" s="29">
        <f>CONCATENATE("NAME_PkMn_", UPPER(B476))</f>
        <v/>
      </c>
      <c r="B476" s="29" t="inlineStr">
        <is>
          <t>Gallade</t>
        </is>
      </c>
      <c r="C476" s="29" t="inlineStr">
        <is>
          <t>エルレイド</t>
        </is>
      </c>
      <c r="D476" s="29" t="inlineStr">
        <is>
          <t>Gallame</t>
        </is>
      </c>
      <c r="E476" s="29" t="inlineStr">
        <is>
          <t>Galagladi</t>
        </is>
      </c>
      <c r="F476" s="29">
        <f>B476</f>
        <v/>
      </c>
      <c r="G476" s="29">
        <f>B476</f>
        <v/>
      </c>
      <c r="H476" s="29" t="inlineStr">
        <is>
          <t>엘레이드</t>
        </is>
      </c>
      <c r="I476" s="29">
        <f>J476</f>
        <v/>
      </c>
      <c r="J476" s="29" t="inlineStr">
        <is>
          <t>艾路雷朵</t>
        </is>
      </c>
      <c r="K476" s="29">
        <f>F476</f>
        <v/>
      </c>
    </row>
    <row r="477">
      <c r="A477" s="29">
        <f>CONCATENATE("NAME_PkMn_", UPPER(B477))</f>
        <v/>
      </c>
      <c r="B477" s="29" t="inlineStr">
        <is>
          <t>Probopass</t>
        </is>
      </c>
      <c r="C477" s="29" t="inlineStr">
        <is>
          <t>ダイノーズ</t>
        </is>
      </c>
      <c r="D477" s="29" t="inlineStr">
        <is>
          <t>Tarinorme</t>
        </is>
      </c>
      <c r="E477" s="29" t="inlineStr">
        <is>
          <t>Voluminas</t>
        </is>
      </c>
      <c r="F477" s="29">
        <f>B477</f>
        <v/>
      </c>
      <c r="G477" s="29">
        <f>B477</f>
        <v/>
      </c>
      <c r="H477" s="29" t="inlineStr">
        <is>
          <t>대코파스</t>
        </is>
      </c>
      <c r="I477" s="29" t="inlineStr">
        <is>
          <t>大朝北鼻</t>
        </is>
      </c>
      <c r="J477" s="29">
        <f>I477</f>
        <v/>
      </c>
      <c r="K477" s="29">
        <f>F477</f>
        <v/>
      </c>
    </row>
    <row r="478">
      <c r="A478" s="29">
        <f>CONCATENATE("NAME_PkMn_", UPPER(B478))</f>
        <v/>
      </c>
      <c r="B478" s="29" t="inlineStr">
        <is>
          <t>Dusknoir</t>
        </is>
      </c>
      <c r="C478" s="29" t="inlineStr">
        <is>
          <t>ヨノワール</t>
        </is>
      </c>
      <c r="D478" s="29" t="inlineStr">
        <is>
          <t>Noctunoir</t>
        </is>
      </c>
      <c r="E478" s="29" t="inlineStr">
        <is>
          <t>Zwirrfinst</t>
        </is>
      </c>
      <c r="F478" s="29">
        <f>B478</f>
        <v/>
      </c>
      <c r="G478" s="29">
        <f>B478</f>
        <v/>
      </c>
      <c r="H478" s="29" t="inlineStr">
        <is>
          <t>야느와르몽</t>
        </is>
      </c>
      <c r="I478" s="29" t="inlineStr">
        <is>
          <t>黑夜魔靈</t>
        </is>
      </c>
      <c r="J478" s="29">
        <f>IFERROR(__xludf.DUMMYFUNCTION("GOOGLETRANSLATE(I478,""zh_HANT"",""zh_HANS"")"),"黑夜魔灵")</f>
        <v/>
      </c>
      <c r="K478" s="29">
        <f>F478</f>
        <v/>
      </c>
    </row>
    <row r="479">
      <c r="A479" s="29">
        <f>CONCATENATE("NAME_PkMn_", UPPER(B479))</f>
        <v/>
      </c>
      <c r="B479" s="29" t="inlineStr">
        <is>
          <t>Froslass</t>
        </is>
      </c>
      <c r="C479" s="29" t="inlineStr">
        <is>
          <t>ユキメノコ</t>
        </is>
      </c>
      <c r="D479" s="29" t="inlineStr">
        <is>
          <t>Momartik</t>
        </is>
      </c>
      <c r="E479" s="29" t="inlineStr">
        <is>
          <t>Frosdedje</t>
        </is>
      </c>
      <c r="F479" s="29">
        <f>B479</f>
        <v/>
      </c>
      <c r="G479" s="29">
        <f>B479</f>
        <v/>
      </c>
      <c r="H479" s="29" t="inlineStr">
        <is>
          <t>눈여아</t>
        </is>
      </c>
      <c r="I479" s="29" t="inlineStr">
        <is>
          <t>雪妖女</t>
        </is>
      </c>
      <c r="J479" s="29">
        <f>I479</f>
        <v/>
      </c>
      <c r="K479" s="29">
        <f>F479</f>
        <v/>
      </c>
    </row>
    <row r="480">
      <c r="A480" s="29">
        <f>CONCATENATE("NAME_PkMn_", UPPER(B480))</f>
        <v/>
      </c>
      <c r="B480" s="29" t="inlineStr">
        <is>
          <t>Rotom</t>
        </is>
      </c>
      <c r="C480" s="29" t="inlineStr">
        <is>
          <t>ロトム</t>
        </is>
      </c>
      <c r="D480" s="29" t="inlineStr">
        <is>
          <t>Motisma</t>
        </is>
      </c>
      <c r="E480" s="29">
        <f>B480</f>
        <v/>
      </c>
      <c r="F480" s="29">
        <f>B480</f>
        <v/>
      </c>
      <c r="G480" s="29">
        <f>B480</f>
        <v/>
      </c>
      <c r="H480" s="29" t="inlineStr">
        <is>
          <t>로토무</t>
        </is>
      </c>
      <c r="I480" s="29" t="inlineStr">
        <is>
          <t>洛托姆</t>
        </is>
      </c>
      <c r="J480" s="29">
        <f>I480</f>
        <v/>
      </c>
      <c r="K480" s="29">
        <f>F480</f>
        <v/>
      </c>
    </row>
    <row r="481">
      <c r="A481" s="29">
        <f>CONCATENATE("NAME_PkMn_", UPPER(B481))</f>
        <v/>
      </c>
      <c r="B481" s="29" t="inlineStr">
        <is>
          <t>Uxie</t>
        </is>
      </c>
      <c r="C481" s="29" t="inlineStr">
        <is>
          <t>ユクシー</t>
        </is>
      </c>
      <c r="D481" s="29" t="inlineStr">
        <is>
          <t>Créhelf</t>
        </is>
      </c>
      <c r="E481" s="29" t="inlineStr">
        <is>
          <t>Selfe</t>
        </is>
      </c>
      <c r="F481" s="29">
        <f>B481</f>
        <v/>
      </c>
      <c r="G481" s="29">
        <f>B481</f>
        <v/>
      </c>
      <c r="H481" s="29" t="inlineStr">
        <is>
          <t>유크시</t>
        </is>
      </c>
      <c r="I481" s="29" t="inlineStr">
        <is>
          <t>由克希</t>
        </is>
      </c>
      <c r="J481" s="29">
        <f>I481</f>
        <v/>
      </c>
      <c r="K481" s="29">
        <f>F481</f>
        <v/>
      </c>
    </row>
    <row r="482">
      <c r="A482" s="29">
        <f>CONCATENATE("NAME_PkMn_", UPPER(B482))</f>
        <v/>
      </c>
      <c r="B482" s="29" t="inlineStr">
        <is>
          <t>Mesprit</t>
        </is>
      </c>
      <c r="C482" s="29" t="inlineStr">
        <is>
          <t>エムリット</t>
        </is>
      </c>
      <c r="D482" s="29" t="inlineStr">
        <is>
          <t>Créfollet</t>
        </is>
      </c>
      <c r="E482" s="29" t="inlineStr">
        <is>
          <t>Vesprit</t>
        </is>
      </c>
      <c r="F482" s="29">
        <f>B482</f>
        <v/>
      </c>
      <c r="G482" s="29">
        <f>B482</f>
        <v/>
      </c>
      <c r="H482" s="29" t="inlineStr">
        <is>
          <t>엠라이트</t>
        </is>
      </c>
      <c r="I482" s="29" t="inlineStr">
        <is>
          <t>艾姆利多</t>
        </is>
      </c>
      <c r="J482" s="29">
        <f>I482</f>
        <v/>
      </c>
      <c r="K482" s="29">
        <f>F482</f>
        <v/>
      </c>
    </row>
    <row r="483">
      <c r="A483" s="29">
        <f>CONCATENATE("NAME_PkMn_", UPPER(B483))</f>
        <v/>
      </c>
      <c r="B483" s="29" t="inlineStr">
        <is>
          <t>Azelf</t>
        </is>
      </c>
      <c r="C483" s="29" t="inlineStr">
        <is>
          <t>アグノム</t>
        </is>
      </c>
      <c r="D483" s="29" t="inlineStr">
        <is>
          <t>Créfadet</t>
        </is>
      </c>
      <c r="E483" s="29" t="inlineStr">
        <is>
          <t>Tobutz</t>
        </is>
      </c>
      <c r="F483" s="29">
        <f>B483</f>
        <v/>
      </c>
      <c r="G483" s="29">
        <f>B483</f>
        <v/>
      </c>
      <c r="H483" s="29" t="inlineStr">
        <is>
          <t>아그놈</t>
        </is>
      </c>
      <c r="I483" s="29" t="inlineStr">
        <is>
          <t>亞克諾姆</t>
        </is>
      </c>
      <c r="J483" s="29">
        <f>IFERROR(__xludf.DUMMYFUNCTION("GOOGLETRANSLATE(I483,""zh_HANT"",""zh_HANS"")"),"亚克诺姆")</f>
        <v/>
      </c>
      <c r="K483" s="29">
        <f>F483</f>
        <v/>
      </c>
    </row>
    <row r="484">
      <c r="A484" s="29">
        <f>CONCATENATE("NAME_PkMn_", UPPER(B484))</f>
        <v/>
      </c>
      <c r="B484" s="29" t="inlineStr">
        <is>
          <t>Dialga</t>
        </is>
      </c>
      <c r="C484" s="29" t="inlineStr">
        <is>
          <t>ヂィアルガ</t>
        </is>
      </c>
      <c r="D484" s="29">
        <f>B484</f>
        <v/>
      </c>
      <c r="E484" s="29">
        <f>B484</f>
        <v/>
      </c>
      <c r="F484" s="29">
        <f>B484</f>
        <v/>
      </c>
      <c r="G484" s="29">
        <f>B484</f>
        <v/>
      </c>
      <c r="H484" s="29" t="inlineStr">
        <is>
          <t>디아루가</t>
        </is>
      </c>
      <c r="I484" s="29" t="inlineStr">
        <is>
          <t>帝牙盧卡</t>
        </is>
      </c>
      <c r="J484" s="29">
        <f>IFERROR(__xludf.DUMMYFUNCTION("GOOGLETRANSLATE(I484,""zh_HANT"",""zh_HANS"")"),"帝牙卢卡")</f>
        <v/>
      </c>
      <c r="K484" s="29">
        <f>F484</f>
        <v/>
      </c>
    </row>
    <row r="485">
      <c r="A485" s="29">
        <f>CONCATENATE("NAME_PkMn_", UPPER(B485))</f>
        <v/>
      </c>
      <c r="B485" s="29" t="inlineStr">
        <is>
          <t>Palkia</t>
        </is>
      </c>
      <c r="C485" s="29" t="inlineStr">
        <is>
          <t>パルキア</t>
        </is>
      </c>
      <c r="D485" s="29">
        <f>B485</f>
        <v/>
      </c>
      <c r="E485" s="29">
        <f>B485</f>
        <v/>
      </c>
      <c r="F485" s="29">
        <f>B485</f>
        <v/>
      </c>
      <c r="G485" s="29">
        <f>B485</f>
        <v/>
      </c>
      <c r="H485" s="29" t="inlineStr">
        <is>
          <t>펄기아</t>
        </is>
      </c>
      <c r="I485" s="29" t="inlineStr">
        <is>
          <t>帕路奇亞</t>
        </is>
      </c>
      <c r="J485" s="29">
        <f>IFERROR(__xludf.DUMMYFUNCTION("GOOGLETRANSLATE(I485,""zh_HANT"",""zh_HANS"")"),"帕路奇亚")</f>
        <v/>
      </c>
      <c r="K485" s="29">
        <f>F485</f>
        <v/>
      </c>
    </row>
    <row r="486">
      <c r="A486" s="29">
        <f>CONCATENATE("NAME_PkMn_", UPPER(B486))</f>
        <v/>
      </c>
      <c r="B486" s="29" t="inlineStr">
        <is>
          <t>Heatran</t>
        </is>
      </c>
      <c r="C486" s="29" t="inlineStr">
        <is>
          <t>ヒードラン</t>
        </is>
      </c>
      <c r="D486" s="29">
        <f>B486</f>
        <v/>
      </c>
      <c r="E486" s="29">
        <f>B486</f>
        <v/>
      </c>
      <c r="F486" s="29">
        <f>B486</f>
        <v/>
      </c>
      <c r="G486" s="29">
        <f>B486</f>
        <v/>
      </c>
      <c r="H486" s="29" t="inlineStr">
        <is>
          <t>히드런</t>
        </is>
      </c>
      <c r="I486" s="29" t="inlineStr">
        <is>
          <t>席多藍恩</t>
        </is>
      </c>
      <c r="J486" s="29">
        <f>IFERROR(__xludf.DUMMYFUNCTION("GOOGLETRANSLATE(I486,""zh_HANT"",""zh_HANS"")"),"席多蓝恩")</f>
        <v/>
      </c>
      <c r="K486" s="29">
        <f>F486</f>
        <v/>
      </c>
    </row>
    <row r="487">
      <c r="A487" s="29">
        <f>CONCATENATE("NAME_PkMn_", UPPER(B487))</f>
        <v/>
      </c>
      <c r="B487" s="29" t="inlineStr">
        <is>
          <t>Regigigas</t>
        </is>
      </c>
      <c r="C487" s="29" t="inlineStr">
        <is>
          <t>レジギガス</t>
        </is>
      </c>
      <c r="D487" s="29">
        <f>B487</f>
        <v/>
      </c>
      <c r="E487" s="29">
        <f>B487</f>
        <v/>
      </c>
      <c r="F487" s="29">
        <f>B487</f>
        <v/>
      </c>
      <c r="G487" s="29">
        <f>B487</f>
        <v/>
      </c>
      <c r="H487" s="29" t="inlineStr">
        <is>
          <t>레지기가스</t>
        </is>
      </c>
      <c r="I487" s="29" t="inlineStr">
        <is>
          <t>雷吉奇卡斯</t>
        </is>
      </c>
      <c r="J487" s="29">
        <f>I487</f>
        <v/>
      </c>
      <c r="K487" s="29">
        <f>F487</f>
        <v/>
      </c>
    </row>
    <row r="488">
      <c r="A488" s="29">
        <f>CONCATENATE("NAME_PkMn_", UPPER(B488))</f>
        <v/>
      </c>
      <c r="B488" s="29" t="inlineStr">
        <is>
          <t>Giratina</t>
        </is>
      </c>
      <c r="C488" s="29" t="inlineStr">
        <is>
          <t>ギラティナ</t>
        </is>
      </c>
      <c r="D488" s="29">
        <f>B488</f>
        <v/>
      </c>
      <c r="E488" s="29">
        <f>B488</f>
        <v/>
      </c>
      <c r="F488" s="29">
        <f>B488</f>
        <v/>
      </c>
      <c r="G488" s="29">
        <f>B488</f>
        <v/>
      </c>
      <c r="H488" s="29" t="inlineStr">
        <is>
          <t>기라티나</t>
        </is>
      </c>
      <c r="I488" s="29" t="inlineStr">
        <is>
          <t>騎拉帝納</t>
        </is>
      </c>
      <c r="J488" s="29">
        <f>IFERROR(__xludf.DUMMYFUNCTION("GOOGLETRANSLATE(I488,""zh_HANT"",""zh_HANS"")"),"骑拉帝纳")</f>
        <v/>
      </c>
      <c r="K488" s="29">
        <f>F488</f>
        <v/>
      </c>
    </row>
    <row r="489">
      <c r="A489" s="29">
        <f>CONCATENATE("NAME_PkMn_", UPPER(B489))</f>
        <v/>
      </c>
      <c r="B489" s="29" t="inlineStr">
        <is>
          <t>Cresselia</t>
        </is>
      </c>
      <c r="C489" s="29" t="inlineStr">
        <is>
          <t>クレセリア</t>
        </is>
      </c>
      <c r="D489" s="29">
        <f>B489</f>
        <v/>
      </c>
      <c r="E489" s="29">
        <f>B489</f>
        <v/>
      </c>
      <c r="F489" s="29">
        <f>B489</f>
        <v/>
      </c>
      <c r="G489" s="29">
        <f>B489</f>
        <v/>
      </c>
      <c r="H489" s="29" t="inlineStr">
        <is>
          <t>크레세리아</t>
        </is>
      </c>
      <c r="I489" s="29" t="inlineStr">
        <is>
          <t>克雷色利亞</t>
        </is>
      </c>
      <c r="J489" s="29">
        <f>IFERROR(__xludf.DUMMYFUNCTION("GOOGLETRANSLATE(I489,""zh_HANT"",""zh_HANS"")"),"克雷色利亚")</f>
        <v/>
      </c>
      <c r="K489" s="29">
        <f>F489</f>
        <v/>
      </c>
    </row>
    <row r="490">
      <c r="A490" s="29">
        <f>CONCATENATE("NAME_PkMn_", UPPER(B490))</f>
        <v/>
      </c>
      <c r="B490" s="29" t="inlineStr">
        <is>
          <t>Phione</t>
        </is>
      </c>
      <c r="C490" s="29" t="inlineStr">
        <is>
          <t>フィオネ</t>
        </is>
      </c>
      <c r="D490" s="29">
        <f>B490</f>
        <v/>
      </c>
      <c r="E490" s="29">
        <f>B490</f>
        <v/>
      </c>
      <c r="F490" s="29">
        <f>B490</f>
        <v/>
      </c>
      <c r="G490" s="29">
        <f>B490</f>
        <v/>
      </c>
      <c r="H490" s="29" t="inlineStr">
        <is>
          <t>피오네</t>
        </is>
      </c>
      <c r="I490" s="29" t="inlineStr">
        <is>
          <t>霏歐納</t>
        </is>
      </c>
      <c r="J490" s="29">
        <f>IFERROR(__xludf.DUMMYFUNCTION("GOOGLETRANSLATE(I490,""zh_HANT"",""zh_HANS"")"),"霏欧纳")</f>
        <v/>
      </c>
      <c r="K490" s="29">
        <f>F490</f>
        <v/>
      </c>
    </row>
    <row r="491">
      <c r="A491" s="29">
        <f>CONCATENATE("NAME_PkMn_", UPPER(B491))</f>
        <v/>
      </c>
      <c r="B491" s="29" t="inlineStr">
        <is>
          <t>Manaphy</t>
        </is>
      </c>
      <c r="C491" s="29" t="inlineStr">
        <is>
          <t>マナフィ</t>
        </is>
      </c>
      <c r="D491" s="29">
        <f>B491</f>
        <v/>
      </c>
      <c r="E491" s="29">
        <f>B491</f>
        <v/>
      </c>
      <c r="F491" s="29">
        <f>B491</f>
        <v/>
      </c>
      <c r="G491" s="29">
        <f>B491</f>
        <v/>
      </c>
      <c r="H491" s="29" t="inlineStr">
        <is>
          <t>마나피</t>
        </is>
      </c>
      <c r="I491" s="29" t="inlineStr">
        <is>
          <t>瑪納霏</t>
        </is>
      </c>
      <c r="J491" s="29">
        <f>IFERROR(__xludf.DUMMYFUNCTION("GOOGLETRANSLATE(I491,""zh_HANT"",""zh_HANS"")"),"玛纳霏")</f>
        <v/>
      </c>
      <c r="K491" s="29">
        <f>F491</f>
        <v/>
      </c>
    </row>
    <row r="492">
      <c r="A492" s="29">
        <f>CONCATENATE("NAME_PkMn_", UPPER(B492))</f>
        <v/>
      </c>
      <c r="B492" s="29" t="inlineStr">
        <is>
          <t>Darkrai</t>
        </is>
      </c>
      <c r="C492" s="29" t="inlineStr">
        <is>
          <t>ダークライ</t>
        </is>
      </c>
      <c r="D492" s="29">
        <f>B492</f>
        <v/>
      </c>
      <c r="E492" s="29">
        <f>B492</f>
        <v/>
      </c>
      <c r="F492" s="29">
        <f>B492</f>
        <v/>
      </c>
      <c r="G492" s="29">
        <f>B492</f>
        <v/>
      </c>
      <c r="H492" s="29" t="inlineStr">
        <is>
          <t>다크라이</t>
        </is>
      </c>
      <c r="I492" s="29" t="inlineStr">
        <is>
          <t>達克萊伊</t>
        </is>
      </c>
      <c r="J492" s="29">
        <f>IFERROR(__xludf.DUMMYFUNCTION("GOOGLETRANSLATE(I492,""zh_HANT"",""zh_HANS"")"),"达克莱伊")</f>
        <v/>
      </c>
      <c r="K492" s="29">
        <f>F492</f>
        <v/>
      </c>
    </row>
    <row r="493">
      <c r="A493" s="29">
        <f>CONCATENATE("NAME_PkMn_", UPPER(B493))</f>
        <v/>
      </c>
      <c r="B493" s="29" t="inlineStr">
        <is>
          <t>Shaymin</t>
        </is>
      </c>
      <c r="C493" s="29" t="inlineStr">
        <is>
          <t>シェイミ</t>
        </is>
      </c>
      <c r="D493" s="29">
        <f>B493</f>
        <v/>
      </c>
      <c r="E493" s="29">
        <f>B493</f>
        <v/>
      </c>
      <c r="F493" s="29">
        <f>B493</f>
        <v/>
      </c>
      <c r="G493" s="29">
        <f>B493</f>
        <v/>
      </c>
      <c r="H493" s="29" t="inlineStr">
        <is>
          <t>쉐이미</t>
        </is>
      </c>
      <c r="I493" s="29" t="inlineStr">
        <is>
          <t>謝米</t>
        </is>
      </c>
      <c r="J493" s="29">
        <f>IFERROR(__xludf.DUMMYFUNCTION("GOOGLETRANSLATE(I493,""zh_HANT"",""zh_HANS"")"),"谢米")</f>
        <v/>
      </c>
      <c r="K493" s="29">
        <f>F493</f>
        <v/>
      </c>
    </row>
    <row r="494">
      <c r="A494" s="29">
        <f>CONCATENATE("NAME_PkMn_", UPPER(B494))</f>
        <v/>
      </c>
      <c r="B494" s="29" t="inlineStr">
        <is>
          <t>Arceus</t>
        </is>
      </c>
      <c r="C494" s="29" t="inlineStr">
        <is>
          <t>アルセウス</t>
        </is>
      </c>
      <c r="D494" s="29">
        <f>B494</f>
        <v/>
      </c>
      <c r="E494" s="29">
        <f>B494</f>
        <v/>
      </c>
      <c r="F494" s="29">
        <f>B494</f>
        <v/>
      </c>
      <c r="G494" s="29">
        <f>B494</f>
        <v/>
      </c>
      <c r="H494" s="29" t="inlineStr">
        <is>
          <t>아르세우스</t>
        </is>
      </c>
      <c r="I494" s="29" t="inlineStr">
        <is>
          <t>阿爾宙斯</t>
        </is>
      </c>
      <c r="J494" s="29">
        <f>IFERROR(__xludf.DUMMYFUNCTION("GOOGLETRANSLATE(I494,""zh_HANT"",""zh_HANS"")"),"阿尔宙斯")</f>
        <v/>
      </c>
      <c r="K494" s="29">
        <f>F494</f>
        <v/>
      </c>
    </row>
    <row r="495">
      <c r="A495" s="29">
        <f>CONCATENATE("NAME_PkMn_", UPPER(B495))</f>
        <v/>
      </c>
      <c r="B495" s="29" t="inlineStr">
        <is>
          <t>Victini</t>
        </is>
      </c>
      <c r="C495" s="29" t="inlineStr">
        <is>
          <t>ビクチイニ</t>
        </is>
      </c>
      <c r="D495" s="29">
        <f>B495</f>
        <v/>
      </c>
      <c r="E495" s="29">
        <f>B495</f>
        <v/>
      </c>
      <c r="F495" s="29">
        <f>B495</f>
        <v/>
      </c>
      <c r="G495" s="29">
        <f>B495</f>
        <v/>
      </c>
      <c r="H495" s="29" t="inlineStr">
        <is>
          <t>아르세우스</t>
        </is>
      </c>
      <c r="I495" s="29" t="inlineStr">
        <is>
          <t>比克提尼</t>
        </is>
      </c>
      <c r="J495" s="29">
        <f>I495</f>
        <v/>
      </c>
      <c r="K495" s="29">
        <f>F495</f>
        <v/>
      </c>
    </row>
    <row r="496">
      <c r="A496" s="29">
        <f>CONCATENATE("NAME_PkMn_", UPPER(B496))</f>
        <v/>
      </c>
      <c r="B496" s="29" t="inlineStr">
        <is>
          <t>Snivy</t>
        </is>
      </c>
      <c r="C496" s="29" t="inlineStr">
        <is>
          <t>ツタージャ</t>
        </is>
      </c>
      <c r="D496" s="29" t="inlineStr">
        <is>
          <t>Vipélierre</t>
        </is>
      </c>
      <c r="E496" s="29" t="inlineStr">
        <is>
          <t>Serpifeu</t>
        </is>
      </c>
      <c r="F496" s="29">
        <f>B496</f>
        <v/>
      </c>
      <c r="G496" s="29">
        <f>B496</f>
        <v/>
      </c>
      <c r="H496" s="29" t="inlineStr">
        <is>
          <t>주리비얀</t>
        </is>
      </c>
      <c r="I496" s="29" t="inlineStr">
        <is>
          <t>藤藤蛇</t>
        </is>
      </c>
      <c r="J496" s="29">
        <f>I496</f>
        <v/>
      </c>
      <c r="K496" s="29">
        <f>F496</f>
        <v/>
      </c>
    </row>
    <row r="497">
      <c r="A497" s="29">
        <f>CONCATENATE("NAME_PkMn_", UPPER(B497))</f>
        <v/>
      </c>
      <c r="B497" s="29" t="inlineStr">
        <is>
          <t>Servine</t>
        </is>
      </c>
      <c r="C497" s="29" t="inlineStr">
        <is>
          <t>ジャノビー</t>
        </is>
      </c>
      <c r="D497" s="29" t="inlineStr">
        <is>
          <t>Lianaja</t>
        </is>
      </c>
      <c r="E497" s="29" t="inlineStr">
        <is>
          <t>Efoserp</t>
        </is>
      </c>
      <c r="F497" s="29">
        <f>B497</f>
        <v/>
      </c>
      <c r="G497" s="29">
        <f>B497</f>
        <v/>
      </c>
      <c r="H497" s="29" t="inlineStr">
        <is>
          <t>샤비</t>
        </is>
      </c>
      <c r="I497" s="29" t="inlineStr">
        <is>
          <t>青藤蛇</t>
        </is>
      </c>
      <c r="J497" s="29">
        <f>I497</f>
        <v/>
      </c>
      <c r="K497" s="29">
        <f>F497</f>
        <v/>
      </c>
    </row>
    <row r="498">
      <c r="A498" s="29">
        <f>CONCATENATE("NAME_PkMn_", UPPER(B498))</f>
        <v/>
      </c>
      <c r="B498" s="29" t="inlineStr">
        <is>
          <t>Serperior</t>
        </is>
      </c>
      <c r="C498" s="29" t="inlineStr">
        <is>
          <t>ジャローダ</t>
        </is>
      </c>
      <c r="D498" s="29" t="inlineStr">
        <is>
          <t>Majaspic</t>
        </is>
      </c>
      <c r="E498" s="29" t="inlineStr">
        <is>
          <t>Serpiroyal</t>
        </is>
      </c>
      <c r="F498" s="29">
        <f>B498</f>
        <v/>
      </c>
      <c r="G498" s="29">
        <f>B498</f>
        <v/>
      </c>
      <c r="H498" s="29" t="inlineStr">
        <is>
          <t>샤로다</t>
        </is>
      </c>
      <c r="I498" s="29" t="inlineStr">
        <is>
          <t>君主蛇</t>
        </is>
      </c>
      <c r="J498" s="29">
        <f>I498</f>
        <v/>
      </c>
      <c r="K498" s="29">
        <f>F498</f>
        <v/>
      </c>
    </row>
    <row r="499">
      <c r="A499" s="29">
        <f>CONCATENATE("NAME_PkMn_", UPPER(B499))</f>
        <v/>
      </c>
      <c r="B499" s="29" t="inlineStr">
        <is>
          <t>Tepig</t>
        </is>
      </c>
      <c r="C499" s="29" t="inlineStr">
        <is>
          <t>ポカブ</t>
        </is>
      </c>
      <c r="D499" s="29" t="inlineStr">
        <is>
          <t>Gruikui</t>
        </is>
      </c>
      <c r="E499" s="29" t="inlineStr">
        <is>
          <t>Floink</t>
        </is>
      </c>
      <c r="F499" s="29">
        <f>B499</f>
        <v/>
      </c>
      <c r="G499" s="29">
        <f>B499</f>
        <v/>
      </c>
      <c r="H499" s="29" t="inlineStr">
        <is>
          <t>뚜꾸리</t>
        </is>
      </c>
      <c r="I499" s="29" t="inlineStr">
        <is>
          <t>暖暖豬</t>
        </is>
      </c>
      <c r="J499" s="29">
        <f>IFERROR(__xludf.DUMMYFUNCTION("GOOGLETRANSLATE(I499,""zh_HANT"",""zh_HANS"")"),"暖暖猪")</f>
        <v/>
      </c>
      <c r="K499" s="29">
        <f>F499</f>
        <v/>
      </c>
    </row>
    <row r="500">
      <c r="A500" s="29">
        <f>CONCATENATE("NAME_PkMn_", UPPER(B500))</f>
        <v/>
      </c>
      <c r="B500" s="29" t="inlineStr">
        <is>
          <t>Pignite</t>
        </is>
      </c>
      <c r="C500" s="29" t="inlineStr">
        <is>
          <t>チャオブー</t>
        </is>
      </c>
      <c r="D500" s="29" t="inlineStr">
        <is>
          <t>Grotichon</t>
        </is>
      </c>
      <c r="E500" s="29" t="inlineStr">
        <is>
          <t>Ferkokel</t>
        </is>
      </c>
      <c r="F500" s="29">
        <f>B500</f>
        <v/>
      </c>
      <c r="G500" s="29">
        <f>B500</f>
        <v/>
      </c>
      <c r="H500" s="29" t="inlineStr">
        <is>
          <t>챠오꿀</t>
        </is>
      </c>
      <c r="I500" s="29" t="inlineStr">
        <is>
          <t>炒炒豬</t>
        </is>
      </c>
      <c r="J500" s="29">
        <f>IFERROR(__xludf.DUMMYFUNCTION("GOOGLETRANSLATE(I500,""zh_HANT"",""zh_HANS"")"),"炒炒猪")</f>
        <v/>
      </c>
      <c r="K500" s="29">
        <f>F500</f>
        <v/>
      </c>
    </row>
    <row r="501">
      <c r="A501" s="29">
        <f>CONCATENATE("NAME_PkMn_", UPPER(B501))</f>
        <v/>
      </c>
      <c r="B501" s="29" t="inlineStr">
        <is>
          <t>Emboar</t>
        </is>
      </c>
      <c r="C501" s="29" t="inlineStr">
        <is>
          <t>エンブオー</t>
        </is>
      </c>
      <c r="D501" s="29" t="inlineStr">
        <is>
          <t>Roitiflam</t>
        </is>
      </c>
      <c r="E501" s="29" t="inlineStr">
        <is>
          <t>Flambirex</t>
        </is>
      </c>
      <c r="F501" s="29">
        <f>B501</f>
        <v/>
      </c>
      <c r="G501" s="29">
        <f>B501</f>
        <v/>
      </c>
      <c r="H501" s="29" t="inlineStr">
        <is>
          <t>염무왕</t>
        </is>
      </c>
      <c r="I501" s="29" t="inlineStr">
        <is>
          <t>炎武王</t>
        </is>
      </c>
      <c r="J501" s="29">
        <f>I501</f>
        <v/>
      </c>
      <c r="K501" s="29">
        <f>F501</f>
        <v/>
      </c>
    </row>
    <row r="502">
      <c r="A502" s="29">
        <f>CONCATENATE("NAME_PkMn_", UPPER(B502))</f>
        <v/>
      </c>
      <c r="B502" s="29" t="inlineStr">
        <is>
          <t>Oshawott</t>
        </is>
      </c>
      <c r="C502" s="29" t="inlineStr">
        <is>
          <t>ミジュマル</t>
        </is>
      </c>
      <c r="D502" s="29" t="inlineStr">
        <is>
          <t>Moustillon</t>
        </is>
      </c>
      <c r="E502" s="29" t="inlineStr">
        <is>
          <t>Ottaro</t>
        </is>
      </c>
      <c r="F502" s="29">
        <f>B502</f>
        <v/>
      </c>
      <c r="G502" s="29">
        <f>B502</f>
        <v/>
      </c>
      <c r="H502" s="29" t="inlineStr">
        <is>
          <t>수댕이</t>
        </is>
      </c>
      <c r="I502" s="29" t="inlineStr">
        <is>
          <t>水水獺</t>
        </is>
      </c>
      <c r="J502" s="29">
        <f>I502</f>
        <v/>
      </c>
      <c r="K502" s="29">
        <f>F502</f>
        <v/>
      </c>
    </row>
    <row r="503">
      <c r="A503" s="29">
        <f>CONCATENATE("NAME_PkMn_", UPPER(B503))</f>
        <v/>
      </c>
      <c r="B503" s="29" t="inlineStr">
        <is>
          <t>Dewott</t>
        </is>
      </c>
      <c r="C503" s="29" t="inlineStr">
        <is>
          <t>フタチマル</t>
        </is>
      </c>
      <c r="D503" s="29" t="inlineStr">
        <is>
          <t>Mateloutre</t>
        </is>
      </c>
      <c r="E503" s="29" t="inlineStr">
        <is>
          <t>Zwottronin</t>
        </is>
      </c>
      <c r="F503" s="29">
        <f>B503</f>
        <v/>
      </c>
      <c r="G503" s="29">
        <f>B503</f>
        <v/>
      </c>
      <c r="H503" s="29" t="inlineStr">
        <is>
          <t>쌍검자비</t>
        </is>
      </c>
      <c r="I503" s="29" t="inlineStr">
        <is>
          <t>雙刃丸</t>
        </is>
      </c>
      <c r="J503" s="29">
        <f>IFERROR(__xludf.DUMMYFUNCTION("GOOGLETRANSLATE(I503,""zh_HANT"",""zh_HANS"")"),"双刃丸")</f>
        <v/>
      </c>
      <c r="K503" s="29">
        <f>F503</f>
        <v/>
      </c>
    </row>
    <row r="504">
      <c r="A504" s="29">
        <f>CONCATENATE("NAME_PkMn_", UPPER(B504))</f>
        <v/>
      </c>
      <c r="B504" s="29" t="inlineStr">
        <is>
          <t>Samurott</t>
        </is>
      </c>
      <c r="C504" s="29" t="inlineStr">
        <is>
          <t>ダイケンキ</t>
        </is>
      </c>
      <c r="D504" s="29" t="inlineStr">
        <is>
          <t>Clamiral</t>
        </is>
      </c>
      <c r="E504" s="29" t="inlineStr">
        <is>
          <t>Admurai</t>
        </is>
      </c>
      <c r="F504" s="29">
        <f>B504</f>
        <v/>
      </c>
      <c r="G504" s="29">
        <f>B504</f>
        <v/>
      </c>
      <c r="H504" s="29" t="inlineStr">
        <is>
          <t>대검귀</t>
        </is>
      </c>
      <c r="I504" s="29" t="inlineStr">
        <is>
          <t>大劍鬼</t>
        </is>
      </c>
      <c r="J504" s="29">
        <f>IFERROR(__xludf.DUMMYFUNCTION("GOOGLETRANSLATE(I504,""zh_HANT"",""zh_HANS"")"),"大剑鬼")</f>
        <v/>
      </c>
      <c r="K504" s="29">
        <f>F504</f>
        <v/>
      </c>
    </row>
    <row r="505">
      <c r="A505" s="29">
        <f>CONCATENATE("NAME_PkMn_", UPPER(B505))</f>
        <v/>
      </c>
      <c r="B505" s="29" t="inlineStr">
        <is>
          <t>Patrat</t>
        </is>
      </c>
      <c r="C505" s="29" t="inlineStr">
        <is>
          <t>ミネズミ</t>
        </is>
      </c>
      <c r="D505" s="29" t="inlineStr">
        <is>
          <t>Ratentif</t>
        </is>
      </c>
      <c r="E505" s="29" t="inlineStr">
        <is>
          <t>Nagelotz</t>
        </is>
      </c>
      <c r="F505" s="29">
        <f>B505</f>
        <v/>
      </c>
      <c r="G505" s="29">
        <f>B505</f>
        <v/>
      </c>
      <c r="H505" s="29" t="inlineStr">
        <is>
          <t>보르쥐</t>
        </is>
      </c>
      <c r="I505" s="29" t="inlineStr">
        <is>
          <t>探探鼠</t>
        </is>
      </c>
      <c r="J505" s="29">
        <f>I505</f>
        <v/>
      </c>
      <c r="K505" s="29">
        <f>F505</f>
        <v/>
      </c>
    </row>
    <row r="506">
      <c r="A506" s="29">
        <f>CONCATENATE("NAME_PkMn_", UPPER(B506))</f>
        <v/>
      </c>
      <c r="B506" s="29" t="inlineStr">
        <is>
          <t>Watchog</t>
        </is>
      </c>
      <c r="C506" s="29" t="inlineStr">
        <is>
          <t>ミルホッグ</t>
        </is>
      </c>
      <c r="D506" s="29" t="inlineStr">
        <is>
          <t>Miradar</t>
        </is>
      </c>
      <c r="E506" s="29" t="inlineStr">
        <is>
          <t>Kukmarda</t>
        </is>
      </c>
      <c r="F506" s="29">
        <f>B506</f>
        <v/>
      </c>
      <c r="G506" s="29">
        <f>B506</f>
        <v/>
      </c>
      <c r="H506" s="29" t="inlineStr">
        <is>
          <t>보르그</t>
        </is>
      </c>
      <c r="I506" s="29" t="inlineStr">
        <is>
          <t>步哨鼠</t>
        </is>
      </c>
      <c r="J506" s="29">
        <f>I506</f>
        <v/>
      </c>
      <c r="K506" s="29">
        <f>F506</f>
        <v/>
      </c>
    </row>
    <row r="507">
      <c r="A507" s="29">
        <f>CONCATENATE("NAME_PkMn_", UPPER(B507))</f>
        <v/>
      </c>
      <c r="B507" s="29" t="inlineStr">
        <is>
          <t>Lillipup</t>
        </is>
      </c>
      <c r="C507" s="29" t="inlineStr">
        <is>
          <t>ヨーテリー</t>
        </is>
      </c>
      <c r="D507" s="29" t="inlineStr">
        <is>
          <t>Ponchiot</t>
        </is>
      </c>
      <c r="E507" s="29" t="inlineStr">
        <is>
          <t>Yorkleff</t>
        </is>
      </c>
      <c r="F507" s="29">
        <f>B507</f>
        <v/>
      </c>
      <c r="G507" s="29">
        <f>B507</f>
        <v/>
      </c>
      <c r="H507" s="29" t="inlineStr">
        <is>
          <t>요테리</t>
        </is>
      </c>
      <c r="I507" s="29" t="inlineStr">
        <is>
          <t>小約克</t>
        </is>
      </c>
      <c r="J507" s="29">
        <f>IFERROR(__xludf.DUMMYFUNCTION("GOOGLETRANSLATE(I507,""zh_HANT"",""zh_HANS"")"),"小约克")</f>
        <v/>
      </c>
      <c r="K507" s="29">
        <f>F507</f>
        <v/>
      </c>
    </row>
    <row r="508">
      <c r="A508" s="29">
        <f>CONCATENATE("NAME_PkMn_", UPPER(B508))</f>
        <v/>
      </c>
      <c r="B508" s="29" t="inlineStr">
        <is>
          <t>Herdier</t>
        </is>
      </c>
      <c r="C508" s="29" t="inlineStr">
        <is>
          <t>ハーヂリア</t>
        </is>
      </c>
      <c r="D508" s="29" t="inlineStr">
        <is>
          <t>Ponchien</t>
        </is>
      </c>
      <c r="E508" s="29" t="inlineStr">
        <is>
          <t>Terribark</t>
        </is>
      </c>
      <c r="F508" s="29">
        <f>B508</f>
        <v/>
      </c>
      <c r="G508" s="29">
        <f>B508</f>
        <v/>
      </c>
      <c r="H508" s="29" t="inlineStr">
        <is>
          <t>하데리어</t>
        </is>
      </c>
      <c r="I508" s="29" t="inlineStr">
        <is>
          <t>哈約克</t>
        </is>
      </c>
      <c r="J508" s="29">
        <f>IFERROR(__xludf.DUMMYFUNCTION("GOOGLETRANSLATE(I508,""zh_HANT"",""zh_HANS"")"),"哈约克")</f>
        <v/>
      </c>
      <c r="K508" s="29">
        <f>F508</f>
        <v/>
      </c>
    </row>
    <row r="509">
      <c r="A509" s="29">
        <f>CONCATENATE("NAME_PkMn_", UPPER(B509))</f>
        <v/>
      </c>
      <c r="B509" s="29" t="inlineStr">
        <is>
          <t>Stoutland</t>
        </is>
      </c>
      <c r="C509" s="29" t="inlineStr">
        <is>
          <t>ムーランド</t>
        </is>
      </c>
      <c r="D509" s="29" t="inlineStr">
        <is>
          <t>Mastouffe</t>
        </is>
      </c>
      <c r="E509" s="29" t="inlineStr">
        <is>
          <t>Bissbark</t>
        </is>
      </c>
      <c r="F509" s="29">
        <f>B509</f>
        <v/>
      </c>
      <c r="G509" s="29">
        <f>B509</f>
        <v/>
      </c>
      <c r="H509" s="29" t="inlineStr">
        <is>
          <t>바랜드</t>
        </is>
      </c>
      <c r="I509" s="29" t="inlineStr">
        <is>
          <t>長毛狗</t>
        </is>
      </c>
      <c r="J509" s="29">
        <f>IFERROR(__xludf.DUMMYFUNCTION("GOOGLETRANSLATE(I509,""zh_HANT"",""zh_HANS"")"),"长毛狗")</f>
        <v/>
      </c>
      <c r="K509" s="29">
        <f>F509</f>
        <v/>
      </c>
    </row>
    <row r="510">
      <c r="A510" s="29">
        <f>CONCATENATE("NAME_PkMn_", UPPER(B510))</f>
        <v/>
      </c>
      <c r="B510" s="29" t="inlineStr">
        <is>
          <t>Purrloin</t>
        </is>
      </c>
      <c r="C510" s="29" t="inlineStr">
        <is>
          <t>チョロネコ</t>
        </is>
      </c>
      <c r="D510" s="29" t="inlineStr">
        <is>
          <t>Chacripan</t>
        </is>
      </c>
      <c r="E510" s="29" t="inlineStr">
        <is>
          <t>Felilou</t>
        </is>
      </c>
      <c r="F510" s="29">
        <f>B510</f>
        <v/>
      </c>
      <c r="G510" s="29">
        <f>B510</f>
        <v/>
      </c>
      <c r="H510" s="29" t="inlineStr">
        <is>
          <t>쌔비냥</t>
        </is>
      </c>
      <c r="I510" s="29" t="inlineStr">
        <is>
          <t>扒手貓</t>
        </is>
      </c>
      <c r="J510" s="29">
        <f>IFERROR(__xludf.DUMMYFUNCTION("GOOGLETRANSLATE(I510,""zh_HANT"",""zh_HANS"")"),"扒手猫")</f>
        <v/>
      </c>
      <c r="K510" s="29">
        <f>F510</f>
        <v/>
      </c>
    </row>
    <row r="511">
      <c r="A511" s="29">
        <f>CONCATENATE("NAME_PkMn_", UPPER(B511))</f>
        <v/>
      </c>
      <c r="B511" s="29" t="inlineStr">
        <is>
          <t>Liepard</t>
        </is>
      </c>
      <c r="C511" s="29" t="inlineStr">
        <is>
          <t>レパルダス</t>
        </is>
      </c>
      <c r="D511" s="29" t="inlineStr">
        <is>
          <t>Léopardus</t>
        </is>
      </c>
      <c r="E511" s="29" t="inlineStr">
        <is>
          <t>Kleoparda</t>
        </is>
      </c>
      <c r="F511" s="29">
        <f>B511</f>
        <v/>
      </c>
      <c r="G511" s="29">
        <f>B511</f>
        <v/>
      </c>
      <c r="H511" s="29" t="inlineStr">
        <is>
          <t>레파르다스</t>
        </is>
      </c>
      <c r="I511" s="29" t="inlineStr">
        <is>
          <t>酷豹</t>
        </is>
      </c>
      <c r="J511" s="29">
        <f>I511</f>
        <v/>
      </c>
      <c r="K511" s="29">
        <f>F511</f>
        <v/>
      </c>
    </row>
    <row r="512">
      <c r="A512" s="29">
        <f>CONCATENATE("NAME_PkMn_", UPPER(B512))</f>
        <v/>
      </c>
      <c r="B512" s="29" t="inlineStr">
        <is>
          <t>Pansage</t>
        </is>
      </c>
      <c r="C512" s="29" t="inlineStr">
        <is>
          <t>ヤナップ</t>
        </is>
      </c>
      <c r="D512" s="29" t="inlineStr">
        <is>
          <t>Feuillajou</t>
        </is>
      </c>
      <c r="E512" s="29" t="inlineStr">
        <is>
          <t>Vegimak</t>
        </is>
      </c>
      <c r="F512" s="29">
        <f>B512</f>
        <v/>
      </c>
      <c r="G512" s="29">
        <f>B512</f>
        <v/>
      </c>
      <c r="H512" s="29" t="inlineStr">
        <is>
          <t>야나프</t>
        </is>
      </c>
      <c r="I512" s="29" t="inlineStr">
        <is>
          <t>花椰猴</t>
        </is>
      </c>
      <c r="J512" s="29">
        <f>I512</f>
        <v/>
      </c>
      <c r="K512" s="29">
        <f>F512</f>
        <v/>
      </c>
    </row>
    <row r="513">
      <c r="A513" s="29">
        <f>CONCATENATE("NAME_PkMn_", UPPER(B513))</f>
        <v/>
      </c>
      <c r="B513" s="29" t="inlineStr">
        <is>
          <t>Simisage</t>
        </is>
      </c>
      <c r="C513" s="29" t="inlineStr">
        <is>
          <t>ヤナッキー</t>
        </is>
      </c>
      <c r="D513" s="29" t="inlineStr">
        <is>
          <t>Feuiloutan</t>
        </is>
      </c>
      <c r="E513" s="29" t="inlineStr">
        <is>
          <t>Vegichita</t>
        </is>
      </c>
      <c r="F513" s="29">
        <f>B513</f>
        <v/>
      </c>
      <c r="G513" s="29">
        <f>B513</f>
        <v/>
      </c>
      <c r="H513" s="29" t="inlineStr">
        <is>
          <t>야나키</t>
        </is>
      </c>
      <c r="I513" s="29" t="inlineStr">
        <is>
          <t>花椰猿</t>
        </is>
      </c>
      <c r="J513" s="29">
        <f>I513</f>
        <v/>
      </c>
      <c r="K513" s="29">
        <f>F513</f>
        <v/>
      </c>
    </row>
    <row r="514">
      <c r="A514" s="29">
        <f>CONCATENATE("NAME_PkMn_", UPPER(B514))</f>
        <v/>
      </c>
      <c r="B514" s="29" t="inlineStr">
        <is>
          <t>Pansear</t>
        </is>
      </c>
      <c r="C514" s="29" t="inlineStr">
        <is>
          <t>バオップ</t>
        </is>
      </c>
      <c r="D514" s="29" t="inlineStr">
        <is>
          <t>Flamajou</t>
        </is>
      </c>
      <c r="E514" s="29" t="inlineStr">
        <is>
          <t>Grillmak</t>
        </is>
      </c>
      <c r="F514" s="29">
        <f>B514</f>
        <v/>
      </c>
      <c r="G514" s="29">
        <f>B514</f>
        <v/>
      </c>
      <c r="H514" s="29" t="inlineStr">
        <is>
          <t>바오프</t>
        </is>
      </c>
      <c r="I514" s="29" t="inlineStr">
        <is>
          <t>爆香猴</t>
        </is>
      </c>
      <c r="J514" s="29">
        <f>I514</f>
        <v/>
      </c>
      <c r="K514" s="29">
        <f>F514</f>
        <v/>
      </c>
    </row>
    <row r="515">
      <c r="A515" s="29">
        <f>CONCATENATE("NAME_PkMn_", UPPER(B515))</f>
        <v/>
      </c>
      <c r="B515" s="29" t="inlineStr">
        <is>
          <t>Simisear</t>
        </is>
      </c>
      <c r="C515" s="29" t="inlineStr">
        <is>
          <t>バオッキー</t>
        </is>
      </c>
      <c r="D515" s="29" t="inlineStr">
        <is>
          <t>Flamoutan</t>
        </is>
      </c>
      <c r="E515" s="29" t="inlineStr">
        <is>
          <t>Grillchita</t>
        </is>
      </c>
      <c r="F515" s="29">
        <f>B515</f>
        <v/>
      </c>
      <c r="G515" s="29">
        <f>B515</f>
        <v/>
      </c>
      <c r="H515" s="29" t="inlineStr">
        <is>
          <t>바오키</t>
        </is>
      </c>
      <c r="I515" s="29" t="inlineStr">
        <is>
          <t>爆香猿</t>
        </is>
      </c>
      <c r="J515" s="29">
        <f>I515</f>
        <v/>
      </c>
      <c r="K515" s="29">
        <f>F515</f>
        <v/>
      </c>
    </row>
    <row r="516">
      <c r="A516" s="29">
        <f>CONCATENATE("NAME_PkMn_", UPPER(B516))</f>
        <v/>
      </c>
      <c r="B516" s="29" t="inlineStr">
        <is>
          <t>Panpour</t>
        </is>
      </c>
      <c r="C516" s="29" t="inlineStr">
        <is>
          <t>ヒヤップ</t>
        </is>
      </c>
      <c r="D516" s="29" t="inlineStr">
        <is>
          <t>Flotajou</t>
        </is>
      </c>
      <c r="E516" s="29" t="inlineStr">
        <is>
          <t>Sodamak</t>
        </is>
      </c>
      <c r="F516" s="29">
        <f>B516</f>
        <v/>
      </c>
      <c r="G516" s="29">
        <f>B516</f>
        <v/>
      </c>
      <c r="H516" s="29" t="inlineStr">
        <is>
          <t>앗차프</t>
        </is>
      </c>
      <c r="I516" s="29" t="inlineStr">
        <is>
          <t>冷水猴</t>
        </is>
      </c>
      <c r="J516" s="29">
        <f>I516</f>
        <v/>
      </c>
      <c r="K516" s="29">
        <f>F516</f>
        <v/>
      </c>
    </row>
    <row r="517">
      <c r="A517" s="29">
        <f>CONCATENATE("NAME_PkMn_", UPPER(B517))</f>
        <v/>
      </c>
      <c r="B517" s="29" t="inlineStr">
        <is>
          <t>Simipour</t>
        </is>
      </c>
      <c r="C517" s="29" t="inlineStr">
        <is>
          <t>ヒヤッキー</t>
        </is>
      </c>
      <c r="D517" s="29" t="inlineStr">
        <is>
          <t>Flotoutan</t>
        </is>
      </c>
      <c r="E517" s="29" t="inlineStr">
        <is>
          <t>Sodachita</t>
        </is>
      </c>
      <c r="F517" s="29">
        <f>B517</f>
        <v/>
      </c>
      <c r="G517" s="29">
        <f>B517</f>
        <v/>
      </c>
      <c r="H517" s="29" t="inlineStr">
        <is>
          <t>앗차키</t>
        </is>
      </c>
      <c r="I517" s="29" t="inlineStr">
        <is>
          <t>冷水猿</t>
        </is>
      </c>
      <c r="J517" s="29">
        <f>I517</f>
        <v/>
      </c>
      <c r="K517" s="29">
        <f>F517</f>
        <v/>
      </c>
    </row>
    <row r="518">
      <c r="A518" s="29">
        <f>CONCATENATE("NAME_PkMn_", UPPER(B518))</f>
        <v/>
      </c>
      <c r="B518" s="29" t="inlineStr">
        <is>
          <t>Munna</t>
        </is>
      </c>
      <c r="C518" s="29" t="inlineStr">
        <is>
          <t>ムンナ</t>
        </is>
      </c>
      <c r="D518" s="29">
        <f>B518</f>
        <v/>
      </c>
      <c r="E518" s="29" t="inlineStr">
        <is>
          <t>Somniam</t>
        </is>
      </c>
      <c r="F518" s="29">
        <f>B518</f>
        <v/>
      </c>
      <c r="G518" s="29">
        <f>B518</f>
        <v/>
      </c>
      <c r="H518" s="29" t="inlineStr">
        <is>
          <t>몽나</t>
        </is>
      </c>
      <c r="I518" s="29" t="inlineStr">
        <is>
          <t>食夢夢</t>
        </is>
      </c>
      <c r="J518" s="29">
        <f>IFERROR(__xludf.DUMMYFUNCTION("GOOGLETRANSLATE(I518,""zh_HANT"",""zh_HANS"")"),"食梦梦")</f>
        <v/>
      </c>
      <c r="K518" s="29">
        <f>F518</f>
        <v/>
      </c>
    </row>
    <row r="519">
      <c r="A519" s="29">
        <f>CONCATENATE("NAME_PkMn_", UPPER(B519))</f>
        <v/>
      </c>
      <c r="B519" s="29" t="inlineStr">
        <is>
          <t>Musharna</t>
        </is>
      </c>
      <c r="C519" s="29" t="inlineStr">
        <is>
          <t>ムシャーナ</t>
        </is>
      </c>
      <c r="D519" s="29" t="inlineStr">
        <is>
          <t>Mushana</t>
        </is>
      </c>
      <c r="E519" s="29" t="inlineStr">
        <is>
          <t>Somnivora</t>
        </is>
      </c>
      <c r="F519" s="29">
        <f>B519</f>
        <v/>
      </c>
      <c r="G519" s="29">
        <f>B519</f>
        <v/>
      </c>
      <c r="H519" s="29" t="inlineStr">
        <is>
          <t>몽얌나</t>
        </is>
      </c>
      <c r="I519" s="29" t="inlineStr">
        <is>
          <t>夢夢蝕</t>
        </is>
      </c>
      <c r="J519" s="29">
        <f>IFERROR(__xludf.DUMMYFUNCTION("GOOGLETRANSLATE(I519,""zh_HANT"",""zh_HANS"")"),"梦梦蚀")</f>
        <v/>
      </c>
      <c r="K519" s="29">
        <f>F519</f>
        <v/>
      </c>
    </row>
    <row r="520">
      <c r="A520" s="29">
        <f>CONCATENATE("NAME_PkMn_", UPPER(B520))</f>
        <v/>
      </c>
      <c r="B520" s="29" t="inlineStr">
        <is>
          <t>Pidove</t>
        </is>
      </c>
      <c r="C520" s="29" t="inlineStr">
        <is>
          <t>マメパト</t>
        </is>
      </c>
      <c r="D520" s="29" t="inlineStr">
        <is>
          <t>Poichigeon</t>
        </is>
      </c>
      <c r="E520" s="29" t="inlineStr">
        <is>
          <t>Dusselgurr</t>
        </is>
      </c>
      <c r="F520" s="29">
        <f>B520</f>
        <v/>
      </c>
      <c r="G520" s="29">
        <f>B520</f>
        <v/>
      </c>
      <c r="H520" s="29" t="inlineStr">
        <is>
          <t>콩둘기</t>
        </is>
      </c>
      <c r="I520" s="29" t="inlineStr">
        <is>
          <t>豆豆鴿</t>
        </is>
      </c>
      <c r="J520" s="29">
        <f>IFERROR(__xludf.DUMMYFUNCTION("GOOGLETRANSLATE(I520,""zh_HANT"",""zh_HANS"")"),"豆豆鸽")</f>
        <v/>
      </c>
      <c r="K520" s="29">
        <f>F520</f>
        <v/>
      </c>
    </row>
    <row r="521">
      <c r="A521" s="29">
        <f>CONCATENATE("NAME_PkMn_", UPPER(B521))</f>
        <v/>
      </c>
      <c r="B521" s="29" t="inlineStr">
        <is>
          <t>Tranquill</t>
        </is>
      </c>
      <c r="C521" s="29" t="inlineStr">
        <is>
          <t>ハトーポー</t>
        </is>
      </c>
      <c r="D521" s="29" t="inlineStr">
        <is>
          <t>Colombeau</t>
        </is>
      </c>
      <c r="E521" s="29" t="inlineStr">
        <is>
          <t>Navitaub</t>
        </is>
      </c>
      <c r="F521" s="29">
        <f>B521</f>
        <v/>
      </c>
      <c r="G521" s="29">
        <f>B521</f>
        <v/>
      </c>
      <c r="H521" s="29" t="inlineStr">
        <is>
          <t>유토브</t>
        </is>
      </c>
      <c r="I521" s="29" t="inlineStr">
        <is>
          <t>咕咕鴿</t>
        </is>
      </c>
      <c r="J521" s="29">
        <f>IFERROR(__xludf.DUMMYFUNCTION("GOOGLETRANSLATE(I521,""zh_HANT"",""zh_HANS"")"),"咕咕鸽")</f>
        <v/>
      </c>
      <c r="K521" s="29">
        <f>F521</f>
        <v/>
      </c>
    </row>
    <row r="522">
      <c r="A522" s="29">
        <f>CONCATENATE("NAME_PkMn_", UPPER(B522))</f>
        <v/>
      </c>
      <c r="B522" s="29" t="inlineStr">
        <is>
          <t>Unfezant</t>
        </is>
      </c>
      <c r="C522" s="29" t="inlineStr">
        <is>
          <t>ケンホロウ</t>
        </is>
      </c>
      <c r="D522" s="29" t="inlineStr">
        <is>
          <t>Déflaisan</t>
        </is>
      </c>
      <c r="E522" s="29" t="inlineStr">
        <is>
          <t>Fasasnob</t>
        </is>
      </c>
      <c r="F522" s="29">
        <f>B522</f>
        <v/>
      </c>
      <c r="G522" s="29">
        <f>B522</f>
        <v/>
      </c>
      <c r="H522" s="29" t="inlineStr">
        <is>
          <t>켄호로우</t>
        </is>
      </c>
      <c r="I522" s="29" t="inlineStr">
        <is>
          <t>高傲雉雞</t>
        </is>
      </c>
      <c r="J522" s="29">
        <f>IFERROR(__xludf.DUMMYFUNCTION("GOOGLETRANSLATE(I522,""zh_HANT"",""zh_HANS"")"),"高傲雉鸡")</f>
        <v/>
      </c>
      <c r="K522" s="29">
        <f>F522</f>
        <v/>
      </c>
    </row>
    <row r="523">
      <c r="A523" s="29">
        <f>CONCATENATE("NAME_PkMn_", UPPER(B523))</f>
        <v/>
      </c>
      <c r="B523" s="29" t="inlineStr">
        <is>
          <t>Blitzle</t>
        </is>
      </c>
      <c r="C523" s="29" t="inlineStr">
        <is>
          <t>シママ</t>
        </is>
      </c>
      <c r="D523" s="29" t="inlineStr">
        <is>
          <t>Zébibron</t>
        </is>
      </c>
      <c r="E523" s="29" t="inlineStr">
        <is>
          <t>Elezeba</t>
        </is>
      </c>
      <c r="F523" s="29">
        <f>B523</f>
        <v/>
      </c>
      <c r="G523" s="29">
        <f>B523</f>
        <v/>
      </c>
      <c r="H523" s="29" t="inlineStr">
        <is>
          <t>줄뮤마</t>
        </is>
      </c>
      <c r="I523" s="29" t="inlineStr">
        <is>
          <t>斑斑馬</t>
        </is>
      </c>
      <c r="J523" s="29">
        <f>IFERROR(__xludf.DUMMYFUNCTION("GOOGLETRANSLATE(I523,""zh_HANT"",""zh_HANS"")"),"斑斑马")</f>
        <v/>
      </c>
      <c r="K523" s="29">
        <f>F523</f>
        <v/>
      </c>
    </row>
    <row r="524">
      <c r="A524" s="29">
        <f>CONCATENATE("NAME_PkMn_", UPPER(B524))</f>
        <v/>
      </c>
      <c r="B524" s="29" t="inlineStr">
        <is>
          <t>Zebstrika</t>
        </is>
      </c>
      <c r="C524" s="29" t="inlineStr">
        <is>
          <t>ゼブライカ</t>
        </is>
      </c>
      <c r="D524" s="29" t="inlineStr">
        <is>
          <t>Zéblitz</t>
        </is>
      </c>
      <c r="E524" s="29" t="inlineStr">
        <is>
          <t>Zebritz</t>
        </is>
      </c>
      <c r="F524" s="29">
        <f>B524</f>
        <v/>
      </c>
      <c r="G524" s="29">
        <f>B524</f>
        <v/>
      </c>
      <c r="H524" s="29" t="inlineStr">
        <is>
          <t>제브라이카</t>
        </is>
      </c>
      <c r="I524" s="29" t="inlineStr">
        <is>
          <t>雷電斑馬</t>
        </is>
      </c>
      <c r="J524" s="29">
        <f>IFERROR(__xludf.DUMMYFUNCTION("GOOGLETRANSLATE(I524,""zh_HANT"",""zh_HANS"")"),"雷电斑马")</f>
        <v/>
      </c>
      <c r="K524" s="29">
        <f>F524</f>
        <v/>
      </c>
    </row>
    <row r="525">
      <c r="A525" s="29">
        <f>CONCATENATE("NAME_PkMn_", UPPER(B525))</f>
        <v/>
      </c>
      <c r="B525" s="29" t="inlineStr">
        <is>
          <t>Roggenrola</t>
        </is>
      </c>
      <c r="C525" s="29" t="inlineStr">
        <is>
          <t>ダンゴロ</t>
        </is>
      </c>
      <c r="D525" s="29" t="inlineStr">
        <is>
          <t>Nodulithe</t>
        </is>
      </c>
      <c r="E525" s="29" t="inlineStr">
        <is>
          <t>Kiesling</t>
        </is>
      </c>
      <c r="F525" s="29">
        <f>B525</f>
        <v/>
      </c>
      <c r="G525" s="29">
        <f>B525</f>
        <v/>
      </c>
      <c r="H525" s="29" t="inlineStr">
        <is>
          <t>단굴</t>
        </is>
      </c>
      <c r="I525" s="29" t="inlineStr">
        <is>
          <t>石丸子</t>
        </is>
      </c>
      <c r="J525" s="29">
        <f>I525</f>
        <v/>
      </c>
      <c r="K525" s="29">
        <f>F525</f>
        <v/>
      </c>
    </row>
    <row r="526">
      <c r="A526" s="29">
        <f>CONCATENATE("NAME_PkMn_", UPPER(B526))</f>
        <v/>
      </c>
      <c r="B526" s="29" t="inlineStr">
        <is>
          <t>Boldore</t>
        </is>
      </c>
      <c r="C526" s="29" t="inlineStr">
        <is>
          <t>ガントル</t>
        </is>
      </c>
      <c r="D526" s="29" t="inlineStr">
        <is>
          <t>Géolithe</t>
        </is>
      </c>
      <c r="E526" s="29" t="inlineStr">
        <is>
          <t>Sedimantur</t>
        </is>
      </c>
      <c r="F526" s="29">
        <f>B526</f>
        <v/>
      </c>
      <c r="G526" s="29">
        <f>B526</f>
        <v/>
      </c>
      <c r="H526" s="29" t="inlineStr">
        <is>
          <t>암트르</t>
        </is>
      </c>
      <c r="I526" s="29" t="inlineStr">
        <is>
          <t>地幔岩</t>
        </is>
      </c>
      <c r="J526" s="29">
        <f>I526</f>
        <v/>
      </c>
      <c r="K526" s="29">
        <f>F526</f>
        <v/>
      </c>
    </row>
    <row r="527">
      <c r="A527" s="29">
        <f>CONCATENATE("NAME_PkMn_", UPPER(B527))</f>
        <v/>
      </c>
      <c r="B527" s="29" t="inlineStr">
        <is>
          <t>Gigalith</t>
        </is>
      </c>
      <c r="C527" s="29" t="inlineStr">
        <is>
          <t>ギガイアス</t>
        </is>
      </c>
      <c r="D527" s="29" t="inlineStr">
        <is>
          <t>Gigalithe</t>
        </is>
      </c>
      <c r="E527" s="29" t="inlineStr">
        <is>
          <t>Brockoloss</t>
        </is>
      </c>
      <c r="F527" s="29">
        <f>B527</f>
        <v/>
      </c>
      <c r="G527" s="29">
        <f>B527</f>
        <v/>
      </c>
      <c r="H527" s="29" t="inlineStr">
        <is>
          <t>기가이어스</t>
        </is>
      </c>
      <c r="I527" s="29" t="inlineStr">
        <is>
          <t>龐岩怪</t>
        </is>
      </c>
      <c r="J527" s="29">
        <f>IFERROR(__xludf.DUMMYFUNCTION("GOOGLETRANSLATE(I527,""zh_HANT"",""zh_HANS"")"),"庞岩怪")</f>
        <v/>
      </c>
      <c r="K527" s="29">
        <f>F527</f>
        <v/>
      </c>
    </row>
    <row r="528">
      <c r="A528" s="29">
        <f>CONCATENATE("NAME_PkMn_", UPPER(B528))</f>
        <v/>
      </c>
      <c r="B528" s="29" t="inlineStr">
        <is>
          <t>Woobat</t>
        </is>
      </c>
      <c r="C528" s="29" t="inlineStr">
        <is>
          <t>コロモリ</t>
        </is>
      </c>
      <c r="D528" s="29" t="inlineStr">
        <is>
          <t>Chovsourir</t>
        </is>
      </c>
      <c r="E528" s="29" t="inlineStr">
        <is>
          <t>Fleknoil</t>
        </is>
      </c>
      <c r="F528" s="29">
        <f>B528</f>
        <v/>
      </c>
      <c r="G528" s="29">
        <f>B528</f>
        <v/>
      </c>
      <c r="H528" s="29" t="inlineStr">
        <is>
          <t>또르박쥐</t>
        </is>
      </c>
      <c r="I528" s="29" t="inlineStr">
        <is>
          <t>滾滾蝙蝠</t>
        </is>
      </c>
      <c r="J528" s="29">
        <f>IFERROR(__xludf.DUMMYFUNCTION("GOOGLETRANSLATE(I528,""zh_HANT"",""zh_HANS"")"),"滚滚蝙蝠")</f>
        <v/>
      </c>
      <c r="K528" s="29">
        <f>F528</f>
        <v/>
      </c>
    </row>
    <row r="529">
      <c r="A529" s="29">
        <f>CONCATENATE("NAME_PkMn_", UPPER(B529))</f>
        <v/>
      </c>
      <c r="B529" s="29" t="inlineStr">
        <is>
          <t>Swoobat</t>
        </is>
      </c>
      <c r="C529" s="29" t="inlineStr">
        <is>
          <t>ココロモリ</t>
        </is>
      </c>
      <c r="D529" s="29" t="inlineStr">
        <is>
          <t>Rhinolove</t>
        </is>
      </c>
      <c r="E529" s="29" t="inlineStr">
        <is>
          <t>Fletiano</t>
        </is>
      </c>
      <c r="F529" s="29">
        <f>B529</f>
        <v/>
      </c>
      <c r="G529" s="29">
        <f>B529</f>
        <v/>
      </c>
      <c r="H529" s="29" t="inlineStr">
        <is>
          <t>맘박쥐</t>
        </is>
      </c>
      <c r="I529" s="29" t="inlineStr">
        <is>
          <t>心蝙蝠</t>
        </is>
      </c>
      <c r="J529" s="29">
        <f>I529</f>
        <v/>
      </c>
      <c r="K529" s="29">
        <f>F529</f>
        <v/>
      </c>
    </row>
    <row r="530">
      <c r="A530" s="29">
        <f>CONCATENATE("NAME_PkMn_", UPPER(B530))</f>
        <v/>
      </c>
      <c r="B530" s="29" t="inlineStr">
        <is>
          <t>Drilbur</t>
        </is>
      </c>
      <c r="C530" s="29" t="inlineStr">
        <is>
          <t>モグリュー</t>
        </is>
      </c>
      <c r="D530" s="29" t="inlineStr">
        <is>
          <t>Rototaupe</t>
        </is>
      </c>
      <c r="E530" s="29" t="inlineStr">
        <is>
          <t>Rotomurf</t>
        </is>
      </c>
      <c r="F530" s="29">
        <f>B530</f>
        <v/>
      </c>
      <c r="G530" s="29">
        <f>B530</f>
        <v/>
      </c>
      <c r="H530" s="29" t="inlineStr">
        <is>
          <t>두더류</t>
        </is>
      </c>
      <c r="I530" s="29" t="inlineStr">
        <is>
          <t>螺釘地鼠</t>
        </is>
      </c>
      <c r="J530" s="29">
        <f>IFERROR(__xludf.DUMMYFUNCTION("GOOGLETRANSLATE(I530,""zh_HANT"",""zh_HANS"")"),"螺钉地鼠")</f>
        <v/>
      </c>
      <c r="K530" s="29">
        <f>F530</f>
        <v/>
      </c>
    </row>
    <row r="531">
      <c r="A531" s="29">
        <f>CONCATENATE("NAME_PkMn_", UPPER(B531))</f>
        <v/>
      </c>
      <c r="B531" s="29" t="inlineStr">
        <is>
          <t>Excadrill</t>
        </is>
      </c>
      <c r="C531" s="29" t="inlineStr">
        <is>
          <t>ドリュウズ</t>
        </is>
      </c>
      <c r="D531" s="29" t="inlineStr">
        <is>
          <t>Minotaupe</t>
        </is>
      </c>
      <c r="E531" s="29" t="inlineStr">
        <is>
          <t>Stalobor</t>
        </is>
      </c>
      <c r="F531" s="29">
        <f>B531</f>
        <v/>
      </c>
      <c r="G531" s="29">
        <f>B531</f>
        <v/>
      </c>
      <c r="H531" s="29" t="inlineStr">
        <is>
          <t>몰드류</t>
        </is>
      </c>
      <c r="I531" s="29" t="inlineStr">
        <is>
          <t>龍頭地鼠</t>
        </is>
      </c>
      <c r="J531" s="29">
        <f>IFERROR(__xludf.DUMMYFUNCTION("GOOGLETRANSLATE(I531,""zh_HANT"",""zh_HANS"")"),"龙头地鼠")</f>
        <v/>
      </c>
      <c r="K531" s="29">
        <f>F531</f>
        <v/>
      </c>
    </row>
    <row r="532">
      <c r="A532" s="29">
        <f>CONCATENATE("NAME_PkMn_", UPPER(B532))</f>
        <v/>
      </c>
      <c r="B532" s="29" t="inlineStr">
        <is>
          <t>Audino</t>
        </is>
      </c>
      <c r="C532" s="29" t="inlineStr">
        <is>
          <t>タブンネ</t>
        </is>
      </c>
      <c r="D532" s="29" t="inlineStr">
        <is>
          <t>Nanméouïe</t>
        </is>
      </c>
      <c r="E532" s="29" t="inlineStr">
        <is>
          <t>Ohrdoch</t>
        </is>
      </c>
      <c r="F532" s="29">
        <f>B532</f>
        <v/>
      </c>
      <c r="G532" s="29">
        <f>B532</f>
        <v/>
      </c>
      <c r="H532" s="29" t="inlineStr">
        <is>
          <t>다부니</t>
        </is>
      </c>
      <c r="I532" s="29">
        <f>J532</f>
        <v/>
      </c>
      <c r="J532" s="29" t="inlineStr">
        <is>
          <t>差不多娃娃</t>
        </is>
      </c>
      <c r="K532" s="29">
        <f>F532</f>
        <v/>
      </c>
    </row>
    <row r="533">
      <c r="A533" s="29">
        <f>CONCATENATE("NAME_PkMn_", UPPER(B533))</f>
        <v/>
      </c>
      <c r="B533" s="29" t="inlineStr">
        <is>
          <t>Timburr</t>
        </is>
      </c>
      <c r="C533" s="29" t="inlineStr">
        <is>
          <t>ドッコラー</t>
        </is>
      </c>
      <c r="D533" s="29" t="inlineStr">
        <is>
          <t>Charpenti</t>
        </is>
      </c>
      <c r="E533" s="29" t="inlineStr">
        <is>
          <t>Praktibalk</t>
        </is>
      </c>
      <c r="F533" s="29">
        <f>B533</f>
        <v/>
      </c>
      <c r="G533" s="29">
        <f>B533</f>
        <v/>
      </c>
      <c r="H533" s="29" t="inlineStr">
        <is>
          <t>으랏차</t>
        </is>
      </c>
      <c r="I533" s="29" t="inlineStr">
        <is>
          <t>搬運小匠</t>
        </is>
      </c>
      <c r="J533" s="29">
        <f>IFERROR(__xludf.DUMMYFUNCTION("GOOGLETRANSLATE(I533,""zh_HANT"",""zh_HANS"")"),"搬运小匠")</f>
        <v/>
      </c>
      <c r="K533" s="29">
        <f>F533</f>
        <v/>
      </c>
    </row>
    <row r="534">
      <c r="A534" s="29">
        <f>CONCATENATE("NAME_PkMn_", UPPER(B534))</f>
        <v/>
      </c>
      <c r="B534" s="29" t="inlineStr">
        <is>
          <t>Gurdurr</t>
        </is>
      </c>
      <c r="C534" s="29" t="inlineStr">
        <is>
          <t>ドテッコツ</t>
        </is>
      </c>
      <c r="D534" s="29" t="inlineStr">
        <is>
          <t>Ouvrifier</t>
        </is>
      </c>
      <c r="E534" s="29" t="inlineStr">
        <is>
          <t>Strepoli</t>
        </is>
      </c>
      <c r="F534" s="29">
        <f>B534</f>
        <v/>
      </c>
      <c r="G534" s="29">
        <f>B534</f>
        <v/>
      </c>
      <c r="H534" s="29" t="inlineStr">
        <is>
          <t>토쇠골</t>
        </is>
      </c>
      <c r="I534" s="29" t="inlineStr">
        <is>
          <t>鐵骨土人</t>
        </is>
      </c>
      <c r="J534" s="29">
        <f>IFERROR(__xludf.DUMMYFUNCTION("GOOGLETRANSLATE(I534,""zh_HANT"",""zh_HANS"")"),"铁骨土人")</f>
        <v/>
      </c>
      <c r="K534" s="29">
        <f>F534</f>
        <v/>
      </c>
    </row>
    <row r="535">
      <c r="A535" s="29">
        <f>CONCATENATE("NAME_PkMn_", UPPER(B535))</f>
        <v/>
      </c>
      <c r="B535" s="29" t="inlineStr">
        <is>
          <t>Conkeldurr</t>
        </is>
      </c>
      <c r="C535" s="29" t="inlineStr">
        <is>
          <t>ローブシン</t>
        </is>
      </c>
      <c r="D535" s="29" t="inlineStr">
        <is>
          <t>Bétochef</t>
        </is>
      </c>
      <c r="E535" s="29" t="inlineStr">
        <is>
          <t>Meistagrif</t>
        </is>
      </c>
      <c r="F535" s="29">
        <f>B535</f>
        <v/>
      </c>
      <c r="G535" s="29">
        <f>B535</f>
        <v/>
      </c>
      <c r="H535" s="29" t="inlineStr">
        <is>
          <t>노보청</t>
        </is>
      </c>
      <c r="I535" s="29" t="inlineStr">
        <is>
          <t>修建老匠</t>
        </is>
      </c>
      <c r="J535" s="29">
        <f>I535</f>
        <v/>
      </c>
      <c r="K535" s="29">
        <f>F535</f>
        <v/>
      </c>
    </row>
    <row r="536">
      <c r="A536" s="29">
        <f>CONCATENATE("NAME_PkMn_", UPPER(B536))</f>
        <v/>
      </c>
      <c r="B536" s="29" t="inlineStr">
        <is>
          <t>Tympole</t>
        </is>
      </c>
      <c r="C536" s="29" t="inlineStr">
        <is>
          <t>オタマロ</t>
        </is>
      </c>
      <c r="D536" s="29" t="inlineStr">
        <is>
          <t>Tritonde</t>
        </is>
      </c>
      <c r="E536" s="29" t="inlineStr">
        <is>
          <t>Schallquap</t>
        </is>
      </c>
      <c r="F536" s="29">
        <f>B536</f>
        <v/>
      </c>
      <c r="G536" s="29">
        <f>B536</f>
        <v/>
      </c>
      <c r="H536" s="29" t="inlineStr">
        <is>
          <t>동챙이</t>
        </is>
      </c>
      <c r="I536" s="29" t="inlineStr">
        <is>
          <t>圓蝌蚪</t>
        </is>
      </c>
      <c r="J536" s="29">
        <f>IFERROR(__xludf.DUMMYFUNCTION("GOOGLETRANSLATE(I536,""zh_HANT"",""zh_HANS"")"),"圆蝌蚪")</f>
        <v/>
      </c>
      <c r="K536" s="29">
        <f>F536</f>
        <v/>
      </c>
    </row>
    <row r="537">
      <c r="A537" s="29">
        <f>CONCATENATE("NAME_PkMn_", UPPER(B537))</f>
        <v/>
      </c>
      <c r="B537" s="29" t="inlineStr">
        <is>
          <t>Palpitoad</t>
        </is>
      </c>
      <c r="C537" s="29" t="inlineStr">
        <is>
          <t>ガマガル</t>
        </is>
      </c>
      <c r="D537" s="29" t="inlineStr">
        <is>
          <t>Batracné</t>
        </is>
      </c>
      <c r="E537" s="29" t="inlineStr">
        <is>
          <t>Mebrana</t>
        </is>
      </c>
      <c r="F537" s="29">
        <f>B537</f>
        <v/>
      </c>
      <c r="G537" s="29">
        <f>B537</f>
        <v/>
      </c>
      <c r="H537" s="29" t="inlineStr">
        <is>
          <t>두까비</t>
        </is>
      </c>
      <c r="I537" s="29" t="inlineStr">
        <is>
          <t>藍蟾蜍</t>
        </is>
      </c>
      <c r="J537" s="29">
        <f>IFERROR(__xludf.DUMMYFUNCTION("GOOGLETRANSLATE(I537,""zh_HANT"",""zh_HANS"")"),"蓝蟾蜍")</f>
        <v/>
      </c>
      <c r="K537" s="29">
        <f>F537</f>
        <v/>
      </c>
    </row>
    <row r="538">
      <c r="A538" s="29">
        <f>CONCATENATE("NAME_PkMn_", UPPER(B538))</f>
        <v/>
      </c>
      <c r="B538" s="29" t="inlineStr">
        <is>
          <t>Seismitoad</t>
        </is>
      </c>
      <c r="C538" s="29" t="inlineStr">
        <is>
          <t>ガマゲロゲ</t>
        </is>
      </c>
      <c r="D538" s="29" t="inlineStr">
        <is>
          <t>Crapustule</t>
        </is>
      </c>
      <c r="E538" s="29" t="inlineStr">
        <is>
          <t>Branawarz</t>
        </is>
      </c>
      <c r="F538" s="29">
        <f>B538</f>
        <v/>
      </c>
      <c r="G538" s="29">
        <f>B538</f>
        <v/>
      </c>
      <c r="H538" s="29" t="inlineStr">
        <is>
          <t>두빅굴</t>
        </is>
      </c>
      <c r="I538" s="29" t="inlineStr">
        <is>
          <t>蟾蜍王</t>
        </is>
      </c>
      <c r="J538" s="29">
        <f>I538</f>
        <v/>
      </c>
      <c r="K538" s="29">
        <f>F538</f>
        <v/>
      </c>
    </row>
    <row r="539">
      <c r="A539" s="29">
        <f>CONCATENATE("NAME_PkMn_", UPPER(B539))</f>
        <v/>
      </c>
      <c r="B539" s="29" t="inlineStr">
        <is>
          <t>Throh</t>
        </is>
      </c>
      <c r="C539" s="29" t="inlineStr">
        <is>
          <t>ナゲキ</t>
        </is>
      </c>
      <c r="D539" s="29" t="inlineStr">
        <is>
          <t>Judokrak</t>
        </is>
      </c>
      <c r="E539" s="29" t="inlineStr">
        <is>
          <t>Jiutesto</t>
        </is>
      </c>
      <c r="F539" s="29">
        <f>B539</f>
        <v/>
      </c>
      <c r="G539" s="29">
        <f>B539</f>
        <v/>
      </c>
      <c r="H539" s="29" t="inlineStr">
        <is>
          <t>던지미</t>
        </is>
      </c>
      <c r="I539" s="29" t="inlineStr">
        <is>
          <t>投摔鬼</t>
        </is>
      </c>
      <c r="J539" s="29">
        <f>I539</f>
        <v/>
      </c>
      <c r="K539" s="29">
        <f>F539</f>
        <v/>
      </c>
    </row>
    <row r="540">
      <c r="A540" s="29">
        <f>CONCATENATE("NAME_PkMn_", UPPER(B540))</f>
        <v/>
      </c>
      <c r="B540" s="29" t="inlineStr">
        <is>
          <t>Sawk</t>
        </is>
      </c>
      <c r="C540" s="29" t="inlineStr">
        <is>
          <t>ダゲキ</t>
        </is>
      </c>
      <c r="D540" s="29" t="inlineStr">
        <is>
          <t>Karaclée</t>
        </is>
      </c>
      <c r="E540" s="29" t="inlineStr">
        <is>
          <t>Karadonis</t>
        </is>
      </c>
      <c r="F540" s="29">
        <f>B540</f>
        <v/>
      </c>
      <c r="G540" s="29">
        <f>B540</f>
        <v/>
      </c>
      <c r="H540" s="29" t="inlineStr">
        <is>
          <t>타격귀</t>
        </is>
      </c>
      <c r="I540" s="29" t="inlineStr">
        <is>
          <t>打擊鬼</t>
        </is>
      </c>
      <c r="J540" s="29">
        <f>IFERROR(__xludf.DUMMYFUNCTION("GOOGLETRANSLATE(I540,""zh_HANT"",""zh_HANS"")"),"打击鬼")</f>
        <v/>
      </c>
      <c r="K540" s="29">
        <f>F540</f>
        <v/>
      </c>
    </row>
    <row r="541">
      <c r="A541" s="29">
        <f>CONCATENATE("NAME_PkMn_", UPPER(B541))</f>
        <v/>
      </c>
      <c r="B541" s="29" t="inlineStr">
        <is>
          <t>Sewaddle</t>
        </is>
      </c>
      <c r="C541" s="29" t="inlineStr">
        <is>
          <t>クルミル</t>
        </is>
      </c>
      <c r="D541" s="29" t="inlineStr">
        <is>
          <t>Larvayette</t>
        </is>
      </c>
      <c r="E541" s="29" t="inlineStr">
        <is>
          <t>Strawickl</t>
        </is>
      </c>
      <c r="F541" s="29">
        <f>B541</f>
        <v/>
      </c>
      <c r="G541" s="29">
        <f>B541</f>
        <v/>
      </c>
      <c r="H541" s="29" t="inlineStr">
        <is>
          <t>두르보</t>
        </is>
      </c>
      <c r="I541" s="29" t="inlineStr">
        <is>
          <t>蟲寶包</t>
        </is>
      </c>
      <c r="J541" s="29">
        <f>IFERROR(__xludf.DUMMYFUNCTION("GOOGLETRANSLATE(I541,""zh_HANT"",""zh_HANS"")"),"虫宝包")</f>
        <v/>
      </c>
      <c r="K541" s="29">
        <f>F541</f>
        <v/>
      </c>
    </row>
    <row r="542">
      <c r="A542" s="29">
        <f>CONCATENATE("NAME_PkMn_", UPPER(B542))</f>
        <v/>
      </c>
      <c r="B542" s="29" t="inlineStr">
        <is>
          <t>Swadloon</t>
        </is>
      </c>
      <c r="C542" s="29" t="inlineStr">
        <is>
          <t>クルマユ</t>
        </is>
      </c>
      <c r="D542" s="29" t="inlineStr">
        <is>
          <t>Couverdure</t>
        </is>
      </c>
      <c r="E542" s="29" t="inlineStr">
        <is>
          <t>Folikon</t>
        </is>
      </c>
      <c r="F542" s="29">
        <f>B542</f>
        <v/>
      </c>
      <c r="G542" s="29">
        <f>B542</f>
        <v/>
      </c>
      <c r="H542" s="29" t="inlineStr">
        <is>
          <t>두르쿤</t>
        </is>
      </c>
      <c r="I542" s="29" t="inlineStr">
        <is>
          <t>寶包繭</t>
        </is>
      </c>
      <c r="J542" s="29">
        <f>IFERROR(__xludf.DUMMYFUNCTION("GOOGLETRANSLATE(I542,""zh_HANT"",""zh_HANS"")"),"宝包茧")</f>
        <v/>
      </c>
      <c r="K542" s="29">
        <f>F542</f>
        <v/>
      </c>
    </row>
    <row r="543">
      <c r="A543" s="29">
        <f>CONCATENATE("NAME_PkMn_", UPPER(B543))</f>
        <v/>
      </c>
      <c r="B543" s="29" t="inlineStr">
        <is>
          <t>Leavanny</t>
        </is>
      </c>
      <c r="C543" s="29" t="inlineStr">
        <is>
          <t>ハハコモリ</t>
        </is>
      </c>
      <c r="D543" s="29" t="inlineStr">
        <is>
          <t>Manternel</t>
        </is>
      </c>
      <c r="E543" s="29" t="inlineStr">
        <is>
          <t>Matrifol</t>
        </is>
      </c>
      <c r="F543" s="29">
        <f>B543</f>
        <v/>
      </c>
      <c r="G543" s="29">
        <f>B543</f>
        <v/>
      </c>
      <c r="H543" s="29" t="inlineStr">
        <is>
          <t>모아머</t>
        </is>
      </c>
      <c r="I543" s="29" t="inlineStr">
        <is>
          <t>保母蟲</t>
        </is>
      </c>
      <c r="J543" s="29">
        <f>IFERROR(__xludf.DUMMYFUNCTION("GOOGLETRANSLATE(I543,""zh_HANT"",""zh_HANS"")"),"保母虫")</f>
        <v/>
      </c>
      <c r="K543" s="29">
        <f>F543</f>
        <v/>
      </c>
    </row>
    <row r="544">
      <c r="A544" s="29">
        <f>CONCATENATE("NAME_PkMn_", UPPER(B544))</f>
        <v/>
      </c>
      <c r="B544" s="29" t="inlineStr">
        <is>
          <t>Venipede</t>
        </is>
      </c>
      <c r="C544" s="29" t="inlineStr">
        <is>
          <t>フシデ</t>
        </is>
      </c>
      <c r="D544" s="29" t="inlineStr">
        <is>
          <t>Venipatte</t>
        </is>
      </c>
      <c r="E544" s="29" t="inlineStr">
        <is>
          <t>Toxiped</t>
        </is>
      </c>
      <c r="F544" s="29">
        <f>B544</f>
        <v/>
      </c>
      <c r="G544" s="29">
        <f>B544</f>
        <v/>
      </c>
      <c r="H544" s="29" t="inlineStr">
        <is>
          <t>마디네</t>
        </is>
      </c>
      <c r="I544" s="29" t="inlineStr">
        <is>
          <t>百足蜈蚣</t>
        </is>
      </c>
      <c r="J544" s="29">
        <f>I544</f>
        <v/>
      </c>
      <c r="K544" s="29">
        <f>F544</f>
        <v/>
      </c>
    </row>
    <row r="545">
      <c r="A545" s="29">
        <f>CONCATENATE("NAME_PkMn_", UPPER(B545))</f>
        <v/>
      </c>
      <c r="B545" s="29" t="inlineStr">
        <is>
          <t>Whirlipede</t>
        </is>
      </c>
      <c r="C545" s="29" t="inlineStr">
        <is>
          <t>ホイーガ</t>
        </is>
      </c>
      <c r="D545" s="29" t="inlineStr">
        <is>
          <t>Scobolide</t>
        </is>
      </c>
      <c r="E545" s="29" t="inlineStr">
        <is>
          <t>Rollum</t>
        </is>
      </c>
      <c r="F545" s="29">
        <f>B545</f>
        <v/>
      </c>
      <c r="G545" s="29">
        <f>B545</f>
        <v/>
      </c>
      <c r="H545" s="29" t="inlineStr">
        <is>
          <t>휠구</t>
        </is>
      </c>
      <c r="I545" s="29" t="inlineStr">
        <is>
          <t>車輪毬</t>
        </is>
      </c>
      <c r="J545" s="29">
        <f>IFERROR(__xludf.DUMMYFUNCTION("GOOGLETRANSLATE(I545,""zh_HANT"",""zh_HANS"")"),"车轮毬")</f>
        <v/>
      </c>
      <c r="K545" s="29">
        <f>F545</f>
        <v/>
      </c>
    </row>
    <row r="546">
      <c r="A546" s="29">
        <f>CONCATENATE("NAME_PkMn_", UPPER(B546))</f>
        <v/>
      </c>
      <c r="B546" s="29" t="inlineStr">
        <is>
          <t>Scoliopede</t>
        </is>
      </c>
      <c r="C546" s="29" t="inlineStr">
        <is>
          <t>ペンドラー</t>
        </is>
      </c>
      <c r="D546" s="29" t="inlineStr">
        <is>
          <t>Brutapode</t>
        </is>
      </c>
      <c r="E546" s="29" t="inlineStr">
        <is>
          <t>Cerapendra</t>
        </is>
      </c>
      <c r="F546" s="29">
        <f>B546</f>
        <v/>
      </c>
      <c r="G546" s="29">
        <f>B546</f>
        <v/>
      </c>
      <c r="H546" s="29" t="inlineStr">
        <is>
          <t>펜드라</t>
        </is>
      </c>
      <c r="I546" s="29" t="inlineStr">
        <is>
          <t>蜈蚣王</t>
        </is>
      </c>
      <c r="J546" s="29">
        <f>I546</f>
        <v/>
      </c>
      <c r="K546" s="29">
        <f>F546</f>
        <v/>
      </c>
    </row>
    <row r="547">
      <c r="A547" s="29">
        <f>CONCATENATE("NAME_PkMn_", UPPER(B547))</f>
        <v/>
      </c>
      <c r="B547" s="29" t="inlineStr">
        <is>
          <t>Cottonee</t>
        </is>
      </c>
      <c r="C547" s="29" t="inlineStr">
        <is>
          <t>モンメン</t>
        </is>
      </c>
      <c r="D547" s="29" t="inlineStr">
        <is>
          <t>Doudouvet</t>
        </is>
      </c>
      <c r="E547" s="29" t="inlineStr">
        <is>
          <t>Waumboll</t>
        </is>
      </c>
      <c r="F547" s="29">
        <f>B547</f>
        <v/>
      </c>
      <c r="G547" s="29">
        <f>B547</f>
        <v/>
      </c>
      <c r="H547" s="29" t="inlineStr">
        <is>
          <t>소미안</t>
        </is>
      </c>
      <c r="I547" s="29" t="inlineStr">
        <is>
          <t>木棉球</t>
        </is>
      </c>
      <c r="J547" s="29">
        <f>I547</f>
        <v/>
      </c>
      <c r="K547" s="29">
        <f>F547</f>
        <v/>
      </c>
    </row>
    <row r="548">
      <c r="A548" s="29">
        <f>CONCATENATE("NAME_PkMn_", UPPER(B548))</f>
        <v/>
      </c>
      <c r="B548" s="29" t="inlineStr">
        <is>
          <t>Whimsicott</t>
        </is>
      </c>
      <c r="C548" s="29" t="inlineStr">
        <is>
          <t>エルフーン</t>
        </is>
      </c>
      <c r="D548" s="29" t="inlineStr">
        <is>
          <t>Farfaduvet</t>
        </is>
      </c>
      <c r="E548" s="29" t="inlineStr">
        <is>
          <t>Elfun</t>
        </is>
      </c>
      <c r="F548" s="29">
        <f>B548</f>
        <v/>
      </c>
      <c r="G548" s="29">
        <f>B548</f>
        <v/>
      </c>
      <c r="H548" s="29" t="inlineStr">
        <is>
          <t>엘풍</t>
        </is>
      </c>
      <c r="I548" s="29" t="inlineStr">
        <is>
          <t>風妖精</t>
        </is>
      </c>
      <c r="J548" s="29">
        <f>IFERROR(__xludf.DUMMYFUNCTION("GOOGLETRANSLATE(I548,""zh_HANT"",""zh_HANS"")"),"风妖精")</f>
        <v/>
      </c>
      <c r="K548" s="29">
        <f>F548</f>
        <v/>
      </c>
    </row>
    <row r="549">
      <c r="A549" s="29">
        <f>CONCATENATE("NAME_PkMn_", UPPER(B549))</f>
        <v/>
      </c>
      <c r="B549" s="29" t="inlineStr">
        <is>
          <t>Petilil</t>
        </is>
      </c>
      <c r="C549" s="29" t="inlineStr">
        <is>
          <t>チュリネ</t>
        </is>
      </c>
      <c r="D549" s="29" t="inlineStr">
        <is>
          <t>Chlorobule</t>
        </is>
      </c>
      <c r="E549" s="29" t="inlineStr">
        <is>
          <t>Lilminip</t>
        </is>
      </c>
      <c r="F549" s="29">
        <f>B549</f>
        <v/>
      </c>
      <c r="G549" s="29">
        <f>B549</f>
        <v/>
      </c>
      <c r="H549" s="29" t="inlineStr">
        <is>
          <t>치릴리</t>
        </is>
      </c>
      <c r="I549" s="29" t="inlineStr">
        <is>
          <t>百合根娃娃</t>
        </is>
      </c>
      <c r="J549" s="29">
        <f>I549</f>
        <v/>
      </c>
      <c r="K549" s="29">
        <f>F549</f>
        <v/>
      </c>
    </row>
    <row r="550">
      <c r="A550" s="29">
        <f>CONCATENATE("NAME_PkMn_", UPPER(B550))</f>
        <v/>
      </c>
      <c r="B550" s="29" t="inlineStr">
        <is>
          <t>Lilligant</t>
        </is>
      </c>
      <c r="C550" s="29" t="inlineStr">
        <is>
          <t>ドレヂィア</t>
        </is>
      </c>
      <c r="D550" s="29" t="inlineStr">
        <is>
          <t>Fragilady</t>
        </is>
      </c>
      <c r="E550" s="29" t="inlineStr">
        <is>
          <t>Dressella</t>
        </is>
      </c>
      <c r="F550" s="29">
        <f>B550</f>
        <v/>
      </c>
      <c r="G550" s="29">
        <f>B550</f>
        <v/>
      </c>
      <c r="H550" s="29" t="inlineStr">
        <is>
          <t>드레디어</t>
        </is>
      </c>
      <c r="I550" s="29" t="inlineStr">
        <is>
          <t>裙兒小姐</t>
        </is>
      </c>
      <c r="J550" s="29">
        <f>IFERROR(__xludf.DUMMYFUNCTION("GOOGLETRANSLATE(I550,""zh_HANT"",""zh_HANS"")"),"裙儿小姐")</f>
        <v/>
      </c>
      <c r="K550" s="29">
        <f>F550</f>
        <v/>
      </c>
    </row>
    <row r="551">
      <c r="A551" s="29">
        <f>CONCATENATE("NAME_PkMn_", UPPER(B551))</f>
        <v/>
      </c>
      <c r="B551" s="29" t="inlineStr">
        <is>
          <t>Basculin</t>
        </is>
      </c>
      <c r="C551" s="29" t="inlineStr">
        <is>
          <t>バスラオ</t>
        </is>
      </c>
      <c r="D551" s="29" t="inlineStr">
        <is>
          <t>Bargantua</t>
        </is>
      </c>
      <c r="E551" s="29" t="inlineStr">
        <is>
          <t>Barschuft</t>
        </is>
      </c>
      <c r="F551" s="29">
        <f>B551</f>
        <v/>
      </c>
      <c r="G551" s="29">
        <f>B551</f>
        <v/>
      </c>
      <c r="H551" s="29" t="inlineStr">
        <is>
          <t>배쓰나이</t>
        </is>
      </c>
      <c r="I551" s="29" t="inlineStr">
        <is>
          <t>野蠻鱸魚</t>
        </is>
      </c>
      <c r="J551" s="29">
        <f>IFERROR(__xludf.DUMMYFUNCTION("GOOGLETRANSLATE(I551,""zh_HANT"",""zh_HANS"")"),"野蛮鲈鱼")</f>
        <v/>
      </c>
      <c r="K551" s="29">
        <f>F551</f>
        <v/>
      </c>
    </row>
    <row r="552">
      <c r="A552" s="29">
        <f>CONCATENATE("NAME_PkMn_", UPPER(B552))</f>
        <v/>
      </c>
      <c r="B552" s="29" t="inlineStr">
        <is>
          <t>Sandile</t>
        </is>
      </c>
      <c r="C552" s="29" t="inlineStr">
        <is>
          <t>メグロコ</t>
        </is>
      </c>
      <c r="D552" s="29" t="inlineStr">
        <is>
          <t>Mascaïman</t>
        </is>
      </c>
      <c r="E552" s="29" t="inlineStr">
        <is>
          <t>Ganovil</t>
        </is>
      </c>
      <c r="F552" s="29">
        <f>B552</f>
        <v/>
      </c>
      <c r="G552" s="29">
        <f>B552</f>
        <v/>
      </c>
      <c r="H552" s="29" t="inlineStr">
        <is>
          <t>깜눈크</t>
        </is>
      </c>
      <c r="I552" s="29" t="inlineStr">
        <is>
          <t>黑眼鱷</t>
        </is>
      </c>
      <c r="J552" s="29">
        <f>IFERROR(__xludf.DUMMYFUNCTION("GOOGLETRANSLATE(I552,""zh_HANT"",""zh_HANS"")"),"黑眼鳄")</f>
        <v/>
      </c>
      <c r="K552" s="29">
        <f>F552</f>
        <v/>
      </c>
    </row>
    <row r="553">
      <c r="A553" s="29">
        <f>CONCATENATE("NAME_PkMn_", UPPER(B553))</f>
        <v/>
      </c>
      <c r="B553" s="29" t="inlineStr">
        <is>
          <t>Krokorok</t>
        </is>
      </c>
      <c r="C553" s="29" t="inlineStr">
        <is>
          <t>ワルビル</t>
        </is>
      </c>
      <c r="D553" s="29" t="inlineStr">
        <is>
          <t>Escroco</t>
        </is>
      </c>
      <c r="E553" s="29" t="inlineStr">
        <is>
          <t>Rokkaiman</t>
        </is>
      </c>
      <c r="F553" s="29">
        <f>B553</f>
        <v/>
      </c>
      <c r="G553" s="29">
        <f>B553</f>
        <v/>
      </c>
      <c r="H553" s="29" t="inlineStr">
        <is>
          <t>악비르</t>
        </is>
      </c>
      <c r="I553" s="29" t="inlineStr">
        <is>
          <t>混混鱷</t>
        </is>
      </c>
      <c r="J553" s="29">
        <f>IFERROR(__xludf.DUMMYFUNCTION("GOOGLETRANSLATE(I553,""zh_HANT"",""zh_HANS"")"),"混混鳄")</f>
        <v/>
      </c>
      <c r="K553" s="29">
        <f>F553</f>
        <v/>
      </c>
    </row>
    <row r="554">
      <c r="A554" s="29">
        <f>CONCATENATE("NAME_PkMn_", UPPER(B554))</f>
        <v/>
      </c>
      <c r="B554" s="29" t="inlineStr">
        <is>
          <t>Krookodile</t>
        </is>
      </c>
      <c r="C554" s="29" t="inlineStr">
        <is>
          <t>ワルビアル</t>
        </is>
      </c>
      <c r="D554" s="29" t="inlineStr">
        <is>
          <t>Crocorible</t>
        </is>
      </c>
      <c r="E554" s="29" t="inlineStr">
        <is>
          <t>Rabigator</t>
        </is>
      </c>
      <c r="F554" s="29">
        <f>B554</f>
        <v/>
      </c>
      <c r="G554" s="29">
        <f>B554</f>
        <v/>
      </c>
      <c r="H554" s="29" t="inlineStr">
        <is>
          <t>악비아르</t>
        </is>
      </c>
      <c r="I554" s="29" t="inlineStr">
        <is>
          <t>流氓鱷</t>
        </is>
      </c>
      <c r="J554" s="29">
        <f>IFERROR(__xludf.DUMMYFUNCTION("GOOGLETRANSLATE(I554,""zh_HANT"",""zh_HANS"")"),"流氓鳄")</f>
        <v/>
      </c>
      <c r="K554" s="29">
        <f>F554</f>
        <v/>
      </c>
    </row>
    <row r="555">
      <c r="A555" s="29">
        <f>CONCATENATE("NAME_PkMn_", UPPER(B555))</f>
        <v/>
      </c>
      <c r="B555" s="29" t="inlineStr">
        <is>
          <t>Darumaka</t>
        </is>
      </c>
      <c r="C555" s="29" t="inlineStr">
        <is>
          <t>ダルマッカ</t>
        </is>
      </c>
      <c r="D555" s="29" t="inlineStr">
        <is>
          <t>Darumarond</t>
        </is>
      </c>
      <c r="E555" s="29" t="inlineStr">
        <is>
          <t>Flampion</t>
        </is>
      </c>
      <c r="F555" s="29">
        <f>B555</f>
        <v/>
      </c>
      <c r="G555" s="29">
        <f>B555</f>
        <v/>
      </c>
      <c r="H555" s="29" t="inlineStr">
        <is>
          <t>달막화</t>
        </is>
      </c>
      <c r="I555" s="29" t="inlineStr">
        <is>
          <t>火紅不倒翁</t>
        </is>
      </c>
      <c r="J555" s="29">
        <f>IFERROR(__xludf.DUMMYFUNCTION("GOOGLETRANSLATE(I555,""zh_HANT"",""zh_HANS"")"),"火红不倒翁")</f>
        <v/>
      </c>
      <c r="K555" s="29">
        <f>F555</f>
        <v/>
      </c>
    </row>
    <row r="556">
      <c r="A556" s="29">
        <f>CONCATENATE("NAME_PkMn_", UPPER(B556))</f>
        <v/>
      </c>
      <c r="B556" s="29" t="inlineStr">
        <is>
          <t>Darmanitan</t>
        </is>
      </c>
      <c r="C556" s="29" t="inlineStr">
        <is>
          <t>ヒヒダルマ</t>
        </is>
      </c>
      <c r="D556" s="29" t="inlineStr">
        <is>
          <t>Darumacho</t>
        </is>
      </c>
      <c r="E556" s="29" t="inlineStr">
        <is>
          <t>Flampivian</t>
        </is>
      </c>
      <c r="F556" s="29">
        <f>B556</f>
        <v/>
      </c>
      <c r="G556" s="29">
        <f>B556</f>
        <v/>
      </c>
      <c r="H556" s="29" t="inlineStr">
        <is>
          <t>불비달마</t>
        </is>
      </c>
      <c r="I556" s="29" t="inlineStr">
        <is>
          <t>達摩狒狒</t>
        </is>
      </c>
      <c r="J556" s="29">
        <f>IFERROR(__xludf.DUMMYFUNCTION("GOOGLETRANSLATE(I556,""zh_HANT"",""zh_HANS"")"),"达摩狒狒")</f>
        <v/>
      </c>
      <c r="K556" s="29">
        <f>F556</f>
        <v/>
      </c>
    </row>
    <row r="557">
      <c r="A557" s="29">
        <f>CONCATENATE("NAME_PkMn_", UPPER(B557))</f>
        <v/>
      </c>
      <c r="B557" s="29" t="inlineStr">
        <is>
          <t>Maractus</t>
        </is>
      </c>
      <c r="C557" s="29" t="inlineStr">
        <is>
          <t>マラカッチ</t>
        </is>
      </c>
      <c r="D557" s="29" t="inlineStr">
        <is>
          <t>Maracachi</t>
        </is>
      </c>
      <c r="E557" s="29" t="inlineStr">
        <is>
          <t>Maracamba</t>
        </is>
      </c>
      <c r="F557" s="29">
        <f>B557</f>
        <v/>
      </c>
      <c r="G557" s="29">
        <f>B557</f>
        <v/>
      </c>
      <c r="H557" s="29" t="inlineStr">
        <is>
          <t>마라카치</t>
        </is>
      </c>
      <c r="I557" s="29" t="inlineStr">
        <is>
          <t>沙鈴仙人掌</t>
        </is>
      </c>
      <c r="J557" s="29">
        <f>IFERROR(__xludf.DUMMYFUNCTION("GOOGLETRANSLATE(I557,""zh_HANT"",""zh_HANS"")"),"沙铃仙人掌")</f>
        <v/>
      </c>
      <c r="K557" s="29">
        <f>F557</f>
        <v/>
      </c>
    </row>
    <row r="558">
      <c r="A558" s="29">
        <f>CONCATENATE("NAME_PkMn_", UPPER(B558))</f>
        <v/>
      </c>
      <c r="B558" s="29" t="inlineStr">
        <is>
          <t>Dwebble</t>
        </is>
      </c>
      <c r="C558" s="29" t="inlineStr">
        <is>
          <t>イシズマイ</t>
        </is>
      </c>
      <c r="D558" s="29" t="inlineStr">
        <is>
          <t>Crabicoque</t>
        </is>
      </c>
      <c r="E558" s="29" t="inlineStr">
        <is>
          <t>Lithomith</t>
        </is>
      </c>
      <c r="F558" s="29">
        <f>B558</f>
        <v/>
      </c>
      <c r="G558" s="29">
        <f>B558</f>
        <v/>
      </c>
      <c r="H558" s="29" t="inlineStr">
        <is>
          <t>돌살이</t>
        </is>
      </c>
      <c r="I558" s="29" t="inlineStr">
        <is>
          <t>石居蟹</t>
        </is>
      </c>
      <c r="J558" s="29">
        <f>I558</f>
        <v/>
      </c>
      <c r="K558" s="29">
        <f>F558</f>
        <v/>
      </c>
    </row>
    <row r="559">
      <c r="A559" s="29">
        <f>CONCATENATE("NAME_PkMn_", UPPER(B559))</f>
        <v/>
      </c>
      <c r="B559" s="29" t="inlineStr">
        <is>
          <t>Crustle</t>
        </is>
      </c>
      <c r="C559" s="29" t="inlineStr">
        <is>
          <t>イワパレス</t>
        </is>
      </c>
      <c r="D559" s="29" t="inlineStr">
        <is>
          <t>Crabaraque</t>
        </is>
      </c>
      <c r="E559" s="29" t="inlineStr">
        <is>
          <t>Castellith</t>
        </is>
      </c>
      <c r="F559" s="29">
        <f>B559</f>
        <v/>
      </c>
      <c r="G559" s="29">
        <f>B559</f>
        <v/>
      </c>
      <c r="H559" s="29" t="inlineStr">
        <is>
          <t>암팰리스</t>
        </is>
      </c>
      <c r="I559" s="29" t="inlineStr">
        <is>
          <t>岩殿居蟹</t>
        </is>
      </c>
      <c r="J559" s="29">
        <f>I559</f>
        <v/>
      </c>
      <c r="K559" s="29">
        <f>F559</f>
        <v/>
      </c>
    </row>
    <row r="560">
      <c r="A560" s="29">
        <f>CONCATENATE("NAME_PkMn_", UPPER(B560))</f>
        <v/>
      </c>
      <c r="B560" s="29" t="inlineStr">
        <is>
          <t>Scraggy</t>
        </is>
      </c>
      <c r="C560" s="29" t="inlineStr">
        <is>
          <t>ズルッグ</t>
        </is>
      </c>
      <c r="D560" s="29" t="inlineStr">
        <is>
          <t>Baggiguane</t>
        </is>
      </c>
      <c r="E560" s="29" t="inlineStr">
        <is>
          <t>Zurrokex</t>
        </is>
      </c>
      <c r="F560" s="29">
        <f>B560</f>
        <v/>
      </c>
      <c r="G560" s="29">
        <f>B560</f>
        <v/>
      </c>
      <c r="H560" s="29" t="inlineStr">
        <is>
          <t>곤율랭</t>
        </is>
      </c>
      <c r="I560" s="29" t="inlineStr">
        <is>
          <t>滑滑小子</t>
        </is>
      </c>
      <c r="J560" s="29">
        <f>I560</f>
        <v/>
      </c>
      <c r="K560" s="29">
        <f>F560</f>
        <v/>
      </c>
    </row>
    <row r="561">
      <c r="A561" s="29">
        <f>CONCATENATE("NAME_PkMn_", UPPER(B561))</f>
        <v/>
      </c>
      <c r="B561" s="29" t="inlineStr">
        <is>
          <t>Scrafty</t>
        </is>
      </c>
      <c r="C561" s="29" t="inlineStr">
        <is>
          <t>ズルズキン</t>
        </is>
      </c>
      <c r="D561" s="29" t="inlineStr">
        <is>
          <t>Baggaïd</t>
        </is>
      </c>
      <c r="E561" s="29" t="inlineStr">
        <is>
          <t>Irokex</t>
        </is>
      </c>
      <c r="F561" s="29">
        <f>B561</f>
        <v/>
      </c>
      <c r="G561" s="29">
        <f>B561</f>
        <v/>
      </c>
      <c r="H561" s="29" t="inlineStr">
        <is>
          <t>곤율거니</t>
        </is>
      </c>
      <c r="I561" s="29" t="inlineStr">
        <is>
          <t>頭巾混混</t>
        </is>
      </c>
      <c r="J561" s="29">
        <f>IFERROR(__xludf.DUMMYFUNCTION("GOOGLETRANSLATE(I561,""zh_HANT"",""zh_HANS"")"),"头巾混混")</f>
        <v/>
      </c>
      <c r="K561" s="29">
        <f>F561</f>
        <v/>
      </c>
    </row>
    <row r="562">
      <c r="A562" s="29">
        <f>CONCATENATE("NAME_PkMn_", UPPER(B562))</f>
        <v/>
      </c>
      <c r="B562" s="29" t="inlineStr">
        <is>
          <t>Sigilyph</t>
        </is>
      </c>
      <c r="C562" s="29" t="inlineStr">
        <is>
          <t>シンボラー</t>
        </is>
      </c>
      <c r="D562" s="29" t="inlineStr">
        <is>
          <t>Cryptéro</t>
        </is>
      </c>
      <c r="E562" s="29" t="inlineStr">
        <is>
          <t>Symvolara</t>
        </is>
      </c>
      <c r="F562" s="29">
        <f>B562</f>
        <v/>
      </c>
      <c r="G562" s="29">
        <f>B562</f>
        <v/>
      </c>
      <c r="H562" s="29" t="inlineStr">
        <is>
          <t>심보러</t>
        </is>
      </c>
      <c r="I562" s="29" t="inlineStr">
        <is>
          <t>象徵鳥</t>
        </is>
      </c>
      <c r="J562" s="29">
        <f>IFERROR(__xludf.DUMMYFUNCTION("GOOGLETRANSLATE(I562,""zh_HANT"",""zh_HANS"")"),"象征鸟")</f>
        <v/>
      </c>
      <c r="K562" s="29">
        <f>F562</f>
        <v/>
      </c>
    </row>
    <row r="563">
      <c r="A563" s="29">
        <f>CONCATENATE("NAME_PkMn_", UPPER(B563))</f>
        <v/>
      </c>
      <c r="B563" s="29" t="inlineStr">
        <is>
          <t>Yamask</t>
        </is>
      </c>
      <c r="C563" s="29" t="inlineStr">
        <is>
          <t>デスマス</t>
        </is>
      </c>
      <c r="D563" s="29" t="inlineStr">
        <is>
          <t>Tutafeh</t>
        </is>
      </c>
      <c r="E563" s="29" t="inlineStr">
        <is>
          <t>Makabaja</t>
        </is>
      </c>
      <c r="F563" s="29">
        <f>B563</f>
        <v/>
      </c>
      <c r="G563" s="29">
        <f>B563</f>
        <v/>
      </c>
      <c r="H563" s="29" t="inlineStr">
        <is>
          <t>데스마스</t>
        </is>
      </c>
      <c r="I563" s="29" t="inlineStr">
        <is>
          <t>哭哭面具</t>
        </is>
      </c>
      <c r="J563" s="29">
        <f>I563</f>
        <v/>
      </c>
      <c r="K563" s="29">
        <f>F563</f>
        <v/>
      </c>
    </row>
    <row r="564">
      <c r="A564" s="29">
        <f>CONCATENATE("NAME_PkMn_", UPPER(B564))</f>
        <v/>
      </c>
      <c r="B564" s="29" t="inlineStr">
        <is>
          <t>Cofagrigus</t>
        </is>
      </c>
      <c r="C564" s="29" t="inlineStr">
        <is>
          <t>デスカーン</t>
        </is>
      </c>
      <c r="D564" s="29" t="inlineStr">
        <is>
          <t>Tutankafer</t>
        </is>
      </c>
      <c r="E564" s="29" t="inlineStr">
        <is>
          <t>Echnatoll</t>
        </is>
      </c>
      <c r="F564" s="29">
        <f>B564</f>
        <v/>
      </c>
      <c r="G564" s="29">
        <f>B564</f>
        <v/>
      </c>
      <c r="H564" s="29" t="inlineStr">
        <is>
          <t>데스니칸</t>
        </is>
      </c>
      <c r="I564" s="29" t="inlineStr">
        <is>
          <t>死神棺</t>
        </is>
      </c>
      <c r="J564" s="29" t="inlineStr">
        <is>
          <t>迭失棺</t>
        </is>
      </c>
      <c r="K564" s="29">
        <f>F564</f>
        <v/>
      </c>
    </row>
    <row r="565">
      <c r="A565" s="29">
        <f>CONCATENATE("NAME_PkMn_", UPPER(B565))</f>
        <v/>
      </c>
      <c r="B565" s="29" t="inlineStr">
        <is>
          <t>Tirtouga</t>
        </is>
      </c>
      <c r="C565" s="29" t="inlineStr">
        <is>
          <t>プロトーガ</t>
        </is>
      </c>
      <c r="D565" s="29" t="inlineStr">
        <is>
          <t>Carapagos</t>
        </is>
      </c>
      <c r="E565" s="29" t="inlineStr">
        <is>
          <t>Galapaflos</t>
        </is>
      </c>
      <c r="F565" s="29">
        <f>B565</f>
        <v/>
      </c>
      <c r="G565" s="29">
        <f>B565</f>
        <v/>
      </c>
      <c r="H565" s="29" t="inlineStr">
        <is>
          <t>프로토가</t>
        </is>
      </c>
      <c r="I565" s="29" t="inlineStr">
        <is>
          <t>原蓋海龜</t>
        </is>
      </c>
      <c r="J565" s="29">
        <f>IFERROR(__xludf.DUMMYFUNCTION("GOOGLETRANSLATE(I565,""zh_HANT"",""zh_HANS"")"),"原盖海龟")</f>
        <v/>
      </c>
      <c r="K565" s="29">
        <f>F565</f>
        <v/>
      </c>
    </row>
    <row r="566">
      <c r="A566" s="29">
        <f>CONCATENATE("NAME_PkMn_", UPPER(B566))</f>
        <v/>
      </c>
      <c r="B566" s="29" t="inlineStr">
        <is>
          <t>Carracosta</t>
        </is>
      </c>
      <c r="C566" s="29" t="inlineStr">
        <is>
          <t>アバゴーラ</t>
        </is>
      </c>
      <c r="D566" s="29" t="inlineStr">
        <is>
          <t>Mégapagos</t>
        </is>
      </c>
      <c r="E566" s="29" t="inlineStr">
        <is>
          <t>Karippas</t>
        </is>
      </c>
      <c r="F566" s="29">
        <f>B566</f>
        <v/>
      </c>
      <c r="G566" s="29">
        <f>B566</f>
        <v/>
      </c>
      <c r="H566" s="29" t="inlineStr">
        <is>
          <t>늑골라</t>
        </is>
      </c>
      <c r="I566" s="29" t="inlineStr">
        <is>
          <t>肋骨海龜</t>
        </is>
      </c>
      <c r="J566" s="29">
        <f>IFERROR(__xludf.DUMMYFUNCTION("GOOGLETRANSLATE(I566,""zh_HANT"",""zh_HANS"")"),"肋骨海龟")</f>
        <v/>
      </c>
      <c r="K566" s="29">
        <f>F566</f>
        <v/>
      </c>
    </row>
    <row r="567">
      <c r="A567" s="29">
        <f>CONCATENATE("NAME_PkMn_", UPPER(B567))</f>
        <v/>
      </c>
      <c r="B567" s="29" t="inlineStr">
        <is>
          <t>Archen</t>
        </is>
      </c>
      <c r="C567" s="29" t="inlineStr">
        <is>
          <t>アーケン</t>
        </is>
      </c>
      <c r="D567" s="29" t="inlineStr">
        <is>
          <t>Arkéapti</t>
        </is>
      </c>
      <c r="E567" s="29" t="inlineStr">
        <is>
          <t>Flapteryx</t>
        </is>
      </c>
      <c r="F567" s="29">
        <f>B567</f>
        <v/>
      </c>
      <c r="G567" s="29">
        <f>B567</f>
        <v/>
      </c>
      <c r="H567" s="29" t="inlineStr">
        <is>
          <t>아켄</t>
        </is>
      </c>
      <c r="I567" s="29" t="inlineStr">
        <is>
          <t>始祖小鳥</t>
        </is>
      </c>
      <c r="J567" s="29">
        <f>IFERROR(__xludf.DUMMYFUNCTION("GOOGLETRANSLATE(I567,""zh_HANT"",""zh_HANS"")"),"始祖小鸟")</f>
        <v/>
      </c>
      <c r="K567" s="29">
        <f>F567</f>
        <v/>
      </c>
    </row>
    <row r="568">
      <c r="A568" s="29">
        <f>CONCATENATE("NAME_PkMn_", UPPER(B568))</f>
        <v/>
      </c>
      <c r="B568" s="29" t="inlineStr">
        <is>
          <t>Archeops</t>
        </is>
      </c>
      <c r="C568" s="29" t="inlineStr">
        <is>
          <t>アーケオス</t>
        </is>
      </c>
      <c r="D568" s="29" t="inlineStr">
        <is>
          <t>Aéroptéryx</t>
        </is>
      </c>
      <c r="E568" s="29" t="inlineStr">
        <is>
          <t>Aeropteryx</t>
        </is>
      </c>
      <c r="F568" s="29">
        <f>B568</f>
        <v/>
      </c>
      <c r="G568" s="29">
        <f>B568</f>
        <v/>
      </c>
      <c r="H568" s="29" t="inlineStr">
        <is>
          <t>아케오스</t>
        </is>
      </c>
      <c r="I568" s="29" t="inlineStr">
        <is>
          <t>始祖大鳥</t>
        </is>
      </c>
      <c r="J568" s="29">
        <f>IFERROR(__xludf.DUMMYFUNCTION("GOOGLETRANSLATE(I568,""zh_HANT"",""zh_HANS"")"),"始祖大鸟")</f>
        <v/>
      </c>
      <c r="K568" s="29">
        <f>F568</f>
        <v/>
      </c>
    </row>
    <row r="569">
      <c r="A569" s="29">
        <f>CONCATENATE("NAME_PkMn_", UPPER(B569))</f>
        <v/>
      </c>
      <c r="B569" s="29" t="inlineStr">
        <is>
          <t>Trubbish</t>
        </is>
      </c>
      <c r="C569" s="29" t="inlineStr">
        <is>
          <t>ヤブクロン</t>
        </is>
      </c>
      <c r="D569" s="29" t="inlineStr">
        <is>
          <t>Miamiasme</t>
        </is>
      </c>
      <c r="E569" s="29" t="inlineStr">
        <is>
          <t>Unratütox</t>
        </is>
      </c>
      <c r="F569" s="29">
        <f>B569</f>
        <v/>
      </c>
      <c r="G569" s="29">
        <f>B569</f>
        <v/>
      </c>
      <c r="H569" s="29" t="inlineStr">
        <is>
          <t>깨봉이</t>
        </is>
      </c>
      <c r="I569" s="29" t="inlineStr">
        <is>
          <t>破破袋</t>
        </is>
      </c>
      <c r="J569" s="29">
        <f>I569</f>
        <v/>
      </c>
      <c r="K569" s="29">
        <f>F569</f>
        <v/>
      </c>
    </row>
    <row r="570">
      <c r="A570" s="29">
        <f>CONCATENATE("NAME_PkMn_", UPPER(B570))</f>
        <v/>
      </c>
      <c r="B570" s="29" t="inlineStr">
        <is>
          <t>Garbodor</t>
        </is>
      </c>
      <c r="C570" s="29" t="inlineStr">
        <is>
          <t>ダストダス</t>
        </is>
      </c>
      <c r="D570" s="29" t="inlineStr">
        <is>
          <t>Miasmax</t>
        </is>
      </c>
      <c r="E570" s="29" t="inlineStr">
        <is>
          <t>Deponitox</t>
        </is>
      </c>
      <c r="F570" s="29">
        <f>B570</f>
        <v/>
      </c>
      <c r="G570" s="29">
        <f>B570</f>
        <v/>
      </c>
      <c r="H570" s="29" t="inlineStr">
        <is>
          <t>더스트나</t>
        </is>
      </c>
      <c r="I570" s="29" t="inlineStr">
        <is>
          <t>灰塵山</t>
        </is>
      </c>
      <c r="J570" s="29">
        <f>IFERROR(__xludf.DUMMYFUNCTION("GOOGLETRANSLATE(I570,""zh_HANT"",""zh_HANS"")"),"灰尘山")</f>
        <v/>
      </c>
      <c r="K570" s="29">
        <f>F570</f>
        <v/>
      </c>
    </row>
    <row r="571">
      <c r="A571" s="29">
        <f>CONCATENATE("NAME_PkMn_", UPPER(B571))</f>
        <v/>
      </c>
      <c r="B571" s="29" t="inlineStr">
        <is>
          <t>Zorua</t>
        </is>
      </c>
      <c r="C571" s="29" t="inlineStr">
        <is>
          <t>ゾロア</t>
        </is>
      </c>
      <c r="D571" s="29">
        <f>B571</f>
        <v/>
      </c>
      <c r="E571" s="29">
        <f>B571</f>
        <v/>
      </c>
      <c r="F571" s="29">
        <f>B571</f>
        <v/>
      </c>
      <c r="G571" s="29">
        <f>B571</f>
        <v/>
      </c>
      <c r="H571" s="29" t="inlineStr">
        <is>
          <t>조로아</t>
        </is>
      </c>
      <c r="I571" s="29" t="inlineStr">
        <is>
          <t>索羅亞</t>
        </is>
      </c>
      <c r="J571" s="29">
        <f>IFERROR(__xludf.DUMMYFUNCTION("GOOGLETRANSLATE(I571,""zh_HANT"",""zh_HANS"")"),"索罗亚")</f>
        <v/>
      </c>
      <c r="K571" s="29">
        <f>F571</f>
        <v/>
      </c>
    </row>
    <row r="572">
      <c r="A572" s="29">
        <f>CONCATENATE("NAME_PkMn_", UPPER(B572))</f>
        <v/>
      </c>
      <c r="B572" s="29" t="inlineStr">
        <is>
          <t>Zoroark</t>
        </is>
      </c>
      <c r="C572" s="29" t="inlineStr">
        <is>
          <t>ゾロアーク</t>
        </is>
      </c>
      <c r="D572" s="29">
        <f>B572</f>
        <v/>
      </c>
      <c r="E572" s="29">
        <f>B572</f>
        <v/>
      </c>
      <c r="F572" s="29">
        <f>B572</f>
        <v/>
      </c>
      <c r="G572" s="29">
        <f>B572</f>
        <v/>
      </c>
      <c r="H572" s="29" t="inlineStr">
        <is>
          <t>조로아크</t>
        </is>
      </c>
      <c r="I572" s="29" t="inlineStr">
        <is>
          <t>索羅亞克</t>
        </is>
      </c>
      <c r="J572" s="29">
        <f>IFERROR(__xludf.DUMMYFUNCTION("GOOGLETRANSLATE(I572,""zh_HANT"",""zh_HANS"")"),"索罗亚克")</f>
        <v/>
      </c>
      <c r="K572" s="29">
        <f>F572</f>
        <v/>
      </c>
    </row>
    <row r="573">
      <c r="A573" s="29">
        <f>CONCATENATE("NAME_PkMn_", UPPER(B573))</f>
        <v/>
      </c>
      <c r="B573" s="29" t="inlineStr">
        <is>
          <t>Minccino</t>
        </is>
      </c>
      <c r="C573" s="29" t="inlineStr">
        <is>
          <t>チラーミィ</t>
        </is>
      </c>
      <c r="D573" s="29" t="inlineStr">
        <is>
          <t>Chinchidou</t>
        </is>
      </c>
      <c r="E573" s="29" t="inlineStr">
        <is>
          <t>Picochilla</t>
        </is>
      </c>
      <c r="F573" s="29">
        <f>B573</f>
        <v/>
      </c>
      <c r="G573" s="29">
        <f>B573</f>
        <v/>
      </c>
      <c r="H573" s="29" t="inlineStr">
        <is>
          <t>치라미</t>
        </is>
      </c>
      <c r="I573" s="29" t="inlineStr">
        <is>
          <t>泡沫栗鼠</t>
        </is>
      </c>
      <c r="J573" s="29">
        <f>I573</f>
        <v/>
      </c>
      <c r="K573" s="29">
        <f>F573</f>
        <v/>
      </c>
    </row>
    <row r="574">
      <c r="A574" s="29">
        <f>CONCATENATE("NAME_PkMn_", UPPER(B574))</f>
        <v/>
      </c>
      <c r="B574" s="29" t="inlineStr">
        <is>
          <t>Cinccino</t>
        </is>
      </c>
      <c r="C574" s="29" t="inlineStr">
        <is>
          <t>チラチーノ</t>
        </is>
      </c>
      <c r="D574" s="29" t="inlineStr">
        <is>
          <t>Pashmilla</t>
        </is>
      </c>
      <c r="E574" s="29" t="inlineStr">
        <is>
          <t>Chillabell</t>
        </is>
      </c>
      <c r="F574" s="29">
        <f>B574</f>
        <v/>
      </c>
      <c r="G574" s="29">
        <f>B574</f>
        <v/>
      </c>
      <c r="H574" s="29" t="inlineStr">
        <is>
          <t>치라치노</t>
        </is>
      </c>
      <c r="I574" s="29" t="inlineStr">
        <is>
          <t>奇諾栗鼠</t>
        </is>
      </c>
      <c r="J574" s="29">
        <f>IFERROR(__xludf.DUMMYFUNCTION("GOOGLETRANSLATE(I574,""zh_HANT"",""zh_HANS"")"),"奇诺栗鼠")</f>
        <v/>
      </c>
      <c r="K574" s="29">
        <f>F574</f>
        <v/>
      </c>
    </row>
    <row r="575">
      <c r="A575" s="29">
        <f>CONCATENATE("NAME_PkMn_", UPPER(B575))</f>
        <v/>
      </c>
      <c r="B575" s="29" t="inlineStr">
        <is>
          <t>Gothita</t>
        </is>
      </c>
      <c r="C575" s="29" t="inlineStr">
        <is>
          <t>ゴチム</t>
        </is>
      </c>
      <c r="D575" s="29" t="inlineStr">
        <is>
          <t>Scrutella</t>
        </is>
      </c>
      <c r="E575" s="29" t="inlineStr">
        <is>
          <t>Mollimorba</t>
        </is>
      </c>
      <c r="F575" s="29">
        <f>B575</f>
        <v/>
      </c>
      <c r="G575" s="29">
        <f>B575</f>
        <v/>
      </c>
      <c r="H575" s="29" t="inlineStr">
        <is>
          <t>고디탱</t>
        </is>
      </c>
      <c r="I575" s="29" t="inlineStr">
        <is>
          <t>哥德寶寶</t>
        </is>
      </c>
      <c r="J575" s="29">
        <f>IFERROR(__xludf.DUMMYFUNCTION("GOOGLETRANSLATE(I575,""zh_HANT"",""zh_HANS"")"),"哥德宝宝")</f>
        <v/>
      </c>
      <c r="K575" s="29">
        <f>F575</f>
        <v/>
      </c>
    </row>
    <row r="576">
      <c r="A576" s="29">
        <f>CONCATENATE("NAME_PkMn_", UPPER(B576))</f>
        <v/>
      </c>
      <c r="B576" s="29" t="inlineStr">
        <is>
          <t>Gothorita</t>
        </is>
      </c>
      <c r="C576" s="29" t="inlineStr">
        <is>
          <t>ゴチミル</t>
        </is>
      </c>
      <c r="D576" s="29" t="inlineStr">
        <is>
          <t>Mesmérella</t>
        </is>
      </c>
      <c r="E576" s="29" t="inlineStr">
        <is>
          <t>Hypnomorba</t>
        </is>
      </c>
      <c r="F576" s="29">
        <f>B576</f>
        <v/>
      </c>
      <c r="G576" s="29">
        <f>B576</f>
        <v/>
      </c>
      <c r="H576" s="29" t="inlineStr">
        <is>
          <t>고디보미</t>
        </is>
      </c>
      <c r="I576" s="29" t="inlineStr">
        <is>
          <t>哥德小童</t>
        </is>
      </c>
      <c r="J576" s="29">
        <f>I576</f>
        <v/>
      </c>
      <c r="K576" s="29">
        <f>F576</f>
        <v/>
      </c>
    </row>
    <row r="577">
      <c r="A577" s="29">
        <f>CONCATENATE("NAME_PkMn_", UPPER(B577))</f>
        <v/>
      </c>
      <c r="B577" s="29" t="inlineStr">
        <is>
          <t>Gothitelle</t>
        </is>
      </c>
      <c r="C577" s="29" t="inlineStr">
        <is>
          <t>ゴチルゼル</t>
        </is>
      </c>
      <c r="D577" s="29" t="inlineStr">
        <is>
          <t>Sidérella</t>
        </is>
      </c>
      <c r="E577" s="29" t="inlineStr">
        <is>
          <t>Morbitesse</t>
        </is>
      </c>
      <c r="F577" s="29">
        <f>B577</f>
        <v/>
      </c>
      <c r="G577" s="29">
        <f>B577</f>
        <v/>
      </c>
      <c r="H577" s="29" t="inlineStr">
        <is>
          <t>고디모아젤</t>
        </is>
      </c>
      <c r="I577" s="29" t="inlineStr">
        <is>
          <t>哥德小姐</t>
        </is>
      </c>
      <c r="J577" s="29">
        <f>I577</f>
        <v/>
      </c>
      <c r="K577" s="29">
        <f>F577</f>
        <v/>
      </c>
    </row>
    <row r="578">
      <c r="A578" s="29">
        <f>CONCATENATE("NAME_PkMn_", UPPER(B578))</f>
        <v/>
      </c>
      <c r="B578" s="9" t="inlineStr">
        <is>
          <t>Solosis</t>
        </is>
      </c>
      <c r="C578" s="29" t="inlineStr">
        <is>
          <t>ユニラン</t>
        </is>
      </c>
      <c r="D578" s="29" t="inlineStr">
        <is>
          <t>Nucléos</t>
        </is>
      </c>
      <c r="E578" s="29" t="inlineStr">
        <is>
          <t>Monozyto</t>
        </is>
      </c>
      <c r="F578" s="29">
        <f>B578</f>
        <v/>
      </c>
      <c r="G578" s="29">
        <f>B578</f>
        <v/>
      </c>
      <c r="H578" s="29" t="inlineStr">
        <is>
          <t>유니란</t>
        </is>
      </c>
      <c r="I578" s="29" t="inlineStr">
        <is>
          <t>單卵細胞球</t>
        </is>
      </c>
      <c r="J578" s="29">
        <f>IFERROR(__xludf.DUMMYFUNCTION("GOOGLETRANSLATE(I578,""zh_HANT"",""zh_HANS"")"),"单卵细胞球")</f>
        <v/>
      </c>
      <c r="K578" s="29">
        <f>F578</f>
        <v/>
      </c>
    </row>
    <row r="579">
      <c r="A579" s="29">
        <f>CONCATENATE("NAME_PkMn_", UPPER(B579))</f>
        <v/>
      </c>
      <c r="B579" s="29" t="inlineStr">
        <is>
          <t>Duosion</t>
        </is>
      </c>
      <c r="C579" s="29" t="inlineStr">
        <is>
          <t>ダブラン</t>
        </is>
      </c>
      <c r="D579" s="29" t="inlineStr">
        <is>
          <t>Méios</t>
        </is>
      </c>
      <c r="E579" s="29" t="inlineStr">
        <is>
          <t>Mitodos</t>
        </is>
      </c>
      <c r="F579" s="29">
        <f>B579</f>
        <v/>
      </c>
      <c r="G579" s="29">
        <f>B579</f>
        <v/>
      </c>
      <c r="H579" s="29" t="inlineStr">
        <is>
          <t>듀란</t>
        </is>
      </c>
      <c r="I579" s="29" t="inlineStr">
        <is>
          <t>雙卵細胞球</t>
        </is>
      </c>
      <c r="J579" s="29">
        <f>IFERROR(__xludf.DUMMYFUNCTION("GOOGLETRANSLATE(I579,""zh_HANT"",""zh_HANS"")"),"双卵细胞球")</f>
        <v/>
      </c>
      <c r="K579" s="29">
        <f>F579</f>
        <v/>
      </c>
    </row>
    <row r="580">
      <c r="A580" s="29">
        <f>CONCATENATE("NAME_PkMn_", UPPER(B580))</f>
        <v/>
      </c>
      <c r="B580" s="29" t="inlineStr">
        <is>
          <t>Reuniclus</t>
        </is>
      </c>
      <c r="C580" s="29" t="inlineStr">
        <is>
          <t>ランクルス</t>
        </is>
      </c>
      <c r="D580" s="29" t="inlineStr">
        <is>
          <t>Symbios</t>
        </is>
      </c>
      <c r="E580" s="29" t="inlineStr">
        <is>
          <t>Zytomega</t>
        </is>
      </c>
      <c r="F580" s="29">
        <f>B580</f>
        <v/>
      </c>
      <c r="G580" s="29">
        <f>B580</f>
        <v/>
      </c>
      <c r="H580" s="29" t="inlineStr">
        <is>
          <t>란쿨루스</t>
        </is>
      </c>
      <c r="I580" s="29" t="inlineStr">
        <is>
          <t>人造細胞卵</t>
        </is>
      </c>
      <c r="J580" s="29">
        <f>IFERROR(__xludf.DUMMYFUNCTION("GOOGLETRANSLATE(I580,""zh_HANT"",""zh_HANS"")"),"人造细胞卵")</f>
        <v/>
      </c>
      <c r="K580" s="29">
        <f>F580</f>
        <v/>
      </c>
    </row>
    <row r="581">
      <c r="A581" s="29">
        <f>CONCATENATE("NAME_PkMn_", UPPER(B581))</f>
        <v/>
      </c>
      <c r="B581" s="29" t="inlineStr">
        <is>
          <t>Ducklett</t>
        </is>
      </c>
      <c r="C581" s="29" t="inlineStr">
        <is>
          <t>コアルヒー</t>
        </is>
      </c>
      <c r="D581" s="29" t="inlineStr">
        <is>
          <t>Couaneton</t>
        </is>
      </c>
      <c r="E581" s="29" t="inlineStr">
        <is>
          <t>Piccolente</t>
        </is>
      </c>
      <c r="F581" s="29">
        <f>B581</f>
        <v/>
      </c>
      <c r="G581" s="29">
        <f>B581</f>
        <v/>
      </c>
      <c r="H581" s="29" t="inlineStr">
        <is>
          <t>꼬지보리</t>
        </is>
      </c>
      <c r="I581" s="29" t="inlineStr">
        <is>
          <t>鴨寶寶</t>
        </is>
      </c>
      <c r="J581" s="29">
        <f>IFERROR(__xludf.DUMMYFUNCTION("GOOGLETRANSLATE(I581,""zh_HANT"",""zh_HANS"")"),"鸭宝宝")</f>
        <v/>
      </c>
      <c r="K581" s="29">
        <f>F581</f>
        <v/>
      </c>
    </row>
    <row r="582">
      <c r="A582" s="29">
        <f>CONCATENATE("NAME_PkMn_", UPPER(B582))</f>
        <v/>
      </c>
      <c r="B582" s="29" t="inlineStr">
        <is>
          <t>Swanna</t>
        </is>
      </c>
      <c r="C582" s="29" t="inlineStr">
        <is>
          <t>スワンナ</t>
        </is>
      </c>
      <c r="D582" s="29" t="inlineStr">
        <is>
          <t>Lakmécygne</t>
        </is>
      </c>
      <c r="E582" s="29" t="inlineStr">
        <is>
          <t>Swaroness</t>
        </is>
      </c>
      <c r="F582" s="29">
        <f>B582</f>
        <v/>
      </c>
      <c r="G582" s="29">
        <f>B582</f>
        <v/>
      </c>
      <c r="H582" s="29" t="inlineStr">
        <is>
          <t>스완나</t>
        </is>
      </c>
      <c r="I582" s="29" t="inlineStr">
        <is>
          <t>舞天鵝</t>
        </is>
      </c>
      <c r="J582" s="29">
        <f>IFERROR(__xludf.DUMMYFUNCTION("GOOGLETRANSLATE(I582,""zh_HANT"",""zh_HANS"")"),"舞天鹅")</f>
        <v/>
      </c>
      <c r="K582" s="29">
        <f>F582</f>
        <v/>
      </c>
    </row>
    <row r="583">
      <c r="A583" s="29">
        <f>CONCATENATE("NAME_PkMn_", UPPER(B583))</f>
        <v/>
      </c>
      <c r="B583" s="29" t="inlineStr">
        <is>
          <t>Vanillite</t>
        </is>
      </c>
      <c r="C583" s="29" t="inlineStr">
        <is>
          <t>バニプッチ</t>
        </is>
      </c>
      <c r="D583" s="29" t="inlineStr">
        <is>
          <t>Sorbébé</t>
        </is>
      </c>
      <c r="E583" s="29" t="inlineStr">
        <is>
          <t>Gelatini</t>
        </is>
      </c>
      <c r="F583" s="29">
        <f>B583</f>
        <v/>
      </c>
      <c r="G583" s="29">
        <f>B583</f>
        <v/>
      </c>
      <c r="H583" s="29" t="inlineStr">
        <is>
          <t>바닐프티</t>
        </is>
      </c>
      <c r="I583" s="29" t="inlineStr">
        <is>
          <t>迷你冰</t>
        </is>
      </c>
      <c r="J583" s="29">
        <f>I583</f>
        <v/>
      </c>
      <c r="K583" s="29">
        <f>F583</f>
        <v/>
      </c>
    </row>
    <row r="584">
      <c r="A584" s="29">
        <f>CONCATENATE("NAME_PkMn_", UPPER(B584))</f>
        <v/>
      </c>
      <c r="B584" s="29" t="inlineStr">
        <is>
          <t>Vanillish</t>
        </is>
      </c>
      <c r="C584" s="29" t="inlineStr">
        <is>
          <t>バニリッチ</t>
        </is>
      </c>
      <c r="D584" s="29" t="inlineStr">
        <is>
          <t>Sorboul</t>
        </is>
      </c>
      <c r="E584" s="29" t="inlineStr">
        <is>
          <t>Gelatroppo</t>
        </is>
      </c>
      <c r="F584" s="29">
        <f>B584</f>
        <v/>
      </c>
      <c r="G584" s="29">
        <f>B584</f>
        <v/>
      </c>
      <c r="H584" s="29" t="inlineStr">
        <is>
          <t>바닐리치</t>
        </is>
      </c>
      <c r="I584" s="29" t="inlineStr">
        <is>
          <t>多多冰</t>
        </is>
      </c>
      <c r="J584" s="29">
        <f>I584</f>
        <v/>
      </c>
      <c r="K584" s="29">
        <f>F584</f>
        <v/>
      </c>
    </row>
    <row r="585">
      <c r="A585" s="29">
        <f>CONCATENATE("NAME_PkMn_", UPPER(B585))</f>
        <v/>
      </c>
      <c r="B585" s="29" t="inlineStr">
        <is>
          <t>Vanilluxe</t>
        </is>
      </c>
      <c r="C585" s="29" t="inlineStr">
        <is>
          <t>バイバニラ</t>
        </is>
      </c>
      <c r="D585" s="29" t="inlineStr">
        <is>
          <t>Sorbouboul</t>
        </is>
      </c>
      <c r="E585" s="29" t="inlineStr">
        <is>
          <t>Gelatwino</t>
        </is>
      </c>
      <c r="F585" s="29">
        <f>B585</f>
        <v/>
      </c>
      <c r="G585" s="29">
        <f>B585</f>
        <v/>
      </c>
      <c r="H585" s="29" t="inlineStr">
        <is>
          <t>배바닐라</t>
        </is>
      </c>
      <c r="I585" s="29" t="inlineStr">
        <is>
          <t>雙倍多多冰</t>
        </is>
      </c>
      <c r="J585" s="29">
        <f>IFERROR(__xludf.DUMMYFUNCTION("GOOGLETRANSLATE(I585,""zh_HANT"",""zh_HANS"")"),"双倍多多冰")</f>
        <v/>
      </c>
      <c r="K585" s="29">
        <f>F585</f>
        <v/>
      </c>
    </row>
    <row r="586">
      <c r="A586" s="29">
        <f>CONCATENATE("NAME_PkMn_", UPPER(B586))</f>
        <v/>
      </c>
      <c r="B586" s="29" t="inlineStr">
        <is>
          <t>Deerling</t>
        </is>
      </c>
      <c r="C586" s="29" t="inlineStr">
        <is>
          <t>シキジカ</t>
        </is>
      </c>
      <c r="D586" s="29" t="inlineStr">
        <is>
          <t>Vivaldaim</t>
        </is>
      </c>
      <c r="E586" s="29" t="inlineStr">
        <is>
          <t>Sesokitz</t>
        </is>
      </c>
      <c r="F586" s="29">
        <f>B586</f>
        <v/>
      </c>
      <c r="G586" s="29">
        <f>B586</f>
        <v/>
      </c>
      <c r="H586" s="29" t="inlineStr">
        <is>
          <t>사철록</t>
        </is>
      </c>
      <c r="I586" s="29" t="inlineStr">
        <is>
          <t>四季鹿</t>
        </is>
      </c>
      <c r="J586" s="29">
        <f>I586</f>
        <v/>
      </c>
      <c r="K586" s="29">
        <f>F586</f>
        <v/>
      </c>
    </row>
    <row r="587">
      <c r="A587" s="29">
        <f>CONCATENATE("NAME_PkMn_", UPPER(B587))</f>
        <v/>
      </c>
      <c r="B587" s="29" t="inlineStr">
        <is>
          <t>Sawsbuck</t>
        </is>
      </c>
      <c r="C587" s="29" t="inlineStr">
        <is>
          <t>メブキジカ</t>
        </is>
      </c>
      <c r="D587" s="29" t="inlineStr">
        <is>
          <t>Haydaim</t>
        </is>
      </c>
      <c r="E587" s="29" t="inlineStr">
        <is>
          <t>Kronjuwild</t>
        </is>
      </c>
      <c r="F587" s="29">
        <f>B587</f>
        <v/>
      </c>
      <c r="G587" s="29">
        <f>B587</f>
        <v/>
      </c>
      <c r="H587" s="29" t="inlineStr">
        <is>
          <t>바라철록</t>
        </is>
      </c>
      <c r="I587" s="29" t="inlineStr">
        <is>
          <t>萌芽鹿</t>
        </is>
      </c>
      <c r="J587" s="29">
        <f>I587</f>
        <v/>
      </c>
      <c r="K587" s="29">
        <f>F587</f>
        <v/>
      </c>
    </row>
    <row r="588">
      <c r="A588" s="29">
        <f>CONCATENATE("NAME_PkMn_", UPPER(B588))</f>
        <v/>
      </c>
      <c r="B588" s="29" t="inlineStr">
        <is>
          <t>Emolga</t>
        </is>
      </c>
      <c r="C588" s="29" t="inlineStr">
        <is>
          <t>エモンガ</t>
        </is>
      </c>
      <c r="D588" s="29">
        <f>B588</f>
        <v/>
      </c>
      <c r="E588" s="29">
        <f>B588</f>
        <v/>
      </c>
      <c r="F588" s="29">
        <f>B588</f>
        <v/>
      </c>
      <c r="G588" s="29">
        <f>B588</f>
        <v/>
      </c>
      <c r="H588" s="29" t="inlineStr">
        <is>
          <t>에몽가</t>
        </is>
      </c>
      <c r="I588" s="29" t="inlineStr">
        <is>
          <t>電飛鼠</t>
        </is>
      </c>
      <c r="J588" s="29">
        <f>IFERROR(__xludf.DUMMYFUNCTION("GOOGLETRANSLATE(I588,""zh_HANT"",""zh_HANS"")"),"电飞鼠")</f>
        <v/>
      </c>
      <c r="K588" s="29">
        <f>F588</f>
        <v/>
      </c>
    </row>
    <row r="589">
      <c r="A589" s="29">
        <f>CONCATENATE("NAME_PkMn_", UPPER(B589))</f>
        <v/>
      </c>
      <c r="B589" s="29" t="inlineStr">
        <is>
          <t>Karrablast</t>
        </is>
      </c>
      <c r="C589" s="29" t="inlineStr">
        <is>
          <t>カブルモ</t>
        </is>
      </c>
      <c r="D589" s="29" t="inlineStr">
        <is>
          <t>Carabing</t>
        </is>
      </c>
      <c r="E589" s="29" t="inlineStr">
        <is>
          <t>Laukaps</t>
        </is>
      </c>
      <c r="F589" s="29">
        <f>B589</f>
        <v/>
      </c>
      <c r="G589" s="29">
        <f>B589</f>
        <v/>
      </c>
      <c r="H589" s="29" t="inlineStr">
        <is>
          <t>딱정곤</t>
        </is>
      </c>
      <c r="I589" s="29" t="inlineStr">
        <is>
          <t>蓋蓋蟲</t>
        </is>
      </c>
      <c r="J589" s="29">
        <f>IFERROR(__xludf.DUMMYFUNCTION("GOOGLETRANSLATE(I589,""zh_HANT"",""zh_HANS"")"),"盖盖虫")</f>
        <v/>
      </c>
      <c r="K589" s="29">
        <f>F589</f>
        <v/>
      </c>
    </row>
    <row r="590">
      <c r="A590" s="29">
        <f>CONCATENATE("NAME_PkMn_", UPPER(B590))</f>
        <v/>
      </c>
      <c r="B590" s="29" t="inlineStr">
        <is>
          <t>Escavalier</t>
        </is>
      </c>
      <c r="C590" s="29" t="inlineStr">
        <is>
          <t>シュバルゴ</t>
        </is>
      </c>
      <c r="D590" s="29" t="inlineStr">
        <is>
          <t>Lançargot</t>
        </is>
      </c>
      <c r="E590" s="29" t="inlineStr">
        <is>
          <t>Cavalanzas</t>
        </is>
      </c>
      <c r="F590" s="29">
        <f>B590</f>
        <v/>
      </c>
      <c r="G590" s="29">
        <f>B590</f>
        <v/>
      </c>
      <c r="H590" s="29" t="inlineStr">
        <is>
          <t>슈바르고</t>
        </is>
      </c>
      <c r="I590" s="29" t="inlineStr">
        <is>
          <t>騎士蝸牛</t>
        </is>
      </c>
      <c r="J590" s="29">
        <f>IFERROR(__xludf.DUMMYFUNCTION("GOOGLETRANSLATE(I590,""zh_HANT"",""zh_HANS"")"),"骑士蜗牛")</f>
        <v/>
      </c>
      <c r="K590" s="29">
        <f>F590</f>
        <v/>
      </c>
    </row>
    <row r="591">
      <c r="A591" s="29">
        <f>CONCATENATE("NAME_PkMn_", UPPER(B591))</f>
        <v/>
      </c>
      <c r="B591" s="29" t="inlineStr">
        <is>
          <t>Foongus</t>
        </is>
      </c>
      <c r="C591" s="29" t="inlineStr">
        <is>
          <t>タマゲタケ</t>
        </is>
      </c>
      <c r="D591" s="29" t="inlineStr">
        <is>
          <t>Trompignon</t>
        </is>
      </c>
      <c r="E591" s="29" t="inlineStr">
        <is>
          <t>Tarnpignon</t>
        </is>
      </c>
      <c r="F591" s="29">
        <f>B591</f>
        <v/>
      </c>
      <c r="G591" s="29">
        <f>B591</f>
        <v/>
      </c>
      <c r="H591" s="29" t="inlineStr">
        <is>
          <t>깜놀버슬</t>
        </is>
      </c>
      <c r="I591" s="29" t="inlineStr">
        <is>
          <t>哎呀球菇</t>
        </is>
      </c>
      <c r="J591" s="29">
        <f>I591</f>
        <v/>
      </c>
      <c r="K591" s="29">
        <f>F591</f>
        <v/>
      </c>
    </row>
    <row r="592">
      <c r="A592" s="29">
        <f>CONCATENATE("NAME_PkMn_", UPPER(B592))</f>
        <v/>
      </c>
      <c r="B592" s="29" t="inlineStr">
        <is>
          <t>Amoongus</t>
        </is>
      </c>
      <c r="C592" s="29" t="inlineStr">
        <is>
          <t>モロバレル</t>
        </is>
      </c>
      <c r="D592" s="29" t="inlineStr">
        <is>
          <t>Gaulet</t>
        </is>
      </c>
      <c r="E592" s="29" t="inlineStr">
        <is>
          <t>Hutsassa</t>
        </is>
      </c>
      <c r="F592" s="29">
        <f>B592</f>
        <v/>
      </c>
      <c r="G592" s="29">
        <f>B592</f>
        <v/>
      </c>
      <c r="H592" s="29" t="inlineStr">
        <is>
          <t>뽀록나</t>
        </is>
      </c>
      <c r="I592" s="29" t="inlineStr">
        <is>
          <t>敗露球菇</t>
        </is>
      </c>
      <c r="J592" s="29">
        <f>IFERROR(__xludf.DUMMYFUNCTION("GOOGLETRANSLATE(I592,""zh_HANT"",""zh_HANS"")"),"败露球菇")</f>
        <v/>
      </c>
      <c r="K592" s="29">
        <f>F592</f>
        <v/>
      </c>
    </row>
    <row r="593">
      <c r="A593" s="29">
        <f>CONCATENATE("NAME_PkMn_", UPPER(B593))</f>
        <v/>
      </c>
      <c r="B593" s="29" t="inlineStr">
        <is>
          <t>Frillish</t>
        </is>
      </c>
      <c r="C593" s="29" t="inlineStr">
        <is>
          <t>プルリル</t>
        </is>
      </c>
      <c r="D593" s="29" t="inlineStr">
        <is>
          <t>Viskuse</t>
        </is>
      </c>
      <c r="E593" s="29" t="inlineStr">
        <is>
          <t>Quabbel</t>
        </is>
      </c>
      <c r="F593" s="29">
        <f>B593</f>
        <v/>
      </c>
      <c r="G593" s="29">
        <f>B593</f>
        <v/>
      </c>
      <c r="H593" s="29" t="inlineStr">
        <is>
          <t>탱그릴</t>
        </is>
      </c>
      <c r="I593" s="29" t="inlineStr">
        <is>
          <t>輕飄飄</t>
        </is>
      </c>
      <c r="J593" s="29">
        <f>IFERROR(__xludf.DUMMYFUNCTION("GOOGLETRANSLATE(I593,""zh_HANT"",""zh_HANS"")"),"轻飘飘")</f>
        <v/>
      </c>
      <c r="K593" s="29">
        <f>F593</f>
        <v/>
      </c>
    </row>
    <row r="594">
      <c r="A594" s="29">
        <f>CONCATENATE("NAME_PkMn_", UPPER(B594))</f>
        <v/>
      </c>
      <c r="B594" s="29" t="inlineStr">
        <is>
          <t>Jellicent</t>
        </is>
      </c>
      <c r="C594" s="29" t="inlineStr">
        <is>
          <t>ブルンゲル</t>
        </is>
      </c>
      <c r="D594" s="29" t="inlineStr">
        <is>
          <t>Moyade</t>
        </is>
      </c>
      <c r="E594" s="29" t="inlineStr">
        <is>
          <t>Apoquallyp</t>
        </is>
      </c>
      <c r="F594" s="29">
        <f>B594</f>
        <v/>
      </c>
      <c r="G594" s="29">
        <f>B594</f>
        <v/>
      </c>
      <c r="H594" s="29" t="inlineStr">
        <is>
          <t>탱탱겔</t>
        </is>
      </c>
      <c r="I594" s="29" t="inlineStr">
        <is>
          <t>胖嘟嘟</t>
        </is>
      </c>
      <c r="J594" s="29">
        <f>I594</f>
        <v/>
      </c>
      <c r="K594" s="29">
        <f>F594</f>
        <v/>
      </c>
    </row>
    <row r="595">
      <c r="A595" s="29">
        <f>CONCATENATE("NAME_PkMn_", UPPER(B595))</f>
        <v/>
      </c>
      <c r="B595" s="29" t="inlineStr">
        <is>
          <t>Alomomola</t>
        </is>
      </c>
      <c r="C595" s="29" t="inlineStr">
        <is>
          <t>ママンボウ</t>
        </is>
      </c>
      <c r="D595" s="29" t="inlineStr">
        <is>
          <t>Mamambo</t>
        </is>
      </c>
      <c r="E595" s="29" t="inlineStr">
        <is>
          <t>Mamolida</t>
        </is>
      </c>
      <c r="F595" s="29">
        <f>B595</f>
        <v/>
      </c>
      <c r="G595" s="29">
        <f>B595</f>
        <v/>
      </c>
      <c r="H595" s="29" t="inlineStr">
        <is>
          <t>맘복치</t>
        </is>
      </c>
      <c r="I595" s="29" t="inlineStr">
        <is>
          <t>保母曼波</t>
        </is>
      </c>
      <c r="J595" s="29">
        <f>I595</f>
        <v/>
      </c>
      <c r="K595" s="29">
        <f>F595</f>
        <v/>
      </c>
    </row>
    <row r="596">
      <c r="A596" s="29">
        <f>CONCATENATE("NAME_PkMn_", UPPER(B596))</f>
        <v/>
      </c>
      <c r="B596" s="29" t="inlineStr">
        <is>
          <t>Joltik</t>
        </is>
      </c>
      <c r="C596" s="29" t="inlineStr">
        <is>
          <t>バチュル</t>
        </is>
      </c>
      <c r="D596" s="29" t="inlineStr">
        <is>
          <t>Statitik</t>
        </is>
      </c>
      <c r="E596" s="29" t="inlineStr">
        <is>
          <t>Wattzapf</t>
        </is>
      </c>
      <c r="F596" s="29">
        <f>B596</f>
        <v/>
      </c>
      <c r="G596" s="29">
        <f>B596</f>
        <v/>
      </c>
      <c r="H596" s="29" t="inlineStr">
        <is>
          <t>피쪼옥</t>
        </is>
      </c>
      <c r="I596" s="29" t="inlineStr">
        <is>
          <t>電電蟲</t>
        </is>
      </c>
      <c r="J596" s="29">
        <f>IFERROR(__xludf.DUMMYFUNCTION("GOOGLETRANSLATE(I596,""zh_HANT"",""zh_HANS"")"),"电电虫")</f>
        <v/>
      </c>
      <c r="K596" s="29">
        <f>F596</f>
        <v/>
      </c>
    </row>
    <row r="597">
      <c r="A597" s="29">
        <f>CONCATENATE("NAME_PkMn_", UPPER(B597))</f>
        <v/>
      </c>
      <c r="B597" s="29" t="inlineStr">
        <is>
          <t>Galvantula</t>
        </is>
      </c>
      <c r="C597" s="29" t="inlineStr">
        <is>
          <t>デンチュラ</t>
        </is>
      </c>
      <c r="D597" s="29" t="inlineStr">
        <is>
          <t>Mygavolt</t>
        </is>
      </c>
      <c r="E597" s="29" t="inlineStr">
        <is>
          <t>Voltula</t>
        </is>
      </c>
      <c r="F597" s="29">
        <f>B597</f>
        <v/>
      </c>
      <c r="G597" s="29">
        <f>B597</f>
        <v/>
      </c>
      <c r="H597" s="29" t="inlineStr">
        <is>
          <t>전툴라</t>
        </is>
      </c>
      <c r="I597" s="29" t="inlineStr">
        <is>
          <t>電蜘蛛</t>
        </is>
      </c>
      <c r="J597" s="29">
        <f>IFERROR(__xludf.DUMMYFUNCTION("GOOGLETRANSLATE(I597,""zh_HANT"",""zh_HANS"")"),"电蜘蛛")</f>
        <v/>
      </c>
      <c r="K597" s="29">
        <f>F597</f>
        <v/>
      </c>
    </row>
    <row r="598">
      <c r="A598" s="29">
        <f>CONCATENATE("NAME_PkMn_", UPPER(B598))</f>
        <v/>
      </c>
      <c r="B598" s="29" t="inlineStr">
        <is>
          <t>Ferroseed</t>
        </is>
      </c>
      <c r="C598" s="29" t="inlineStr">
        <is>
          <t>テッシード</t>
        </is>
      </c>
      <c r="D598" s="29" t="inlineStr">
        <is>
          <t>Grindur</t>
        </is>
      </c>
      <c r="E598" s="29" t="inlineStr">
        <is>
          <t>Kastadur</t>
        </is>
      </c>
      <c r="F598" s="29">
        <f>B598</f>
        <v/>
      </c>
      <c r="G598" s="29">
        <f>B598</f>
        <v/>
      </c>
      <c r="H598" s="29" t="inlineStr">
        <is>
          <t>철시드</t>
        </is>
      </c>
      <c r="I598" s="29" t="inlineStr">
        <is>
          <t>種子鐵球</t>
        </is>
      </c>
      <c r="J598" s="29">
        <f>IFERROR(__xludf.DUMMYFUNCTION("GOOGLETRANSLATE(I598,""zh_HANT"",""zh_HANS"")"),"种子铁球")</f>
        <v/>
      </c>
      <c r="K598" s="29">
        <f>F598</f>
        <v/>
      </c>
    </row>
    <row r="599">
      <c r="A599" s="29">
        <f>CONCATENATE("NAME_PkMn_", UPPER(B599))</f>
        <v/>
      </c>
      <c r="B599" s="29" t="inlineStr">
        <is>
          <t>Ferrothorn</t>
        </is>
      </c>
      <c r="C599" s="29" t="inlineStr">
        <is>
          <t>ナットレイ</t>
        </is>
      </c>
      <c r="D599" s="29" t="inlineStr">
        <is>
          <t>Noacier</t>
        </is>
      </c>
      <c r="E599" s="29" t="inlineStr">
        <is>
          <t>Tentantel</t>
        </is>
      </c>
      <c r="F599" s="29">
        <f>B599</f>
        <v/>
      </c>
      <c r="G599" s="29">
        <f>B599</f>
        <v/>
      </c>
      <c r="H599" s="29" t="inlineStr">
        <is>
          <t>너트령</t>
        </is>
      </c>
      <c r="I599" s="29" t="inlineStr">
        <is>
          <t>堅果啞鈴</t>
        </is>
      </c>
      <c r="J599" s="29">
        <f>IFERROR(__xludf.DUMMYFUNCTION("GOOGLETRANSLATE(I599,""zh_HANT"",""zh_HANS"")"),"坚果哑铃")</f>
        <v/>
      </c>
      <c r="K599" s="29">
        <f>F599</f>
        <v/>
      </c>
    </row>
    <row r="600">
      <c r="A600" s="29">
        <f>CONCATENATE("NAME_PkMn_", UPPER(B600))</f>
        <v/>
      </c>
      <c r="B600" s="29" t="inlineStr">
        <is>
          <t>Klink</t>
        </is>
      </c>
      <c r="C600" s="29" t="inlineStr">
        <is>
          <t>ギアル</t>
        </is>
      </c>
      <c r="D600" s="29" t="inlineStr">
        <is>
          <t>Tic</t>
        </is>
      </c>
      <c r="E600" s="29" t="inlineStr">
        <is>
          <t>Klikk</t>
        </is>
      </c>
      <c r="F600" s="29">
        <f>B600</f>
        <v/>
      </c>
      <c r="G600" s="29">
        <f>B600</f>
        <v/>
      </c>
      <c r="H600" s="29" t="inlineStr">
        <is>
          <t>기어르</t>
        </is>
      </c>
      <c r="I600" s="29" t="inlineStr">
        <is>
          <t>齒輪兒</t>
        </is>
      </c>
      <c r="J600" s="29">
        <f>IFERROR(__xludf.DUMMYFUNCTION("GOOGLETRANSLATE(I600,""zh_HANT"",""zh_HANS"")"),"齿轮儿")</f>
        <v/>
      </c>
      <c r="K600" s="29">
        <f>F600</f>
        <v/>
      </c>
    </row>
    <row r="601">
      <c r="A601" s="29">
        <f>CONCATENATE("NAME_PkMn_", UPPER(B601))</f>
        <v/>
      </c>
      <c r="B601" s="29" t="inlineStr">
        <is>
          <t>Klang</t>
        </is>
      </c>
      <c r="C601" s="29">
        <f>CONCATENATE("ギ",C600)</f>
        <v/>
      </c>
      <c r="D601" s="29" t="inlineStr">
        <is>
          <t>Clic</t>
        </is>
      </c>
      <c r="E601" s="29" t="inlineStr">
        <is>
          <t>Kliklak</t>
        </is>
      </c>
      <c r="F601" s="29">
        <f>B601</f>
        <v/>
      </c>
      <c r="G601" s="29">
        <f>B601</f>
        <v/>
      </c>
      <c r="H601" s="29" t="inlineStr">
        <is>
          <t>기기어르</t>
        </is>
      </c>
      <c r="I601" s="29" t="inlineStr">
        <is>
          <t>齒輪組</t>
        </is>
      </c>
      <c r="J601" s="29">
        <f>IFERROR(__xludf.DUMMYFUNCTION("GOOGLETRANSLATE(I601,""zh_HANT"",""zh_HANS"")"),"齿轮组")</f>
        <v/>
      </c>
      <c r="K601" s="29">
        <f>F601</f>
        <v/>
      </c>
    </row>
    <row r="602">
      <c r="A602" s="29">
        <f>CONCATENATE("NAME_PkMn_", UPPER(B602))</f>
        <v/>
      </c>
      <c r="B602" s="29" t="inlineStr">
        <is>
          <t>Klinklang</t>
        </is>
      </c>
      <c r="C602" s="29">
        <f>CONCATENATE("ギ",C601)</f>
        <v/>
      </c>
      <c r="D602" s="29" t="inlineStr">
        <is>
          <t>Cliticlic</t>
        </is>
      </c>
      <c r="E602" s="29" t="inlineStr">
        <is>
          <t>Klikdiklak</t>
        </is>
      </c>
      <c r="F602" s="29">
        <f>B602</f>
        <v/>
      </c>
      <c r="G602" s="29">
        <f>B602</f>
        <v/>
      </c>
      <c r="H602" s="29" t="inlineStr">
        <is>
          <t>기기기어르</t>
        </is>
      </c>
      <c r="I602" s="29" t="inlineStr">
        <is>
          <t>齒輪怪</t>
        </is>
      </c>
      <c r="J602" s="29">
        <f>IFERROR(__xludf.DUMMYFUNCTION("GOOGLETRANSLATE(I602,""zh_HANT"",""zh_HANS"")"),"齿轮怪")</f>
        <v/>
      </c>
      <c r="K602" s="29">
        <f>F602</f>
        <v/>
      </c>
    </row>
    <row r="603">
      <c r="A603" s="29">
        <f>CONCATENATE("NAME_PkMn_", UPPER(B603))</f>
        <v/>
      </c>
      <c r="B603" s="29" t="inlineStr">
        <is>
          <t>Tynamo</t>
        </is>
      </c>
      <c r="C603" s="29" t="inlineStr">
        <is>
          <t>シビシラス</t>
        </is>
      </c>
      <c r="D603" s="29" t="inlineStr">
        <is>
          <t>Anchwatt</t>
        </is>
      </c>
      <c r="E603" s="29" t="inlineStr">
        <is>
          <t>Zapplardin</t>
        </is>
      </c>
      <c r="F603" s="29">
        <f>B603</f>
        <v/>
      </c>
      <c r="G603" s="29">
        <f>B603</f>
        <v/>
      </c>
      <c r="H603" s="29" t="inlineStr">
        <is>
          <t>저리어</t>
        </is>
      </c>
      <c r="I603" s="29" t="inlineStr">
        <is>
          <t>麻麻小魚</t>
        </is>
      </c>
      <c r="J603" s="29">
        <f>IFERROR(__xludf.DUMMYFUNCTION("GOOGLETRANSLATE(I603,""zh_HANT"",""zh_HANS"")"),"麻麻小鱼")</f>
        <v/>
      </c>
      <c r="K603" s="29">
        <f>F603</f>
        <v/>
      </c>
    </row>
    <row r="604">
      <c r="A604" s="29">
        <f>CONCATENATE("NAME_PkMn_", UPPER(B604))</f>
        <v/>
      </c>
      <c r="B604" s="29" t="inlineStr">
        <is>
          <t>Eelektrik</t>
        </is>
      </c>
      <c r="C604" s="29" t="inlineStr">
        <is>
          <t>シビビール</t>
        </is>
      </c>
      <c r="D604" s="29" t="inlineStr">
        <is>
          <t>Lampéroie</t>
        </is>
      </c>
      <c r="E604" s="29" t="inlineStr">
        <is>
          <t>Zapplalek</t>
        </is>
      </c>
      <c r="F604" s="29">
        <f>B604</f>
        <v/>
      </c>
      <c r="G604" s="29">
        <f>B604</f>
        <v/>
      </c>
      <c r="H604" s="29" t="inlineStr">
        <is>
          <t>저리릴</t>
        </is>
      </c>
      <c r="I604" s="29" t="inlineStr">
        <is>
          <t>麻麻鰻</t>
        </is>
      </c>
      <c r="J604" s="29">
        <f>IFERROR(__xludf.DUMMYFUNCTION("GOOGLETRANSLATE(I604,""zh_HANT"",""zh_HANS"")"),"麻麻鳗")</f>
        <v/>
      </c>
      <c r="K604" s="29">
        <f>F604</f>
        <v/>
      </c>
    </row>
    <row r="605">
      <c r="A605" s="29">
        <f>CONCATENATE("NAME_PkMn_", UPPER(B605))</f>
        <v/>
      </c>
      <c r="B605" s="29" t="inlineStr">
        <is>
          <t>Eelektross</t>
        </is>
      </c>
      <c r="C605" s="29" t="inlineStr">
        <is>
          <t>シビルドン</t>
        </is>
      </c>
      <c r="D605" s="29" t="inlineStr">
        <is>
          <t>Ohmassacre</t>
        </is>
      </c>
      <c r="E605" s="29" t="inlineStr">
        <is>
          <t>Zapplarang</t>
        </is>
      </c>
      <c r="F605" s="29">
        <f>B605</f>
        <v/>
      </c>
      <c r="G605" s="29">
        <f>B605</f>
        <v/>
      </c>
      <c r="H605" s="29" t="inlineStr">
        <is>
          <t>저리더프</t>
        </is>
      </c>
      <c r="I605" s="29" t="inlineStr">
        <is>
          <t>麻麻鰻魚王</t>
        </is>
      </c>
      <c r="J605" s="29">
        <f>IFERROR(__xludf.DUMMYFUNCTION("GOOGLETRANSLATE(I605,""zh_HANT"",""zh_HANS"")"),"麻麻鳗鱼王")</f>
        <v/>
      </c>
      <c r="K605" s="29">
        <f>F605</f>
        <v/>
      </c>
    </row>
    <row r="606">
      <c r="A606" s="29">
        <f>CONCATENATE("NAME_PkMn_", UPPER(B606))</f>
        <v/>
      </c>
      <c r="B606" s="29" t="inlineStr">
        <is>
          <t>Elgyem</t>
        </is>
      </c>
      <c r="C606" s="29" t="inlineStr">
        <is>
          <t>リグレー</t>
        </is>
      </c>
      <c r="D606" s="29" t="inlineStr">
        <is>
          <t>Lewsor</t>
        </is>
      </c>
      <c r="E606" s="29" t="inlineStr">
        <is>
          <t>Pygraulon</t>
        </is>
      </c>
      <c r="F606" s="29">
        <f>B606</f>
        <v/>
      </c>
      <c r="G606" s="29">
        <f>B606</f>
        <v/>
      </c>
      <c r="H606" s="29" t="inlineStr">
        <is>
          <t>리그레</t>
        </is>
      </c>
      <c r="I606" s="29" t="inlineStr">
        <is>
          <t>小灰怪</t>
        </is>
      </c>
      <c r="J606" s="29">
        <f>I606</f>
        <v/>
      </c>
      <c r="K606" s="29">
        <f>F606</f>
        <v/>
      </c>
    </row>
    <row r="607">
      <c r="A607" s="29">
        <f>CONCATENATE("NAME_PkMn_", UPPER(B607))</f>
        <v/>
      </c>
      <c r="B607" s="29" t="inlineStr">
        <is>
          <t>Beheeyem</t>
        </is>
      </c>
      <c r="C607" s="29" t="inlineStr">
        <is>
          <t>オーベム</t>
        </is>
      </c>
      <c r="D607" s="29" t="inlineStr">
        <is>
          <t>Neitram</t>
        </is>
      </c>
      <c r="E607" s="29" t="inlineStr">
        <is>
          <t>Megalon</t>
        </is>
      </c>
      <c r="F607" s="29">
        <f>B607</f>
        <v/>
      </c>
      <c r="G607" s="29">
        <f>B607</f>
        <v/>
      </c>
      <c r="H607" s="29" t="inlineStr">
        <is>
          <t>벰크</t>
        </is>
      </c>
      <c r="I607" s="29" t="inlineStr">
        <is>
          <t>大宇怪</t>
        </is>
      </c>
      <c r="J607" s="29">
        <f>I607</f>
        <v/>
      </c>
      <c r="K607" s="29">
        <f>F607</f>
        <v/>
      </c>
    </row>
    <row r="608">
      <c r="A608" s="29">
        <f>CONCATENATE("NAME_PkMn_", UPPER(B608))</f>
        <v/>
      </c>
      <c r="B608" s="29" t="inlineStr">
        <is>
          <t>Litwick</t>
        </is>
      </c>
      <c r="C608" s="29" t="inlineStr">
        <is>
          <t>ヒトモシ</t>
        </is>
      </c>
      <c r="D608" s="29" t="inlineStr">
        <is>
          <t>Funécire</t>
        </is>
      </c>
      <c r="E608" s="29" t="inlineStr">
        <is>
          <t>Lichtel</t>
        </is>
      </c>
      <c r="F608" s="29">
        <f>B608</f>
        <v/>
      </c>
      <c r="G608" s="29">
        <f>B608</f>
        <v/>
      </c>
      <c r="H608" s="29" t="inlineStr">
        <is>
          <t>불켜미</t>
        </is>
      </c>
      <c r="I608" s="29" t="inlineStr">
        <is>
          <t>燭光靈</t>
        </is>
      </c>
      <c r="J608" s="29">
        <f>IFERROR(__xludf.DUMMYFUNCTION("GOOGLETRANSLATE(I608,""zh_HANT"",""zh_HANS"")"),"烛光灵")</f>
        <v/>
      </c>
      <c r="K608" s="29">
        <f>F608</f>
        <v/>
      </c>
    </row>
    <row r="609">
      <c r="A609" s="29">
        <f>CONCATENATE("NAME_PkMn_", UPPER(B609))</f>
        <v/>
      </c>
      <c r="B609" s="29" t="inlineStr">
        <is>
          <t>Lampent</t>
        </is>
      </c>
      <c r="C609" s="29" t="inlineStr">
        <is>
          <t>ランプラー</t>
        </is>
      </c>
      <c r="D609" s="29" t="inlineStr">
        <is>
          <t>Mélancolux</t>
        </is>
      </c>
      <c r="E609" s="29" t="inlineStr">
        <is>
          <t>Laternecto</t>
        </is>
      </c>
      <c r="F609" s="29">
        <f>B609</f>
        <v/>
      </c>
      <c r="G609" s="29">
        <f>B609</f>
        <v/>
      </c>
      <c r="H609" s="29" t="inlineStr">
        <is>
          <t>램프라</t>
        </is>
      </c>
      <c r="I609" s="29" t="inlineStr">
        <is>
          <t>燈火幽靈</t>
        </is>
      </c>
      <c r="J609" s="29">
        <f>IFERROR(__xludf.DUMMYFUNCTION("GOOGLETRANSLATE(I609,""zh_HANT"",""zh_HANS"")"),"灯火幽灵")</f>
        <v/>
      </c>
      <c r="K609" s="29">
        <f>F609</f>
        <v/>
      </c>
    </row>
    <row r="610">
      <c r="A610" s="29">
        <f>CONCATENATE("NAME_PkMn_", UPPER(B610))</f>
        <v/>
      </c>
      <c r="B610" s="29" t="inlineStr">
        <is>
          <t>Chandelure</t>
        </is>
      </c>
      <c r="C610" s="29" t="inlineStr">
        <is>
          <t>シャンデラ</t>
        </is>
      </c>
      <c r="D610" s="29" t="inlineStr">
        <is>
          <t>Lugulabre</t>
        </is>
      </c>
      <c r="E610" s="29" t="inlineStr">
        <is>
          <t>Skelabra</t>
        </is>
      </c>
      <c r="F610" s="29">
        <f>B610</f>
        <v/>
      </c>
      <c r="G610" s="29">
        <f>B610</f>
        <v/>
      </c>
      <c r="H610" s="29" t="inlineStr">
        <is>
          <t>샹델라</t>
        </is>
      </c>
      <c r="I610" s="29" t="inlineStr">
        <is>
          <t>水晶燈火靈</t>
        </is>
      </c>
      <c r="J610" s="29">
        <f>IFERROR(__xludf.DUMMYFUNCTION("GOOGLETRANSLATE(I610,""zh_HANT"",""zh_HANS"")"),"水晶灯火灵")</f>
        <v/>
      </c>
      <c r="K610" s="29">
        <f>F610</f>
        <v/>
      </c>
    </row>
    <row r="611">
      <c r="A611" s="29">
        <f>CONCATENATE("NAME_PkMn_", UPPER(B611))</f>
        <v/>
      </c>
      <c r="B611" s="29" t="inlineStr">
        <is>
          <t>Axew</t>
        </is>
      </c>
      <c r="C611" s="29" t="inlineStr">
        <is>
          <t>キバゴ</t>
        </is>
      </c>
      <c r="D611" s="29" t="inlineStr">
        <is>
          <t>Coupenotte</t>
        </is>
      </c>
      <c r="E611" s="29" t="inlineStr">
        <is>
          <t>Milza</t>
        </is>
      </c>
      <c r="F611" s="29">
        <f>B611</f>
        <v/>
      </c>
      <c r="G611" s="29">
        <f>B611</f>
        <v/>
      </c>
      <c r="H611" s="29" t="inlineStr">
        <is>
          <t>터검니</t>
        </is>
      </c>
      <c r="I611" s="29" t="inlineStr">
        <is>
          <t>牙牙</t>
        </is>
      </c>
      <c r="J611" s="29">
        <f>I611</f>
        <v/>
      </c>
      <c r="K611" s="29">
        <f>F611</f>
        <v/>
      </c>
    </row>
    <row r="612">
      <c r="A612" s="29">
        <f>CONCATENATE("NAME_PkMn_", UPPER(B612))</f>
        <v/>
      </c>
      <c r="B612" s="29" t="inlineStr">
        <is>
          <t>Fraxure</t>
        </is>
      </c>
      <c r="C612" s="29" t="inlineStr">
        <is>
          <t>オノンド</t>
        </is>
      </c>
      <c r="D612" s="29" t="inlineStr">
        <is>
          <t>Incisache</t>
        </is>
      </c>
      <c r="E612" s="29" t="inlineStr">
        <is>
          <t>Sharfax</t>
        </is>
      </c>
      <c r="F612" s="29">
        <f>B612</f>
        <v/>
      </c>
      <c r="G612" s="29">
        <f>B612</f>
        <v/>
      </c>
      <c r="H612" s="29" t="inlineStr">
        <is>
          <t>액슨도</t>
        </is>
      </c>
      <c r="I612" s="29" t="inlineStr">
        <is>
          <t>斧牙龍</t>
        </is>
      </c>
      <c r="J612" s="29">
        <f>IFERROR(__xludf.DUMMYFUNCTION("GOOGLETRANSLATE(I612,""zh_HANT"",""zh_HANS"")"),"斧牙龙")</f>
        <v/>
      </c>
      <c r="K612" s="29">
        <f>F612</f>
        <v/>
      </c>
    </row>
    <row r="613">
      <c r="A613" s="29">
        <f>CONCATENATE("NAME_PkMn_", UPPER(B613))</f>
        <v/>
      </c>
      <c r="B613" s="29" t="inlineStr">
        <is>
          <t>Haxorus</t>
        </is>
      </c>
      <c r="C613" s="29" t="inlineStr">
        <is>
          <t>オノノクス</t>
        </is>
      </c>
      <c r="D613" s="29" t="inlineStr">
        <is>
          <t>Tranchodon</t>
        </is>
      </c>
      <c r="E613" s="29" t="inlineStr">
        <is>
          <t>Maxax</t>
        </is>
      </c>
      <c r="F613" s="29">
        <f>B613</f>
        <v/>
      </c>
      <c r="G613" s="29">
        <f>B613</f>
        <v/>
      </c>
      <c r="H613" s="29" t="inlineStr">
        <is>
          <t>액스라이즈</t>
        </is>
      </c>
      <c r="I613" s="29" t="inlineStr">
        <is>
          <t>雙斧戰龍</t>
        </is>
      </c>
      <c r="J613" s="29">
        <f>IFERROR(__xludf.DUMMYFUNCTION("GOOGLETRANSLATE(I613,""zh_HANT"",""zh_HANS"")"),"双斧战龙")</f>
        <v/>
      </c>
      <c r="K613" s="29">
        <f>F613</f>
        <v/>
      </c>
    </row>
    <row r="614">
      <c r="A614" s="29">
        <f>CONCATENATE("NAME_PkMn_", UPPER(B614))</f>
        <v/>
      </c>
      <c r="B614" s="29" t="inlineStr">
        <is>
          <t>Cubchoo</t>
        </is>
      </c>
      <c r="C614" s="29" t="inlineStr">
        <is>
          <t>クマシュン</t>
        </is>
      </c>
      <c r="D614" s="29" t="inlineStr">
        <is>
          <t>Polarhume</t>
        </is>
      </c>
      <c r="E614" s="29" t="inlineStr">
        <is>
          <t>Petznief</t>
        </is>
      </c>
      <c r="F614" s="29">
        <f>B614</f>
        <v/>
      </c>
      <c r="G614" s="29">
        <f>B614</f>
        <v/>
      </c>
      <c r="H614" s="29" t="inlineStr">
        <is>
          <t>코고미</t>
        </is>
      </c>
      <c r="I614" s="29" t="inlineStr">
        <is>
          <t>噴嚏熊</t>
        </is>
      </c>
      <c r="J614" s="29">
        <f>IFERROR(__xludf.DUMMYFUNCTION("GOOGLETRANSLATE(I614,""zh_HANT"",""zh_HANS"")"),"喷嚏熊")</f>
        <v/>
      </c>
      <c r="K614" s="29">
        <f>F614</f>
        <v/>
      </c>
    </row>
    <row r="615">
      <c r="A615" s="29">
        <f>CONCATENATE("NAME_PkMn_", UPPER(B615))</f>
        <v/>
      </c>
      <c r="B615" s="29" t="inlineStr">
        <is>
          <t>Beartic</t>
        </is>
      </c>
      <c r="C615" s="29" t="inlineStr">
        <is>
          <t>ツンビアー</t>
        </is>
      </c>
      <c r="D615" s="29" t="inlineStr">
        <is>
          <t>Polagriffe</t>
        </is>
      </c>
      <c r="E615" s="29" t="inlineStr">
        <is>
          <t>Siberio</t>
        </is>
      </c>
      <c r="F615" s="29">
        <f>B615</f>
        <v/>
      </c>
      <c r="G615" s="29">
        <f>B615</f>
        <v/>
      </c>
      <c r="H615" s="29" t="inlineStr">
        <is>
          <t>툰베어</t>
        </is>
      </c>
      <c r="I615" s="29" t="inlineStr">
        <is>
          <t>凍原熊</t>
        </is>
      </c>
      <c r="J615" s="29">
        <f>IFERROR(__xludf.DUMMYFUNCTION("GOOGLETRANSLATE(I615,""zh_HANT"",""zh_HANS"")"),"冻原熊")</f>
        <v/>
      </c>
      <c r="K615" s="29">
        <f>F615</f>
        <v/>
      </c>
    </row>
    <row r="616">
      <c r="A616" s="29">
        <f>CONCATENATE("NAME_PkMn_", UPPER(B616))</f>
        <v/>
      </c>
      <c r="B616" s="29" t="inlineStr">
        <is>
          <t>Cryogonal</t>
        </is>
      </c>
      <c r="C616" s="29" t="inlineStr">
        <is>
          <t>フリージオ</t>
        </is>
      </c>
      <c r="D616" s="29" t="inlineStr">
        <is>
          <t>Hexagel</t>
        </is>
      </c>
      <c r="E616" s="29" t="inlineStr">
        <is>
          <t>Frigometri</t>
        </is>
      </c>
      <c r="F616" s="29">
        <f>B616</f>
        <v/>
      </c>
      <c r="G616" s="29">
        <f>B616</f>
        <v/>
      </c>
      <c r="H616" s="29" t="inlineStr">
        <is>
          <t>프리지오</t>
        </is>
      </c>
      <c r="I616" s="29" t="inlineStr">
        <is>
          <t>幾何雪花</t>
        </is>
      </c>
      <c r="J616" s="29">
        <f>IFERROR(__xludf.DUMMYFUNCTION("GOOGLETRANSLATE(I616,""zh_HANT"",""zh_HANS"")"),"几何雪花")</f>
        <v/>
      </c>
      <c r="K616" s="29">
        <f>F616</f>
        <v/>
      </c>
    </row>
    <row r="617">
      <c r="A617" s="29">
        <f>CONCATENATE("NAME_PkMn_", UPPER(B617))</f>
        <v/>
      </c>
      <c r="B617" s="29" t="inlineStr">
        <is>
          <t>Shelmet</t>
        </is>
      </c>
      <c r="C617" s="29" t="inlineStr">
        <is>
          <t>チョボマキ</t>
        </is>
      </c>
      <c r="D617" s="29" t="inlineStr">
        <is>
          <t>Escargaume</t>
        </is>
      </c>
      <c r="E617" s="29" t="inlineStr">
        <is>
          <t>Schnuthelm</t>
        </is>
      </c>
      <c r="F617" s="29">
        <f>B617</f>
        <v/>
      </c>
      <c r="G617" s="29">
        <f>B617</f>
        <v/>
      </c>
      <c r="H617" s="29" t="inlineStr">
        <is>
          <t>쪼마리</t>
        </is>
      </c>
      <c r="I617" s="29" t="inlineStr">
        <is>
          <t>小嘴蝸</t>
        </is>
      </c>
      <c r="J617" s="29">
        <f>IFERROR(__xludf.DUMMYFUNCTION("GOOGLETRANSLATE(I617,""zh_HANT"",""zh_HANS"")"),"小嘴蜗")</f>
        <v/>
      </c>
      <c r="K617" s="29">
        <f>F617</f>
        <v/>
      </c>
    </row>
    <row r="618">
      <c r="A618" s="29">
        <f>CONCATENATE("NAME_PkMn_", UPPER(B618))</f>
        <v/>
      </c>
      <c r="B618" s="29" t="inlineStr">
        <is>
          <t>Accelgor</t>
        </is>
      </c>
      <c r="C618" s="29" t="inlineStr">
        <is>
          <t>アギルダー</t>
        </is>
      </c>
      <c r="D618" s="29" t="inlineStr">
        <is>
          <t>Limaspeed</t>
        </is>
      </c>
      <c r="E618" s="29" t="inlineStr">
        <is>
          <t>Hydragil</t>
        </is>
      </c>
      <c r="F618" s="29">
        <f>B618</f>
        <v/>
      </c>
      <c r="G618" s="29">
        <f>B618</f>
        <v/>
      </c>
      <c r="H618" s="29" t="inlineStr">
        <is>
          <t>어지리더</t>
        </is>
      </c>
      <c r="I618" s="29" t="inlineStr">
        <is>
          <t>敏捷蟲</t>
        </is>
      </c>
      <c r="J618" s="29">
        <f>IFERROR(__xludf.DUMMYFUNCTION("GOOGLETRANSLATE(I618,""zh_HANT"",""zh_HANS"")"),"敏捷虫")</f>
        <v/>
      </c>
      <c r="K618" s="29">
        <f>F618</f>
        <v/>
      </c>
    </row>
    <row r="619">
      <c r="A619" s="29">
        <f>CONCATENATE("NAME_PkMn_", UPPER(B619))</f>
        <v/>
      </c>
      <c r="B619" s="29" t="inlineStr">
        <is>
          <t>Stunfisk</t>
        </is>
      </c>
      <c r="C619" s="29" t="inlineStr">
        <is>
          <t>マッギョ</t>
        </is>
      </c>
      <c r="D619" s="29" t="inlineStr">
        <is>
          <t>Limonde</t>
        </is>
      </c>
      <c r="E619" s="29" t="inlineStr">
        <is>
          <t>Flunschlik</t>
        </is>
      </c>
      <c r="F619" s="29">
        <f>B619</f>
        <v/>
      </c>
      <c r="G619" s="29">
        <f>B619</f>
        <v/>
      </c>
      <c r="H619" s="29" t="inlineStr">
        <is>
          <t>메더</t>
        </is>
      </c>
      <c r="I619" s="29" t="inlineStr">
        <is>
          <t>泥巴魚</t>
        </is>
      </c>
      <c r="J619" s="29">
        <f>IFERROR(__xludf.DUMMYFUNCTION("GOOGLETRANSLATE(I619,""zh_HANT"",""zh_HANS"")"),"泥巴鱼")</f>
        <v/>
      </c>
      <c r="K619" s="29">
        <f>F619</f>
        <v/>
      </c>
    </row>
    <row r="620">
      <c r="A620" s="29">
        <f>CONCATENATE("NAME_PkMn_", UPPER(B620))</f>
        <v/>
      </c>
      <c r="B620" s="29" t="inlineStr">
        <is>
          <t>Mienfoo</t>
        </is>
      </c>
      <c r="C620" s="29" t="inlineStr">
        <is>
          <t>コジョフー</t>
        </is>
      </c>
      <c r="D620" s="29" t="inlineStr">
        <is>
          <t>Kungfouine</t>
        </is>
      </c>
      <c r="E620" s="29" t="inlineStr">
        <is>
          <t>Lin-Fu</t>
        </is>
      </c>
      <c r="F620" s="29">
        <f>B620</f>
        <v/>
      </c>
      <c r="G620" s="29">
        <f>B620</f>
        <v/>
      </c>
      <c r="H620" s="29" t="inlineStr">
        <is>
          <t>비조푸</t>
        </is>
      </c>
      <c r="I620" s="29" t="inlineStr">
        <is>
          <t>功夫鼬</t>
        </is>
      </c>
      <c r="J620" s="29">
        <f>I620</f>
        <v/>
      </c>
      <c r="K620" s="29">
        <f>F620</f>
        <v/>
      </c>
    </row>
    <row r="621">
      <c r="A621" s="29">
        <f>CONCATENATE("NAME_PkMn_", UPPER(B621))</f>
        <v/>
      </c>
      <c r="B621" s="29" t="inlineStr">
        <is>
          <t>Mienshao</t>
        </is>
      </c>
      <c r="C621" s="29" t="inlineStr">
        <is>
          <t>コジョンド</t>
        </is>
      </c>
      <c r="D621" s="29" t="inlineStr">
        <is>
          <t>Shaofouine</t>
        </is>
      </c>
      <c r="E621" s="29" t="inlineStr">
        <is>
          <t>Wie-Shu</t>
        </is>
      </c>
      <c r="F621" s="29">
        <f>B621</f>
        <v/>
      </c>
      <c r="G621" s="29">
        <f>B621</f>
        <v/>
      </c>
      <c r="H621" s="29" t="inlineStr">
        <is>
          <t>비조도</t>
        </is>
      </c>
      <c r="I621" s="29" t="inlineStr">
        <is>
          <t>師父鼬</t>
        </is>
      </c>
      <c r="J621" s="29">
        <f>IFERROR(__xludf.DUMMYFUNCTION("GOOGLETRANSLATE(I621,""zh_HANT"",""zh_HANS"")"),"师父鼬")</f>
        <v/>
      </c>
      <c r="K621" s="29">
        <f>F621</f>
        <v/>
      </c>
    </row>
    <row r="622">
      <c r="A622" s="29">
        <f>CONCATENATE("NAME_PkMn_", UPPER(B622))</f>
        <v/>
      </c>
      <c r="B622" s="29" t="inlineStr">
        <is>
          <t>Druddigon</t>
        </is>
      </c>
      <c r="C622" s="29" t="inlineStr">
        <is>
          <t>クリムガン</t>
        </is>
      </c>
      <c r="D622" s="29" t="inlineStr">
        <is>
          <t>Drakkarmin</t>
        </is>
      </c>
      <c r="E622" s="29" t="inlineStr">
        <is>
          <t>Shardrago</t>
        </is>
      </c>
      <c r="F622" s="29">
        <f>B622</f>
        <v/>
      </c>
      <c r="G622" s="29">
        <f>B622</f>
        <v/>
      </c>
      <c r="H622" s="29" t="inlineStr">
        <is>
          <t>크리만</t>
        </is>
      </c>
      <c r="I622" s="29" t="inlineStr">
        <is>
          <t>赤面龍</t>
        </is>
      </c>
      <c r="J622" s="29">
        <f>IFERROR(__xludf.DUMMYFUNCTION("GOOGLETRANSLATE(I622,""zh_HANT"",""zh_HANS"")"),"赤面龙")</f>
        <v/>
      </c>
      <c r="K622" s="29">
        <f>F622</f>
        <v/>
      </c>
    </row>
    <row r="623">
      <c r="A623" s="29">
        <f>CONCATENATE("NAME_PkMn_", UPPER(B623))</f>
        <v/>
      </c>
      <c r="B623" s="29" t="inlineStr">
        <is>
          <t>Golett</t>
        </is>
      </c>
      <c r="C623" s="29" t="inlineStr">
        <is>
          <t>ゴビット</t>
        </is>
      </c>
      <c r="D623" s="29" t="inlineStr">
        <is>
          <t>Gringolem</t>
        </is>
      </c>
      <c r="E623" s="29" t="inlineStr">
        <is>
          <t>Golbit</t>
        </is>
      </c>
      <c r="F623" s="29">
        <f>B623</f>
        <v/>
      </c>
      <c r="G623" s="29">
        <f>B623</f>
        <v/>
      </c>
      <c r="H623" s="29" t="inlineStr">
        <is>
          <t>골비람</t>
        </is>
      </c>
      <c r="I623" s="29" t="inlineStr">
        <is>
          <t>泥偶小人</t>
        </is>
      </c>
      <c r="J623" s="29">
        <f>I623</f>
        <v/>
      </c>
      <c r="K623" s="29">
        <f>F623</f>
        <v/>
      </c>
    </row>
    <row r="624">
      <c r="A624" s="29">
        <f>CONCATENATE("NAME_PkMn_", UPPER(B624))</f>
        <v/>
      </c>
      <c r="B624" s="29" t="inlineStr">
        <is>
          <t>Golurk</t>
        </is>
      </c>
      <c r="C624" s="29" t="inlineStr">
        <is>
          <t>ゴルーグ</t>
        </is>
      </c>
      <c r="D624" s="29" t="inlineStr">
        <is>
          <t>Golemastoc</t>
        </is>
      </c>
      <c r="E624" s="29" t="inlineStr">
        <is>
          <t>Golgantes</t>
        </is>
      </c>
      <c r="F624" s="29">
        <f>B624</f>
        <v/>
      </c>
      <c r="G624" s="29">
        <f>B624</f>
        <v/>
      </c>
      <c r="H624" s="29" t="inlineStr">
        <is>
          <t>골루그</t>
        </is>
      </c>
      <c r="I624" s="29" t="inlineStr">
        <is>
          <t>泥偶巨人</t>
        </is>
      </c>
      <c r="J624" s="29">
        <f>I624</f>
        <v/>
      </c>
      <c r="K624" s="29">
        <f>F624</f>
        <v/>
      </c>
    </row>
    <row r="625">
      <c r="A625" s="29">
        <f>CONCATENATE("NAME_PkMn_", UPPER(B625))</f>
        <v/>
      </c>
      <c r="B625" s="29" t="inlineStr">
        <is>
          <t>Pawniard</t>
        </is>
      </c>
      <c r="C625" s="29" t="inlineStr">
        <is>
          <t>コマタナ</t>
        </is>
      </c>
      <c r="D625" s="29" t="inlineStr">
        <is>
          <t>Scalpion</t>
        </is>
      </c>
      <c r="E625" s="29" t="inlineStr">
        <is>
          <t>Gladiantri</t>
        </is>
      </c>
      <c r="F625" s="29">
        <f>B625</f>
        <v/>
      </c>
      <c r="G625" s="29">
        <f>B625</f>
        <v/>
      </c>
      <c r="H625" s="29" t="inlineStr">
        <is>
          <t>자망칼</t>
        </is>
      </c>
      <c r="I625" s="29" t="inlineStr">
        <is>
          <t>駒刀小兵</t>
        </is>
      </c>
      <c r="J625" s="29">
        <f>IFERROR(__xludf.DUMMYFUNCTION("GOOGLETRANSLATE(I625,""zh_HANT"",""zh_HANS"")"),"驹刀小兵")</f>
        <v/>
      </c>
      <c r="K625" s="29">
        <f>F625</f>
        <v/>
      </c>
    </row>
    <row r="626">
      <c r="A626" s="29">
        <f>CONCATENATE("NAME_PkMn_", UPPER(B626))</f>
        <v/>
      </c>
      <c r="B626" s="29" t="inlineStr">
        <is>
          <t>Bisharp</t>
        </is>
      </c>
      <c r="C626" s="29" t="inlineStr">
        <is>
          <t>キルキザン</t>
        </is>
      </c>
      <c r="D626" s="29" t="inlineStr">
        <is>
          <t>Scalproie</t>
        </is>
      </c>
      <c r="E626" s="29" t="inlineStr">
        <is>
          <t>Caesurio</t>
        </is>
      </c>
      <c r="F626" s="29">
        <f>B626</f>
        <v/>
      </c>
      <c r="G626" s="29">
        <f>B626</f>
        <v/>
      </c>
      <c r="H626" s="29" t="inlineStr">
        <is>
          <t>절각참</t>
        </is>
      </c>
      <c r="I626" s="29" t="inlineStr">
        <is>
          <t>劈斬司令</t>
        </is>
      </c>
      <c r="J626" s="29">
        <f>IFERROR(__xludf.DUMMYFUNCTION("GOOGLETRANSLATE(I626,""zh_HANT"",""zh_HANS"")"),"劈斩司令")</f>
        <v/>
      </c>
      <c r="K626" s="29">
        <f>F626</f>
        <v/>
      </c>
    </row>
    <row r="627">
      <c r="A627" s="29">
        <f>CONCATENATE("NAME_PkMn_", UPPER(B627))</f>
        <v/>
      </c>
      <c r="B627" s="29" t="inlineStr">
        <is>
          <t>Bouffalant</t>
        </is>
      </c>
      <c r="C627" s="29" t="inlineStr">
        <is>
          <t>バッフロン</t>
        </is>
      </c>
      <c r="D627" s="29" t="inlineStr">
        <is>
          <t>Frison</t>
        </is>
      </c>
      <c r="E627" s="29" t="inlineStr">
        <is>
          <t>Bisofank</t>
        </is>
      </c>
      <c r="F627" s="29">
        <f>B627</f>
        <v/>
      </c>
      <c r="G627" s="29">
        <f>B627</f>
        <v/>
      </c>
      <c r="H627" s="29" t="inlineStr">
        <is>
          <t>버프론</t>
        </is>
      </c>
      <c r="I627" s="29" t="inlineStr">
        <is>
          <t>爆炸頭水牛</t>
        </is>
      </c>
      <c r="J627" s="29">
        <f>IFERROR(__xludf.DUMMYFUNCTION("GOOGLETRANSLATE(I627,""zh_HANT"",""zh_HANS"")"),"爆炸头水牛")</f>
        <v/>
      </c>
      <c r="K627" s="29">
        <f>F627</f>
        <v/>
      </c>
    </row>
    <row r="628">
      <c r="A628" s="29">
        <f>CONCATENATE("NAME_PkMn_", UPPER(B628))</f>
        <v/>
      </c>
      <c r="B628" s="29" t="inlineStr">
        <is>
          <t>Rufflet</t>
        </is>
      </c>
      <c r="C628" s="29" t="inlineStr">
        <is>
          <t>ワシボン</t>
        </is>
      </c>
      <c r="D628" s="29" t="inlineStr">
        <is>
          <t>Furaiglon</t>
        </is>
      </c>
      <c r="E628" s="29" t="inlineStr">
        <is>
          <t>Geronimatz</t>
        </is>
      </c>
      <c r="F628" s="29">
        <f>B628</f>
        <v/>
      </c>
      <c r="G628" s="29">
        <f>B628</f>
        <v/>
      </c>
      <c r="H628" s="29" t="inlineStr">
        <is>
          <t>수리둥보</t>
        </is>
      </c>
      <c r="I628" s="29" t="inlineStr">
        <is>
          <t>毛頭小鷹</t>
        </is>
      </c>
      <c r="J628" s="29">
        <f>IFERROR(__xludf.DUMMYFUNCTION("GOOGLETRANSLATE(I628,""zh_HANT"",""zh_HANS"")"),"毛头小鹰")</f>
        <v/>
      </c>
      <c r="K628" s="29">
        <f>F628</f>
        <v/>
      </c>
    </row>
    <row r="629">
      <c r="A629" s="29">
        <f>CONCATENATE("NAME_PkMn_", UPPER(B629))</f>
        <v/>
      </c>
      <c r="B629" s="29" t="inlineStr">
        <is>
          <t>Braviary</t>
        </is>
      </c>
      <c r="C629" s="29" t="inlineStr">
        <is>
          <t>ウォーグル</t>
        </is>
      </c>
      <c r="D629" s="29" t="inlineStr">
        <is>
          <t>Gueriaigle</t>
        </is>
      </c>
      <c r="E629" s="29" t="inlineStr">
        <is>
          <t>Washakwil</t>
        </is>
      </c>
      <c r="F629" s="29">
        <f>B629</f>
        <v/>
      </c>
      <c r="G629" s="29">
        <f>B629</f>
        <v/>
      </c>
      <c r="H629" s="29" t="inlineStr">
        <is>
          <t>워글</t>
        </is>
      </c>
      <c r="I629" s="29" t="inlineStr">
        <is>
          <t>勇士雄鷹</t>
        </is>
      </c>
      <c r="J629" s="29">
        <f>IFERROR(__xludf.DUMMYFUNCTION("GOOGLETRANSLATE(I629,""zh_HANT"",""zh_HANS"")"),"勇士雄鹰")</f>
        <v/>
      </c>
      <c r="K629" s="29">
        <f>F629</f>
        <v/>
      </c>
    </row>
    <row r="630">
      <c r="A630" s="29">
        <f>CONCATENATE("NAME_PkMn_", UPPER(B630))</f>
        <v/>
      </c>
      <c r="B630" s="29" t="inlineStr">
        <is>
          <t>Vullaby</t>
        </is>
      </c>
      <c r="C630" s="29" t="inlineStr">
        <is>
          <t>バルチャイ</t>
        </is>
      </c>
      <c r="D630" s="29" t="inlineStr">
        <is>
          <t>Vostourno</t>
        </is>
      </c>
      <c r="E630" s="29" t="inlineStr">
        <is>
          <t>Skallyk</t>
        </is>
      </c>
      <c r="F630" s="29">
        <f>B630</f>
        <v/>
      </c>
      <c r="G630" s="29">
        <f>B630</f>
        <v/>
      </c>
      <c r="H630" s="29" t="inlineStr">
        <is>
          <t>벌차이</t>
        </is>
      </c>
      <c r="I630" s="29" t="inlineStr">
        <is>
          <t>禿鷹丫頭</t>
        </is>
      </c>
      <c r="J630" s="29">
        <f>IFERROR(__xludf.DUMMYFUNCTION("GOOGLETRANSLATE(I630,""zh_HANT"",""zh_HANS"")"),"秃鹰丫头")</f>
        <v/>
      </c>
      <c r="K630" s="29">
        <f>F630</f>
        <v/>
      </c>
    </row>
    <row r="631">
      <c r="A631" s="29">
        <f>CONCATENATE("NAME_PkMn_", UPPER(B631))</f>
        <v/>
      </c>
      <c r="B631" s="29" t="inlineStr">
        <is>
          <t>Mandibuzz</t>
        </is>
      </c>
      <c r="C631" s="29" t="inlineStr">
        <is>
          <t>バルジーナ</t>
        </is>
      </c>
      <c r="D631" s="29" t="inlineStr">
        <is>
          <t>Vaututrice</t>
        </is>
      </c>
      <c r="E631" s="29" t="inlineStr">
        <is>
          <t>Grypheldis</t>
        </is>
      </c>
      <c r="F631" s="29">
        <f>B631</f>
        <v/>
      </c>
      <c r="G631" s="29">
        <f>B631</f>
        <v/>
      </c>
      <c r="H631" s="29" t="inlineStr">
        <is>
          <t>버랜지나</t>
        </is>
      </c>
      <c r="I631" s="29" t="inlineStr">
        <is>
          <t>禿鷹娜</t>
        </is>
      </c>
      <c r="J631" s="29">
        <f>IFERROR(__xludf.DUMMYFUNCTION("GOOGLETRANSLATE(I631,""zh_HANT"",""zh_HANS"")"),"秃鹰娜")</f>
        <v/>
      </c>
      <c r="K631" s="29">
        <f>F631</f>
        <v/>
      </c>
    </row>
    <row r="632">
      <c r="A632" s="29">
        <f>CONCATENATE("NAME_PkMn_", UPPER(B632))</f>
        <v/>
      </c>
      <c r="B632" s="29" t="inlineStr">
        <is>
          <t>Heatmor</t>
        </is>
      </c>
      <c r="C632" s="29" t="inlineStr">
        <is>
          <t>クイタラン</t>
        </is>
      </c>
      <c r="D632" s="29" t="inlineStr">
        <is>
          <t>Aflamanoir</t>
        </is>
      </c>
      <c r="E632" s="29" t="inlineStr">
        <is>
          <t>Furnifraß</t>
        </is>
      </c>
      <c r="F632" s="29">
        <f>B632</f>
        <v/>
      </c>
      <c r="G632" s="29">
        <f>B632</f>
        <v/>
      </c>
      <c r="H632" s="29" t="inlineStr">
        <is>
          <t>앤티골</t>
        </is>
      </c>
      <c r="I632" s="29" t="inlineStr">
        <is>
          <t>熔蟻獸</t>
        </is>
      </c>
      <c r="J632" s="29">
        <f>IFERROR(__xludf.DUMMYFUNCTION("GOOGLETRANSLATE(I632,""zh_HANT"",""zh_HANS"")"),"熔蚁兽")</f>
        <v/>
      </c>
      <c r="K632" s="29">
        <f>F632</f>
        <v/>
      </c>
    </row>
    <row r="633">
      <c r="A633" s="29">
        <f>CONCATENATE("NAME_PkMn_", UPPER(B633))</f>
        <v/>
      </c>
      <c r="B633" s="29" t="inlineStr">
        <is>
          <t>Durant</t>
        </is>
      </c>
      <c r="C633" s="29" t="inlineStr">
        <is>
          <t>アイアント</t>
        </is>
      </c>
      <c r="D633" s="29" t="inlineStr">
        <is>
          <t>Fermite</t>
        </is>
      </c>
      <c r="E633" s="29" t="inlineStr">
        <is>
          <t>Fermicula</t>
        </is>
      </c>
      <c r="F633" s="29">
        <f>B633</f>
        <v/>
      </c>
      <c r="G633" s="29">
        <f>B633</f>
        <v/>
      </c>
      <c r="H633" s="29" t="inlineStr">
        <is>
          <t>아이앤트</t>
        </is>
      </c>
      <c r="I633" s="29" t="inlineStr">
        <is>
          <t>鐵蟻</t>
        </is>
      </c>
      <c r="J633" s="29">
        <f>IFERROR(__xludf.DUMMYFUNCTION("GOOGLETRANSLATE(I633,""zh_HANT"",""zh_HANS"")"),"铁蚁")</f>
        <v/>
      </c>
      <c r="K633" s="29">
        <f>F633</f>
        <v/>
      </c>
    </row>
    <row r="634">
      <c r="A634" s="29">
        <f>CONCATENATE("NAME_PkMn_", UPPER(B634))</f>
        <v/>
      </c>
      <c r="B634" s="29" t="inlineStr">
        <is>
          <t>Deino</t>
        </is>
      </c>
      <c r="C634" s="29" t="inlineStr">
        <is>
          <t>モノズ</t>
        </is>
      </c>
      <c r="D634" s="29" t="inlineStr">
        <is>
          <t>Solochi</t>
        </is>
      </c>
      <c r="E634" s="29" t="inlineStr">
        <is>
          <t>Kapuno</t>
        </is>
      </c>
      <c r="F634" s="29">
        <f>B634</f>
        <v/>
      </c>
      <c r="G634" s="29">
        <f>B634</f>
        <v/>
      </c>
      <c r="H634" s="29" t="inlineStr">
        <is>
          <t>모노두</t>
        </is>
      </c>
      <c r="I634" s="29" t="inlineStr">
        <is>
          <t>單首龍</t>
        </is>
      </c>
      <c r="J634" s="29">
        <f>IFERROR(__xludf.DUMMYFUNCTION("GOOGLETRANSLATE(I634,""zh_HANT"",""zh_HANS"")"),"单首龙")</f>
        <v/>
      </c>
      <c r="K634" s="29">
        <f>F634</f>
        <v/>
      </c>
    </row>
    <row r="635">
      <c r="A635" s="29">
        <f>CONCATENATE("NAME_PkMn_", UPPER(B635))</f>
        <v/>
      </c>
      <c r="B635" s="29" t="inlineStr">
        <is>
          <t>Zweilous</t>
        </is>
      </c>
      <c r="C635" s="29" t="inlineStr">
        <is>
          <t>ジヘッド</t>
        </is>
      </c>
      <c r="D635" s="29" t="inlineStr">
        <is>
          <t>Diamat</t>
        </is>
      </c>
      <c r="E635" s="29" t="inlineStr">
        <is>
          <t>Duodino</t>
        </is>
      </c>
      <c r="F635" s="29">
        <f>B635</f>
        <v/>
      </c>
      <c r="G635" s="29">
        <f>B635</f>
        <v/>
      </c>
      <c r="H635" s="29" t="inlineStr">
        <is>
          <t>디헤드</t>
        </is>
      </c>
      <c r="I635" s="29" t="inlineStr">
        <is>
          <t>雙首暴龍</t>
        </is>
      </c>
      <c r="J635" s="29">
        <f>IFERROR(__xludf.DUMMYFUNCTION("GOOGLETRANSLATE(I635,""zh_HANT"",""zh_HANS"")"),"双首暴龙")</f>
        <v/>
      </c>
      <c r="K635" s="29">
        <f>F635</f>
        <v/>
      </c>
    </row>
    <row r="636">
      <c r="A636" s="29">
        <f>CONCATENATE("NAME_PkMn_", UPPER(B636))</f>
        <v/>
      </c>
      <c r="B636" s="29" t="inlineStr">
        <is>
          <t>Hydreigon</t>
        </is>
      </c>
      <c r="C636" s="29" t="inlineStr">
        <is>
          <t>サザンドラ</t>
        </is>
      </c>
      <c r="D636" s="29" t="inlineStr">
        <is>
          <t>Trioxhydre</t>
        </is>
      </c>
      <c r="E636" s="29" t="inlineStr">
        <is>
          <t>Trikephalo</t>
        </is>
      </c>
      <c r="F636" s="29">
        <f>B636</f>
        <v/>
      </c>
      <c r="G636" s="29">
        <f>B636</f>
        <v/>
      </c>
      <c r="H636" s="29" t="inlineStr">
        <is>
          <t>삼삼드래</t>
        </is>
      </c>
      <c r="I636" s="29" t="inlineStr">
        <is>
          <t>三首惡龍</t>
        </is>
      </c>
      <c r="J636" s="29">
        <f>IFERROR(__xludf.DUMMYFUNCTION("GOOGLETRANSLATE(I636,""zh_HANT"",""zh_HANS"")"),"三首恶龙")</f>
        <v/>
      </c>
      <c r="K636" s="29">
        <f>F636</f>
        <v/>
      </c>
    </row>
    <row r="637">
      <c r="A637" s="29">
        <f>CONCATENATE("NAME_PkMn_", UPPER(B637))</f>
        <v/>
      </c>
      <c r="B637" s="29" t="inlineStr">
        <is>
          <t>Larvesta</t>
        </is>
      </c>
      <c r="C637" s="29" t="inlineStr">
        <is>
          <t>メラルバ</t>
        </is>
      </c>
      <c r="D637" s="29" t="inlineStr">
        <is>
          <t>Pyronille</t>
        </is>
      </c>
      <c r="E637" s="29" t="inlineStr">
        <is>
          <t>Ignivor</t>
        </is>
      </c>
      <c r="F637" s="29">
        <f>B637</f>
        <v/>
      </c>
      <c r="G637" s="29">
        <f>B637</f>
        <v/>
      </c>
      <c r="H637" s="29" t="inlineStr">
        <is>
          <t>활화르바</t>
        </is>
      </c>
      <c r="I637" s="29" t="inlineStr">
        <is>
          <t>燃燒蟲</t>
        </is>
      </c>
      <c r="J637" s="29">
        <f>IFERROR(__xludf.DUMMYFUNCTION("GOOGLETRANSLATE(I637,""zh_HANT"",""zh_HANS"")"),"燃烧虫")</f>
        <v/>
      </c>
      <c r="K637" s="29">
        <f>F637</f>
        <v/>
      </c>
    </row>
    <row r="638">
      <c r="A638" s="29">
        <f>CONCATENATE("NAME_PkMn_", UPPER(B638))</f>
        <v/>
      </c>
      <c r="B638" s="29" t="inlineStr">
        <is>
          <t>Volcarona</t>
        </is>
      </c>
      <c r="C638" s="29" t="inlineStr">
        <is>
          <t>ウルガモス</t>
        </is>
      </c>
      <c r="D638" s="29" t="inlineStr">
        <is>
          <t>Pyrax</t>
        </is>
      </c>
      <c r="E638" s="29" t="inlineStr">
        <is>
          <t>Ramoth</t>
        </is>
      </c>
      <c r="F638" s="29">
        <f>B638</f>
        <v/>
      </c>
      <c r="G638" s="29">
        <f>B638</f>
        <v/>
      </c>
      <c r="H638" s="29" t="inlineStr">
        <is>
          <t>불카모스</t>
        </is>
      </c>
      <c r="I638" s="29" t="inlineStr">
        <is>
          <t>火神蛾</t>
        </is>
      </c>
      <c r="J638" s="29">
        <f>I638</f>
        <v/>
      </c>
      <c r="K638" s="29">
        <f>F638</f>
        <v/>
      </c>
    </row>
    <row r="639">
      <c r="A639" s="29">
        <f>CONCATENATE("NAME_PkMn_", UPPER(B639))</f>
        <v/>
      </c>
      <c r="B639" s="29" t="inlineStr">
        <is>
          <t>Cobalion</t>
        </is>
      </c>
      <c r="C639" s="29" t="inlineStr">
        <is>
          <t>コバルオン</t>
        </is>
      </c>
      <c r="D639" s="29" t="inlineStr">
        <is>
          <t>Cobaltium</t>
        </is>
      </c>
      <c r="E639" s="29" t="inlineStr">
        <is>
          <t>Kobalium</t>
        </is>
      </c>
      <c r="F639" s="29">
        <f>B639</f>
        <v/>
      </c>
      <c r="G639" s="29">
        <f>B639</f>
        <v/>
      </c>
      <c r="H639" s="29" t="inlineStr">
        <is>
          <t>코바르온</t>
        </is>
      </c>
      <c r="I639" s="29" t="inlineStr">
        <is>
          <t>勾帕路翁</t>
        </is>
      </c>
      <c r="J639" s="29">
        <f>I639</f>
        <v/>
      </c>
      <c r="K639" s="29">
        <f>F639</f>
        <v/>
      </c>
    </row>
    <row r="640">
      <c r="A640" s="29">
        <f>CONCATENATE("NAME_PkMn_", UPPER(B640))</f>
        <v/>
      </c>
      <c r="B640" s="29" t="inlineStr">
        <is>
          <t>Terrakion</t>
        </is>
      </c>
      <c r="C640" s="29" t="inlineStr">
        <is>
          <t>テラキオン</t>
        </is>
      </c>
      <c r="D640" s="29" t="inlineStr">
        <is>
          <t>Terrakium</t>
        </is>
      </c>
      <c r="E640" s="29">
        <f>D640</f>
        <v/>
      </c>
      <c r="F640" s="29">
        <f>B640</f>
        <v/>
      </c>
      <c r="G640" s="29">
        <f>B640</f>
        <v/>
      </c>
      <c r="H640" s="29" t="inlineStr">
        <is>
          <t>테라키온</t>
        </is>
      </c>
      <c r="I640" s="29" t="inlineStr">
        <is>
          <t>代拉基翁</t>
        </is>
      </c>
      <c r="J640" s="29">
        <f>I640</f>
        <v/>
      </c>
      <c r="K640" s="29">
        <f>F640</f>
        <v/>
      </c>
    </row>
    <row r="641">
      <c r="A641" s="29">
        <f>CONCATENATE("NAME_PkMn_", UPPER(B641))</f>
        <v/>
      </c>
      <c r="B641" s="29" t="inlineStr">
        <is>
          <t>Virizion</t>
        </is>
      </c>
      <c r="C641" s="29" t="inlineStr">
        <is>
          <t>ビリジオン</t>
        </is>
      </c>
      <c r="D641" s="29" t="inlineStr">
        <is>
          <t>Viridium</t>
        </is>
      </c>
      <c r="E641" s="29">
        <f>D641</f>
        <v/>
      </c>
      <c r="F641" s="29">
        <f>B641</f>
        <v/>
      </c>
      <c r="G641" s="29">
        <f>B641</f>
        <v/>
      </c>
      <c r="H641" s="29" t="inlineStr">
        <is>
          <t>비리디온</t>
        </is>
      </c>
      <c r="I641" s="29" t="inlineStr">
        <is>
          <t>畢力吉翁</t>
        </is>
      </c>
      <c r="J641" s="29">
        <f>IFERROR(__xludf.DUMMYFUNCTION("GOOGLETRANSLATE(I641,""zh_HANT"",""zh_HANS"")"),"毕力吉翁")</f>
        <v/>
      </c>
      <c r="K641" s="29">
        <f>F641</f>
        <v/>
      </c>
    </row>
    <row r="642">
      <c r="A642" s="29">
        <f>CONCATENATE("NAME_PkMn_", UPPER(B642))</f>
        <v/>
      </c>
      <c r="B642" s="29" t="inlineStr">
        <is>
          <t>Tornadus</t>
        </is>
      </c>
      <c r="C642" s="29" t="inlineStr">
        <is>
          <t>トルネロス</t>
        </is>
      </c>
      <c r="D642" s="29" t="inlineStr">
        <is>
          <t>Boréas</t>
        </is>
      </c>
      <c r="E642" s="29" t="inlineStr">
        <is>
          <t>Boreos</t>
        </is>
      </c>
      <c r="F642" s="29">
        <f>B642</f>
        <v/>
      </c>
      <c r="G642" s="29">
        <f>B642</f>
        <v/>
      </c>
      <c r="H642" s="29" t="inlineStr">
        <is>
          <t>토네로스</t>
        </is>
      </c>
      <c r="I642" s="29" t="inlineStr">
        <is>
          <t>龍捲雲</t>
        </is>
      </c>
      <c r="J642" s="29">
        <f>IFERROR(__xludf.DUMMYFUNCTION("GOOGLETRANSLATE(I642,""zh_HANT"",""zh_HANS"")"),"龙卷云")</f>
        <v/>
      </c>
      <c r="K642" s="29">
        <f>F642</f>
        <v/>
      </c>
    </row>
    <row r="643">
      <c r="A643" s="29">
        <f>CONCATENATE("NAME_PkMn_", UPPER(B643))</f>
        <v/>
      </c>
      <c r="B643" s="29" t="inlineStr">
        <is>
          <t>Thundurus</t>
        </is>
      </c>
      <c r="C643" s="29" t="inlineStr">
        <is>
          <t>ボルトロス</t>
        </is>
      </c>
      <c r="D643" s="29" t="inlineStr">
        <is>
          <t>Fulguris</t>
        </is>
      </c>
      <c r="E643" s="29" t="inlineStr">
        <is>
          <t>Voltolos</t>
        </is>
      </c>
      <c r="F643" s="29">
        <f>B643</f>
        <v/>
      </c>
      <c r="G643" s="29">
        <f>B643</f>
        <v/>
      </c>
      <c r="H643" s="29" t="inlineStr">
        <is>
          <t>볼트로스</t>
        </is>
      </c>
      <c r="I643" s="29" t="inlineStr">
        <is>
          <t>雷電雲</t>
        </is>
      </c>
      <c r="J643" s="29">
        <f>IFERROR(__xludf.DUMMYFUNCTION("GOOGLETRANSLATE(I643,""zh_HANT"",""zh_HANS"")"),"雷电云")</f>
        <v/>
      </c>
      <c r="K643" s="29">
        <f>F643</f>
        <v/>
      </c>
    </row>
    <row r="644">
      <c r="A644" s="29">
        <f>CONCATENATE("NAME_PkMn_", UPPER(B644))</f>
        <v/>
      </c>
      <c r="B644" s="29" t="inlineStr">
        <is>
          <t>Reshiram</t>
        </is>
      </c>
      <c r="C644" s="29" t="inlineStr">
        <is>
          <t>レシラム</t>
        </is>
      </c>
      <c r="D644" s="29">
        <f>B644</f>
        <v/>
      </c>
      <c r="E644" s="29">
        <f>B644</f>
        <v/>
      </c>
      <c r="F644" s="29">
        <f>B644</f>
        <v/>
      </c>
      <c r="G644" s="29">
        <f>B644</f>
        <v/>
      </c>
      <c r="H644" s="29" t="inlineStr">
        <is>
          <t>레시라무</t>
        </is>
      </c>
      <c r="I644" s="29" t="inlineStr">
        <is>
          <t>萊希拉姆</t>
        </is>
      </c>
      <c r="J644" s="29">
        <f>I644</f>
        <v/>
      </c>
      <c r="K644" s="29">
        <f>F644</f>
        <v/>
      </c>
    </row>
    <row r="645">
      <c r="A645" s="29">
        <f>CONCATENATE("NAME_PkMn_", UPPER(B645))</f>
        <v/>
      </c>
      <c r="B645" s="29" t="inlineStr">
        <is>
          <t>Zekrom</t>
        </is>
      </c>
      <c r="C645" s="29" t="inlineStr">
        <is>
          <t>ゼクロム</t>
        </is>
      </c>
      <c r="D645" s="29">
        <f>B645</f>
        <v/>
      </c>
      <c r="E645" s="29">
        <f>B645</f>
        <v/>
      </c>
      <c r="F645" s="29">
        <f>B645</f>
        <v/>
      </c>
      <c r="G645" s="29">
        <f>B645</f>
        <v/>
      </c>
      <c r="H645" s="29" t="inlineStr">
        <is>
          <t>제크로무</t>
        </is>
      </c>
      <c r="I645" s="29" t="inlineStr">
        <is>
          <t>捷克羅姆</t>
        </is>
      </c>
      <c r="J645" s="29">
        <f>IFERROR(__xludf.DUMMYFUNCTION("GOOGLETRANSLATE(I645,""zh_HANT"",""zh_HANS"")"),"捷克罗姆")</f>
        <v/>
      </c>
      <c r="K645" s="29">
        <f>F645</f>
        <v/>
      </c>
    </row>
    <row r="646">
      <c r="A646" s="29">
        <f>CONCATENATE("NAME_PkMn_", UPPER(B646))</f>
        <v/>
      </c>
      <c r="B646" s="29" t="inlineStr">
        <is>
          <t>Landorus</t>
        </is>
      </c>
      <c r="C646" s="29" t="inlineStr">
        <is>
          <t>ランドロス</t>
        </is>
      </c>
      <c r="D646" s="29" t="inlineStr">
        <is>
          <t>Démétéros</t>
        </is>
      </c>
      <c r="E646" s="29" t="inlineStr">
        <is>
          <t>Demeteros</t>
        </is>
      </c>
      <c r="F646" s="29">
        <f>B646</f>
        <v/>
      </c>
      <c r="G646" s="29">
        <f>B646</f>
        <v/>
      </c>
      <c r="H646" s="29" t="inlineStr">
        <is>
          <t>랜드로스</t>
        </is>
      </c>
      <c r="I646" s="29" t="inlineStr">
        <is>
          <t>土地雲</t>
        </is>
      </c>
      <c r="J646" s="29">
        <f>IFERROR(__xludf.DUMMYFUNCTION("GOOGLETRANSLATE(I646,""zh_HANT"",""zh_HANS"")"),"土地云")</f>
        <v/>
      </c>
      <c r="K646" s="29">
        <f>F646</f>
        <v/>
      </c>
    </row>
    <row r="647">
      <c r="A647" s="29">
        <f>CONCATENATE("NAME_PkMn_", UPPER(B647))</f>
        <v/>
      </c>
      <c r="B647" s="29" t="inlineStr">
        <is>
          <t>Kyurem</t>
        </is>
      </c>
      <c r="C647" s="29" t="inlineStr">
        <is>
          <t>キュレム</t>
        </is>
      </c>
      <c r="D647" s="29">
        <f>B647</f>
        <v/>
      </c>
      <c r="E647" s="29">
        <f>B647</f>
        <v/>
      </c>
      <c r="F647" s="29">
        <f>B647</f>
        <v/>
      </c>
      <c r="G647" s="29">
        <f>B647</f>
        <v/>
      </c>
      <c r="H647" s="29" t="inlineStr">
        <is>
          <t>큐레무</t>
        </is>
      </c>
      <c r="I647" s="29" t="inlineStr">
        <is>
          <t>酋雷姆</t>
        </is>
      </c>
      <c r="J647" s="29">
        <f>I647</f>
        <v/>
      </c>
      <c r="K647" s="29">
        <f>F647</f>
        <v/>
      </c>
    </row>
    <row r="648">
      <c r="A648" s="29">
        <f>CONCATENATE("NAME_PkMn_", UPPER(B648))</f>
        <v/>
      </c>
      <c r="B648" s="29" t="inlineStr">
        <is>
          <t>Keldeo</t>
        </is>
      </c>
      <c r="C648" s="29" t="inlineStr">
        <is>
          <t>ケルヂィオ</t>
        </is>
      </c>
      <c r="D648" s="29">
        <f>B648</f>
        <v/>
      </c>
      <c r="E648" s="29">
        <f>B648</f>
        <v/>
      </c>
      <c r="F648" s="29">
        <f>B648</f>
        <v/>
      </c>
      <c r="G648" s="29">
        <f>B648</f>
        <v/>
      </c>
      <c r="H648" s="29" t="inlineStr">
        <is>
          <t>케르디오</t>
        </is>
      </c>
      <c r="I648" s="29" t="inlineStr">
        <is>
          <t>凱路迪歐</t>
        </is>
      </c>
      <c r="J648" s="29">
        <f>IFERROR(__xludf.DUMMYFUNCTION("GOOGLETRANSLATE(I648,""zh_HANT"",""zh_HANS"")"),"凯路迪欧")</f>
        <v/>
      </c>
      <c r="K648" s="29">
        <f>F648</f>
        <v/>
      </c>
    </row>
    <row r="649">
      <c r="A649" s="29">
        <f>CONCATENATE("NAME_PkMn_", UPPER(B649))</f>
        <v/>
      </c>
      <c r="B649" s="29" t="inlineStr">
        <is>
          <t>Meloetta</t>
        </is>
      </c>
      <c r="C649" s="29" t="inlineStr">
        <is>
          <t>メロエッタ</t>
        </is>
      </c>
      <c r="D649" s="29">
        <f>B649</f>
        <v/>
      </c>
      <c r="E649" s="29">
        <f>B649</f>
        <v/>
      </c>
      <c r="F649" s="29">
        <f>B649</f>
        <v/>
      </c>
      <c r="G649" s="29">
        <f>B649</f>
        <v/>
      </c>
      <c r="H649" s="29" t="inlineStr">
        <is>
          <t>메로엣타</t>
        </is>
      </c>
      <c r="I649" s="29">
        <f>J649</f>
        <v/>
      </c>
      <c r="J649" s="29" t="inlineStr">
        <is>
          <t>美洛耶塔</t>
        </is>
      </c>
      <c r="K649" s="29">
        <f>F649</f>
        <v/>
      </c>
    </row>
    <row r="650">
      <c r="A650" s="29">
        <f>CONCATENATE("NAME_PkMn_", UPPER(B650))</f>
        <v/>
      </c>
      <c r="B650" s="29" t="inlineStr">
        <is>
          <t>Genesect</t>
        </is>
      </c>
      <c r="C650" s="29" t="inlineStr">
        <is>
          <t>ゲノセクト</t>
        </is>
      </c>
      <c r="D650" s="29">
        <f>B650</f>
        <v/>
      </c>
      <c r="E650" s="29">
        <f>B650</f>
        <v/>
      </c>
      <c r="F650" s="29">
        <f>B650</f>
        <v/>
      </c>
      <c r="G650" s="29">
        <f>B650</f>
        <v/>
      </c>
      <c r="H650" s="29" t="inlineStr">
        <is>
          <t>게노세크트</t>
        </is>
      </c>
      <c r="I650" s="29" t="inlineStr">
        <is>
          <t>蓋諾賽克特</t>
        </is>
      </c>
      <c r="J650" s="29">
        <f>IFERROR(__xludf.DUMMYFUNCTION("GOOGLETRANSLATE(I650,""zh_HANT"",""zh_HANS"")"),"盖诺赛克特")</f>
        <v/>
      </c>
      <c r="K650" s="29">
        <f>F650</f>
        <v/>
      </c>
    </row>
    <row r="651">
      <c r="A651" s="29">
        <f>CONCATENATE("NAME_PkMn_", UPPER(B651))</f>
        <v/>
      </c>
      <c r="B651" s="29" t="inlineStr">
        <is>
          <t>Chespin</t>
        </is>
      </c>
      <c r="C651" s="29" t="inlineStr">
        <is>
          <t>ハリマロン</t>
        </is>
      </c>
      <c r="D651" s="29" t="inlineStr">
        <is>
          <t>Marisson</t>
        </is>
      </c>
      <c r="E651" s="29" t="inlineStr">
        <is>
          <t>Igamaro</t>
        </is>
      </c>
      <c r="F651" s="29">
        <f>B651</f>
        <v/>
      </c>
      <c r="G651" s="29">
        <f>B651</f>
        <v/>
      </c>
      <c r="H651" s="29" t="inlineStr">
        <is>
          <t>도치마론</t>
        </is>
      </c>
      <c r="I651" s="29" t="inlineStr">
        <is>
          <t>哈力栗</t>
        </is>
      </c>
      <c r="J651" s="29">
        <f>I651</f>
        <v/>
      </c>
      <c r="K651" s="29">
        <f>F651</f>
        <v/>
      </c>
    </row>
    <row r="652">
      <c r="A652" s="29">
        <f>CONCATENATE("NAME_PkMn_", UPPER(B652))</f>
        <v/>
      </c>
      <c r="B652" s="29" t="inlineStr">
        <is>
          <t>Quilladin</t>
        </is>
      </c>
      <c r="C652" s="29" t="inlineStr">
        <is>
          <t>ハリボーグ</t>
        </is>
      </c>
      <c r="D652" s="29" t="inlineStr">
        <is>
          <t>Boguérisse</t>
        </is>
      </c>
      <c r="E652" s="29" t="inlineStr">
        <is>
          <t>Igastarnish</t>
        </is>
      </c>
      <c r="F652" s="29">
        <f>B652</f>
        <v/>
      </c>
      <c r="G652" s="29">
        <f>B652</f>
        <v/>
      </c>
      <c r="H652" s="29" t="inlineStr">
        <is>
          <t>도치보구</t>
        </is>
      </c>
      <c r="I652" s="29" t="inlineStr">
        <is>
          <t>胖胖哈力</t>
        </is>
      </c>
      <c r="J652" s="29">
        <f>I652</f>
        <v/>
      </c>
      <c r="K652" s="29">
        <f>F652</f>
        <v/>
      </c>
    </row>
    <row r="653">
      <c r="A653" s="29">
        <f>CONCATENATE("NAME_PkMn_", UPPER(B653))</f>
        <v/>
      </c>
      <c r="B653" s="29" t="inlineStr">
        <is>
          <t>Chesnaught</t>
        </is>
      </c>
      <c r="C653" s="29" t="inlineStr">
        <is>
          <t>ブリガロン</t>
        </is>
      </c>
      <c r="D653" s="29" t="inlineStr">
        <is>
          <t>Blindépique</t>
        </is>
      </c>
      <c r="E653" s="29" t="inlineStr">
        <is>
          <t>Brigaron</t>
        </is>
      </c>
      <c r="F653" s="29">
        <f>B653</f>
        <v/>
      </c>
      <c r="G653" s="29">
        <f>B653</f>
        <v/>
      </c>
      <c r="H653" s="29" t="inlineStr">
        <is>
          <t>브리가론</t>
        </is>
      </c>
      <c r="I653" s="29" t="inlineStr">
        <is>
          <t>布里卡隆</t>
        </is>
      </c>
      <c r="J653" s="29">
        <f>I653</f>
        <v/>
      </c>
      <c r="K653" s="29">
        <f>F653</f>
        <v/>
      </c>
    </row>
    <row r="654">
      <c r="A654" s="29">
        <f>CONCATENATE("NAME_PkMn_", UPPER(B654))</f>
        <v/>
      </c>
      <c r="B654" s="29" t="inlineStr">
        <is>
          <t>Fennekin</t>
        </is>
      </c>
      <c r="C654" s="29" t="inlineStr">
        <is>
          <t>フォッコ</t>
        </is>
      </c>
      <c r="D654" s="29" t="inlineStr">
        <is>
          <t>Feunnec</t>
        </is>
      </c>
      <c r="E654" s="29" t="inlineStr">
        <is>
          <t>Fynx</t>
        </is>
      </c>
      <c r="F654" s="29">
        <f>B654</f>
        <v/>
      </c>
      <c r="G654" s="29">
        <f>B654</f>
        <v/>
      </c>
      <c r="H654" s="29" t="inlineStr">
        <is>
          <t>푸호꼬</t>
        </is>
      </c>
      <c r="I654" s="29" t="inlineStr">
        <is>
          <t>火狐狸</t>
        </is>
      </c>
      <c r="J654" s="29">
        <f>I654</f>
        <v/>
      </c>
      <c r="K654" s="29">
        <f>F654</f>
        <v/>
      </c>
    </row>
    <row r="655">
      <c r="A655" s="29">
        <f>CONCATENATE("NAME_PkMn_", UPPER(B655))</f>
        <v/>
      </c>
      <c r="B655" s="29" t="inlineStr">
        <is>
          <t>Braixen</t>
        </is>
      </c>
      <c r="C655" s="29" t="inlineStr">
        <is>
          <t>テールナー</t>
        </is>
      </c>
      <c r="D655" s="29" t="inlineStr">
        <is>
          <t>Roussil</t>
        </is>
      </c>
      <c r="E655" s="29" t="inlineStr">
        <is>
          <t>Rutena</t>
        </is>
      </c>
      <c r="F655" s="29">
        <f>B655</f>
        <v/>
      </c>
      <c r="G655" s="29">
        <f>B655</f>
        <v/>
      </c>
      <c r="H655" s="29" t="inlineStr">
        <is>
          <t>테르나</t>
        </is>
      </c>
      <c r="I655" s="29" t="inlineStr">
        <is>
          <t>長尾火狐</t>
        </is>
      </c>
      <c r="J655" s="29">
        <f>IFERROR(__xludf.DUMMYFUNCTION("GOOGLETRANSLATE(I655,""zh_HANT"",""zh_HANS"")"),"长尾火狐")</f>
        <v/>
      </c>
      <c r="K655" s="29">
        <f>F655</f>
        <v/>
      </c>
    </row>
    <row r="656">
      <c r="A656" s="29">
        <f>CONCATENATE("NAME_PkMn_", UPPER(B656))</f>
        <v/>
      </c>
      <c r="B656" s="29" t="inlineStr">
        <is>
          <t>Delphox</t>
        </is>
      </c>
      <c r="C656" s="29" t="inlineStr">
        <is>
          <t>マフォクシー</t>
        </is>
      </c>
      <c r="D656" s="29" t="inlineStr">
        <is>
          <t>Goupelin</t>
        </is>
      </c>
      <c r="E656" s="29" t="inlineStr">
        <is>
          <t>Fennexis</t>
        </is>
      </c>
      <c r="F656" s="29">
        <f>B656</f>
        <v/>
      </c>
      <c r="G656" s="29">
        <f>B656</f>
        <v/>
      </c>
      <c r="H656" s="29" t="inlineStr">
        <is>
          <t>마폭시</t>
        </is>
      </c>
      <c r="I656" s="29" t="inlineStr">
        <is>
          <t>妖火紅狐</t>
        </is>
      </c>
      <c r="J656" s="29">
        <f>IFERROR(__xludf.DUMMYFUNCTION("GOOGLETRANSLATE(I656,""zh_HANT"",""zh_HANS"")"),"妖火红狐")</f>
        <v/>
      </c>
      <c r="K656" s="29">
        <f>F656</f>
        <v/>
      </c>
    </row>
    <row r="657">
      <c r="A657" s="29">
        <f>CONCATENATE("NAME_PkMn_", UPPER(B657))</f>
        <v/>
      </c>
      <c r="B657" s="29" t="inlineStr">
        <is>
          <t>Froakie</t>
        </is>
      </c>
      <c r="C657" s="29" t="inlineStr">
        <is>
          <t>ケロマツ</t>
        </is>
      </c>
      <c r="D657" s="29" t="inlineStr">
        <is>
          <t>Grenousse</t>
        </is>
      </c>
      <c r="E657" s="29" t="inlineStr">
        <is>
          <t>Froxy</t>
        </is>
      </c>
      <c r="F657" s="29">
        <f>B657</f>
        <v/>
      </c>
      <c r="G657" s="29">
        <f>B657</f>
        <v/>
      </c>
      <c r="H657" s="29" t="inlineStr">
        <is>
          <t>개구마르</t>
        </is>
      </c>
      <c r="I657" s="29" t="inlineStr">
        <is>
          <t>呱呱泡蛙</t>
        </is>
      </c>
      <c r="J657" s="29">
        <f>I657</f>
        <v/>
      </c>
      <c r="K657" s="29">
        <f>F657</f>
        <v/>
      </c>
    </row>
    <row r="658">
      <c r="A658" s="29">
        <f>CONCATENATE("NAME_PkMn_", UPPER(B658))</f>
        <v/>
      </c>
      <c r="B658" s="29" t="inlineStr">
        <is>
          <t>Frogadier</t>
        </is>
      </c>
      <c r="C658" s="29" t="inlineStr">
        <is>
          <t>ゲコガシラ</t>
        </is>
      </c>
      <c r="D658" s="29" t="inlineStr">
        <is>
          <t>Crôaporal</t>
        </is>
      </c>
      <c r="E658" s="29" t="inlineStr">
        <is>
          <t>Amphizel</t>
        </is>
      </c>
      <c r="F658" s="29">
        <f>B658</f>
        <v/>
      </c>
      <c r="G658" s="29">
        <f>B658</f>
        <v/>
      </c>
      <c r="H658" s="29" t="inlineStr">
        <is>
          <t>개굴반장</t>
        </is>
      </c>
      <c r="I658" s="29" t="inlineStr">
        <is>
          <t>呱頭蛙</t>
        </is>
      </c>
      <c r="J658" s="29">
        <f>IFERROR(__xludf.DUMMYFUNCTION("GOOGLETRANSLATE(I658,""zh_HANT"",""zh_HANS"")"),"呱头蛙")</f>
        <v/>
      </c>
      <c r="K658" s="29">
        <f>F658</f>
        <v/>
      </c>
    </row>
    <row r="659">
      <c r="A659" s="29">
        <f>CONCATENATE("NAME_PkMn_", UPPER(B659))</f>
        <v/>
      </c>
      <c r="B659" s="29" t="inlineStr">
        <is>
          <t>Greninja</t>
        </is>
      </c>
      <c r="C659" s="9" t="inlineStr">
        <is>
          <t>ゲッコウガ</t>
        </is>
      </c>
      <c r="D659" s="29" t="inlineStr">
        <is>
          <t>Amphinobi</t>
        </is>
      </c>
      <c r="E659" s="29" t="inlineStr">
        <is>
          <t>Quajutsu</t>
        </is>
      </c>
      <c r="F659" s="29">
        <f>B659</f>
        <v/>
      </c>
      <c r="G659" s="29">
        <f>B659</f>
        <v/>
      </c>
      <c r="H659" s="29" t="inlineStr">
        <is>
          <t>개굴닌자</t>
        </is>
      </c>
      <c r="I659" s="29" t="inlineStr">
        <is>
          <t>甲賀忍蛙</t>
        </is>
      </c>
      <c r="J659" s="29">
        <f>IFERROR(__xludf.DUMMYFUNCTION("GOOGLETRANSLATE(I659,""zh_HANT"",""zh_HANS"")"),"甲贺忍蛙")</f>
        <v/>
      </c>
      <c r="K659" s="29">
        <f>F659</f>
        <v/>
      </c>
    </row>
    <row r="660">
      <c r="A660" s="29">
        <f>CONCATENATE("NAME_PkMn_", UPPER(B660))</f>
        <v/>
      </c>
      <c r="B660" s="29" t="inlineStr">
        <is>
          <t>Bunnelby</t>
        </is>
      </c>
      <c r="C660" s="29" t="inlineStr">
        <is>
          <t>ホルビー</t>
        </is>
      </c>
      <c r="D660" s="29" t="inlineStr">
        <is>
          <t>Sapereau</t>
        </is>
      </c>
      <c r="E660" s="29" t="inlineStr">
        <is>
          <t>Scoppel</t>
        </is>
      </c>
      <c r="F660" s="29">
        <f>B660</f>
        <v/>
      </c>
      <c r="G660" s="29">
        <f>B660</f>
        <v/>
      </c>
      <c r="H660" s="29" t="inlineStr">
        <is>
          <t>파르빗</t>
        </is>
      </c>
      <c r="I660" s="29" t="inlineStr">
        <is>
          <t>掘掘兔</t>
        </is>
      </c>
      <c r="J660" s="29">
        <f>I660</f>
        <v/>
      </c>
      <c r="K660" s="29">
        <f>F660</f>
        <v/>
      </c>
    </row>
    <row r="661">
      <c r="A661" s="29">
        <f>CONCATENATE("NAME_PkMn_", UPPER(B661))</f>
        <v/>
      </c>
      <c r="B661" s="29" t="inlineStr">
        <is>
          <t>Diggersby</t>
        </is>
      </c>
      <c r="C661" s="29" t="inlineStr">
        <is>
          <t>ホルード</t>
        </is>
      </c>
      <c r="D661" s="29" t="inlineStr">
        <is>
          <t>Excavarenne</t>
        </is>
      </c>
      <c r="E661" s="29" t="inlineStr">
        <is>
          <t>Grebbit</t>
        </is>
      </c>
      <c r="F661" s="29">
        <f>B661</f>
        <v/>
      </c>
      <c r="G661" s="29">
        <f>B661</f>
        <v/>
      </c>
      <c r="H661" s="29" t="inlineStr">
        <is>
          <t>파르토</t>
        </is>
      </c>
      <c r="I661" s="29" t="inlineStr">
        <is>
          <t>掘地兔</t>
        </is>
      </c>
      <c r="J661" s="29">
        <f>I661</f>
        <v/>
      </c>
      <c r="K661" s="29">
        <f>F661</f>
        <v/>
      </c>
    </row>
    <row r="662">
      <c r="A662" s="29">
        <f>CONCATENATE("NAME_PkMn_", UPPER(B662))</f>
        <v/>
      </c>
      <c r="B662" s="29" t="inlineStr">
        <is>
          <t>Fletchling</t>
        </is>
      </c>
      <c r="C662" s="29" t="inlineStr">
        <is>
          <t>ヤヤコマ</t>
        </is>
      </c>
      <c r="D662" s="29" t="inlineStr">
        <is>
          <t>Passerouge</t>
        </is>
      </c>
      <c r="E662" s="29" t="inlineStr">
        <is>
          <t>Dartiri</t>
        </is>
      </c>
      <c r="F662" s="29">
        <f>B662</f>
        <v/>
      </c>
      <c r="G662" s="29">
        <f>B662</f>
        <v/>
      </c>
      <c r="H662" s="29" t="inlineStr">
        <is>
          <t>화살꼬빈</t>
        </is>
      </c>
      <c r="I662" s="29" t="inlineStr">
        <is>
          <t>小箭雀</t>
        </is>
      </c>
      <c r="J662" s="29">
        <f>I662</f>
        <v/>
      </c>
      <c r="K662" s="29">
        <f>F662</f>
        <v/>
      </c>
    </row>
    <row r="663">
      <c r="A663" s="29">
        <f>CONCATENATE("NAME_PkMn_", UPPER(B663))</f>
        <v/>
      </c>
      <c r="B663" s="29" t="inlineStr">
        <is>
          <t>Fletchinder</t>
        </is>
      </c>
      <c r="C663" s="29" t="inlineStr">
        <is>
          <t>ヒノヤコマ</t>
        </is>
      </c>
      <c r="D663" s="29" t="inlineStr">
        <is>
          <t>Braisillon</t>
        </is>
      </c>
      <c r="E663" s="29" t="inlineStr">
        <is>
          <t>Dartignis</t>
        </is>
      </c>
      <c r="F663" s="29">
        <f>B663</f>
        <v/>
      </c>
      <c r="G663" s="29">
        <f>B663</f>
        <v/>
      </c>
      <c r="H663" s="29" t="inlineStr">
        <is>
          <t>불화살빈</t>
        </is>
      </c>
      <c r="I663" s="29" t="inlineStr">
        <is>
          <t>火箭雀</t>
        </is>
      </c>
      <c r="J663" s="29">
        <f>I663</f>
        <v/>
      </c>
      <c r="K663" s="29">
        <f>F663</f>
        <v/>
      </c>
    </row>
    <row r="664">
      <c r="A664" s="29">
        <f>CONCATENATE("NAME_PkMn_", UPPER(B664))</f>
        <v/>
      </c>
      <c r="B664" s="29" t="inlineStr">
        <is>
          <t>Talonflame</t>
        </is>
      </c>
      <c r="C664" s="29" t="inlineStr">
        <is>
          <t>ファイアロー</t>
        </is>
      </c>
      <c r="D664" s="29" t="inlineStr">
        <is>
          <t>Flambuzard</t>
        </is>
      </c>
      <c r="E664" s="29" t="inlineStr">
        <is>
          <t>Fiaro</t>
        </is>
      </c>
      <c r="F664" s="29">
        <f>B664</f>
        <v/>
      </c>
      <c r="G664" s="29">
        <f>B664</f>
        <v/>
      </c>
      <c r="H664" s="29" t="inlineStr">
        <is>
          <t>파이어로</t>
        </is>
      </c>
      <c r="I664" s="29" t="inlineStr">
        <is>
          <t>烈箭鷹</t>
        </is>
      </c>
      <c r="J664" s="29">
        <f>IFERROR(__xludf.DUMMYFUNCTION("GOOGLETRANSLATE(I664,""zh_HANT"",""zh_HANS"")"),"烈箭鹰")</f>
        <v/>
      </c>
      <c r="K664" s="29">
        <f>F664</f>
        <v/>
      </c>
    </row>
    <row r="665">
      <c r="A665" s="29">
        <f>CONCATENATE("NAME_PkMn_", UPPER(B665))</f>
        <v/>
      </c>
      <c r="B665" s="29" t="inlineStr">
        <is>
          <t>Scatterbug</t>
        </is>
      </c>
      <c r="C665" s="29" t="inlineStr">
        <is>
          <t>コフキムシ</t>
        </is>
      </c>
      <c r="D665" s="29" t="inlineStr">
        <is>
          <t>Lépidonille</t>
        </is>
      </c>
      <c r="E665" s="29" t="inlineStr">
        <is>
          <t>Purmel</t>
        </is>
      </c>
      <c r="F665" s="29">
        <f>B665</f>
        <v/>
      </c>
      <c r="G665" s="29">
        <f>B665</f>
        <v/>
      </c>
      <c r="H665" s="29" t="inlineStr">
        <is>
          <t>분이벌레</t>
        </is>
      </c>
      <c r="I665" s="29" t="inlineStr">
        <is>
          <t>粉蝶蟲</t>
        </is>
      </c>
      <c r="J665" s="29">
        <f>IFERROR(__xludf.DUMMYFUNCTION("GOOGLETRANSLATE(I665,""zh_HANT"",""zh_HANS"")"),"粉蝶虫")</f>
        <v/>
      </c>
      <c r="K665" s="29">
        <f>F665</f>
        <v/>
      </c>
    </row>
    <row r="666">
      <c r="A666" s="29">
        <f>CONCATENATE("NAME_PkMn_", UPPER(B666))</f>
        <v/>
      </c>
      <c r="B666" s="29" t="inlineStr">
        <is>
          <t>Spewpa</t>
        </is>
      </c>
      <c r="C666" s="29" t="inlineStr">
        <is>
          <t>コフーライ</t>
        </is>
      </c>
      <c r="D666" s="29" t="inlineStr">
        <is>
          <t>Pérégrain</t>
        </is>
      </c>
      <c r="E666" s="29" t="inlineStr">
        <is>
          <t>Puponcho</t>
        </is>
      </c>
      <c r="F666" s="29">
        <f>B666</f>
        <v/>
      </c>
      <c r="G666" s="29">
        <f>B666</f>
        <v/>
      </c>
      <c r="H666" s="29" t="inlineStr">
        <is>
          <t>분떠도리</t>
        </is>
      </c>
      <c r="I666" s="29" t="inlineStr">
        <is>
          <t>粉蝶蛹</t>
        </is>
      </c>
      <c r="J666" s="29">
        <f>I666</f>
        <v/>
      </c>
      <c r="K666" s="29">
        <f>F666</f>
        <v/>
      </c>
    </row>
    <row r="667">
      <c r="A667" s="29">
        <f>CONCATENATE("NAME_PkMn_", UPPER(B667))</f>
        <v/>
      </c>
      <c r="B667" s="29" t="inlineStr">
        <is>
          <t>Vivillon</t>
        </is>
      </c>
      <c r="C667" s="29" t="inlineStr">
        <is>
          <t>ビビヨン</t>
        </is>
      </c>
      <c r="D667" s="29" t="inlineStr">
        <is>
          <t>Prismillon</t>
        </is>
      </c>
      <c r="E667" s="29">
        <f>B667</f>
        <v/>
      </c>
      <c r="F667" s="29">
        <f>B667</f>
        <v/>
      </c>
      <c r="G667" s="29">
        <f>B667</f>
        <v/>
      </c>
      <c r="H667" s="29" t="inlineStr">
        <is>
          <t>비비용</t>
        </is>
      </c>
      <c r="I667" s="29" t="inlineStr">
        <is>
          <t>彩粉蝶</t>
        </is>
      </c>
      <c r="J667" s="29">
        <f>I667</f>
        <v/>
      </c>
      <c r="K667" s="29">
        <f>F667</f>
        <v/>
      </c>
    </row>
    <row r="668">
      <c r="A668" s="29">
        <f>CONCATENATE("NAME_PkMn_", UPPER(B668))</f>
        <v/>
      </c>
      <c r="B668" s="29" t="inlineStr">
        <is>
          <t>Litleo</t>
        </is>
      </c>
      <c r="C668" s="29" t="inlineStr">
        <is>
          <t>シシコ</t>
        </is>
      </c>
      <c r="D668" s="29" t="inlineStr">
        <is>
          <t>Hélionceau</t>
        </is>
      </c>
      <c r="E668" s="29" t="inlineStr">
        <is>
          <t>Leufeo</t>
        </is>
      </c>
      <c r="F668" s="29">
        <f>B668</f>
        <v/>
      </c>
      <c r="G668" s="29">
        <f>B668</f>
        <v/>
      </c>
      <c r="H668" s="29" t="inlineStr">
        <is>
          <t>레오꼬</t>
        </is>
      </c>
      <c r="I668" s="29" t="inlineStr">
        <is>
          <t>小獅獅</t>
        </is>
      </c>
      <c r="J668" s="29">
        <f>IFERROR(__xludf.DUMMYFUNCTION("GOOGLETRANSLATE(I668,""zh_HANT"",""zh_HANS"")"),"小狮狮")</f>
        <v/>
      </c>
      <c r="K668" s="29">
        <f>F668</f>
        <v/>
      </c>
    </row>
    <row r="669">
      <c r="A669" s="29">
        <f>CONCATENATE("NAME_PkMn_", UPPER(B669))</f>
        <v/>
      </c>
      <c r="B669" s="29" t="inlineStr">
        <is>
          <t>Pyroar</t>
        </is>
      </c>
      <c r="C669" s="29" t="inlineStr">
        <is>
          <t>カエンジシ</t>
        </is>
      </c>
      <c r="D669" s="29" t="inlineStr">
        <is>
          <t>Némélios</t>
        </is>
      </c>
      <c r="E669" s="29" t="inlineStr">
        <is>
          <t>Pyroleo</t>
        </is>
      </c>
      <c r="F669" s="29">
        <f>B669</f>
        <v/>
      </c>
      <c r="G669" s="29">
        <f>B669</f>
        <v/>
      </c>
      <c r="H669" s="29" t="inlineStr">
        <is>
          <t>화염레오</t>
        </is>
      </c>
      <c r="I669" s="29" t="inlineStr">
        <is>
          <t>火炎獅</t>
        </is>
      </c>
      <c r="J669" s="29">
        <f>IFERROR(__xludf.DUMMYFUNCTION("GOOGLETRANSLATE(I669,""zh_HANT"",""zh_HANS"")"),"火炎狮")</f>
        <v/>
      </c>
      <c r="K669" s="29">
        <f>F669</f>
        <v/>
      </c>
    </row>
    <row r="670">
      <c r="A670" s="29" t="inlineStr">
        <is>
          <t>NAME_PkMn_FLABEBE</t>
        </is>
      </c>
      <c r="B670" s="29" t="inlineStr">
        <is>
          <t>Flabébé</t>
        </is>
      </c>
      <c r="C670" s="29" t="inlineStr">
        <is>
          <t>フラベベ</t>
        </is>
      </c>
      <c r="D670" s="29">
        <f>B670</f>
        <v/>
      </c>
      <c r="E670" s="29" t="inlineStr">
        <is>
          <t>Flabébé</t>
        </is>
      </c>
      <c r="F670" s="29">
        <f>B670</f>
        <v/>
      </c>
      <c r="G670" s="29">
        <f>B670</f>
        <v/>
      </c>
      <c r="H670" s="29" t="inlineStr">
        <is>
          <t>플라베베</t>
        </is>
      </c>
      <c r="I670" s="29" t="inlineStr">
        <is>
          <t>花蓓蓓</t>
        </is>
      </c>
      <c r="J670" s="29">
        <f>I670</f>
        <v/>
      </c>
      <c r="K670" s="29">
        <f>F670</f>
        <v/>
      </c>
    </row>
    <row r="671">
      <c r="A671" s="29">
        <f>CONCATENATE("NAME_PkMn_", UPPER(B671))</f>
        <v/>
      </c>
      <c r="B671" s="29" t="inlineStr">
        <is>
          <t>Floette</t>
        </is>
      </c>
      <c r="C671" s="29" t="inlineStr">
        <is>
          <t>フラエッテ</t>
        </is>
      </c>
      <c r="D671" s="29">
        <f>B671</f>
        <v/>
      </c>
      <c r="E671" s="29">
        <f>B671</f>
        <v/>
      </c>
      <c r="F671" s="29">
        <f>B671</f>
        <v/>
      </c>
      <c r="G671" s="29">
        <f>B671</f>
        <v/>
      </c>
      <c r="H671" s="29" t="inlineStr">
        <is>
          <t>플라엣테</t>
        </is>
      </c>
      <c r="I671" s="29" t="inlineStr">
        <is>
          <t>花葉蒂</t>
        </is>
      </c>
      <c r="J671" s="29">
        <f>IFERROR(__xludf.DUMMYFUNCTION("GOOGLETRANSLATE(I671,""zh_HANT"",""zh_HANS"")"),"花叶蒂")</f>
        <v/>
      </c>
      <c r="K671" s="29">
        <f>F671</f>
        <v/>
      </c>
    </row>
    <row r="672">
      <c r="A672" s="29">
        <f>CONCATENATE("NAME_PkMn_", UPPER(B672))</f>
        <v/>
      </c>
      <c r="B672" s="29" t="inlineStr">
        <is>
          <t>Florges</t>
        </is>
      </c>
      <c r="C672" s="29" t="inlineStr">
        <is>
          <t>フラージェス</t>
        </is>
      </c>
      <c r="D672" s="29">
        <f>B672</f>
        <v/>
      </c>
      <c r="E672" s="29">
        <f>B672</f>
        <v/>
      </c>
      <c r="F672" s="29">
        <f>B672</f>
        <v/>
      </c>
      <c r="G672" s="29">
        <f>B672</f>
        <v/>
      </c>
      <c r="H672" s="29" t="inlineStr">
        <is>
          <t>플라제스</t>
        </is>
      </c>
      <c r="I672" s="29" t="inlineStr">
        <is>
          <t>花潔夫人</t>
        </is>
      </c>
      <c r="J672" s="29">
        <f>IFERROR(__xludf.DUMMYFUNCTION("GOOGLETRANSLATE(I672,""zh_HANT"",""zh_HANS"")"),"花洁夫人")</f>
        <v/>
      </c>
      <c r="K672" s="29">
        <f>F672</f>
        <v/>
      </c>
    </row>
    <row r="673">
      <c r="A673" s="29">
        <f>CONCATENATE("NAME_PkMn_", UPPER(B673))</f>
        <v/>
      </c>
      <c r="B673" s="29" t="inlineStr">
        <is>
          <t>Skiddo</t>
        </is>
      </c>
      <c r="C673" s="29" t="inlineStr">
        <is>
          <t>メェークル</t>
        </is>
      </c>
      <c r="D673" s="29" t="inlineStr">
        <is>
          <t>Cabriolaine</t>
        </is>
      </c>
      <c r="E673" s="29" t="inlineStr">
        <is>
          <t>Mähikel</t>
        </is>
      </c>
      <c r="F673" s="29">
        <f>B673</f>
        <v/>
      </c>
      <c r="G673" s="29">
        <f>B673</f>
        <v/>
      </c>
      <c r="H673" s="29" t="inlineStr">
        <is>
          <t>메이클</t>
        </is>
      </c>
      <c r="I673" s="29" t="inlineStr">
        <is>
          <t>坐騎小羊</t>
        </is>
      </c>
      <c r="J673" s="29">
        <f>IFERROR(__xludf.DUMMYFUNCTION("GOOGLETRANSLATE(I673,""zh_HANT"",""zh_HANS"")"),"坐骑小羊")</f>
        <v/>
      </c>
      <c r="K673" s="29">
        <f>F673</f>
        <v/>
      </c>
    </row>
    <row r="674">
      <c r="A674" s="29">
        <f>CONCATENATE("NAME_PkMn_", UPPER(B674))</f>
        <v/>
      </c>
      <c r="B674" s="29" t="inlineStr">
        <is>
          <t>Gogoat</t>
        </is>
      </c>
      <c r="C674" s="29" t="inlineStr">
        <is>
          <t>ゴーゴート</t>
        </is>
      </c>
      <c r="D674" s="29" t="inlineStr">
        <is>
          <t>Chevroum</t>
        </is>
      </c>
      <c r="E674" s="29" t="inlineStr">
        <is>
          <t>Chevrumm</t>
        </is>
      </c>
      <c r="F674" s="29">
        <f>B674</f>
        <v/>
      </c>
      <c r="G674" s="29">
        <f>B674</f>
        <v/>
      </c>
      <c r="H674" s="29" t="inlineStr">
        <is>
          <t>고고트</t>
        </is>
      </c>
      <c r="I674" s="29" t="inlineStr">
        <is>
          <t>坐騎小羊</t>
        </is>
      </c>
      <c r="J674" s="29">
        <f>IFERROR(__xludf.DUMMYFUNCTION("GOOGLETRANSLATE(I674,""zh_HANT"",""zh_HANS"")"),"坐骑小羊")</f>
        <v/>
      </c>
      <c r="K674" s="29">
        <f>F674</f>
        <v/>
      </c>
    </row>
    <row r="675">
      <c r="A675" s="29">
        <f>CONCATENATE("NAME_PkMn_", UPPER(B675))</f>
        <v/>
      </c>
      <c r="B675" s="29" t="inlineStr">
        <is>
          <t>Pancham</t>
        </is>
      </c>
      <c r="C675" s="29" t="inlineStr">
        <is>
          <t>ヤンチャム</t>
        </is>
      </c>
      <c r="D675" s="29" t="inlineStr">
        <is>
          <t>Pandespiègle</t>
        </is>
      </c>
      <c r="E675" s="29" t="inlineStr">
        <is>
          <t>Pam-Pam</t>
        </is>
      </c>
      <c r="F675" s="29">
        <f>B675</f>
        <v/>
      </c>
      <c r="G675" s="29">
        <f>B675</f>
        <v/>
      </c>
      <c r="H675" s="29" t="inlineStr">
        <is>
          <t>판짱</t>
        </is>
      </c>
      <c r="I675" s="29" t="inlineStr">
        <is>
          <t>頑皮熊貓</t>
        </is>
      </c>
      <c r="J675" s="29">
        <f>IFERROR(__xludf.DUMMYFUNCTION("GOOGLETRANSLATE(I675,""zh_HANT"",""zh_HANS"")"),"顽皮熊猫")</f>
        <v/>
      </c>
      <c r="K675" s="29">
        <f>F675</f>
        <v/>
      </c>
    </row>
    <row r="676">
      <c r="A676" s="29">
        <f>CONCATENATE("NAME_PkMn_", UPPER(B676))</f>
        <v/>
      </c>
      <c r="B676" s="29" t="inlineStr">
        <is>
          <t>Pangoro</t>
        </is>
      </c>
      <c r="C676" s="29" t="inlineStr">
        <is>
          <t>ゴロンダ</t>
        </is>
      </c>
      <c r="D676" s="29" t="inlineStr">
        <is>
          <t>Pandarbare</t>
        </is>
      </c>
      <c r="E676" s="29" t="inlineStr">
        <is>
          <t>Pandagro</t>
        </is>
      </c>
      <c r="F676" s="29">
        <f>B676</f>
        <v/>
      </c>
      <c r="G676" s="29">
        <f>B676</f>
        <v/>
      </c>
      <c r="H676" s="29" t="inlineStr">
        <is>
          <t>부란다</t>
        </is>
      </c>
      <c r="I676" s="29" t="inlineStr">
        <is>
          <t>流氓熊貓</t>
        </is>
      </c>
      <c r="J676" s="29" t="inlineStr">
        <is>
          <t>霸道熊猫</t>
        </is>
      </c>
      <c r="K676" s="29">
        <f>F676</f>
        <v/>
      </c>
    </row>
    <row r="677">
      <c r="A677" s="29">
        <f>CONCATENATE("NAME_PkMn_", UPPER(B677))</f>
        <v/>
      </c>
      <c r="B677" s="29" t="inlineStr">
        <is>
          <t>Furfrou</t>
        </is>
      </c>
      <c r="C677" s="29" t="inlineStr">
        <is>
          <t>トリミアン</t>
        </is>
      </c>
      <c r="D677" s="29" t="inlineStr">
        <is>
          <t>Couafarel</t>
        </is>
      </c>
      <c r="E677" s="29" t="inlineStr">
        <is>
          <t>Coiffwaff</t>
        </is>
      </c>
      <c r="F677" s="29">
        <f>B677</f>
        <v/>
      </c>
      <c r="G677" s="29">
        <f>B677</f>
        <v/>
      </c>
      <c r="H677" s="29" t="inlineStr">
        <is>
          <t>트리미앙</t>
        </is>
      </c>
      <c r="I677" s="29" t="inlineStr">
        <is>
          <t>多麗米亞</t>
        </is>
      </c>
      <c r="J677" s="29">
        <f>IFERROR(__xludf.DUMMYFUNCTION("GOOGLETRANSLATE(I677,""zh_HANT"",""zh_HANS"")"),"多丽米亚")</f>
        <v/>
      </c>
      <c r="K677" s="29">
        <f>F677</f>
        <v/>
      </c>
    </row>
    <row r="678">
      <c r="A678" s="29">
        <f>CONCATENATE("NAME_PkMn_", UPPER(B678))</f>
        <v/>
      </c>
      <c r="B678" s="29" t="inlineStr">
        <is>
          <t>Espurr</t>
        </is>
      </c>
      <c r="C678" s="29" t="inlineStr">
        <is>
          <t>ニャスパー</t>
        </is>
      </c>
      <c r="D678" s="29" t="inlineStr">
        <is>
          <t>Psystigri</t>
        </is>
      </c>
      <c r="E678" s="29" t="inlineStr">
        <is>
          <t>Psiau</t>
        </is>
      </c>
      <c r="F678" s="29">
        <f>B678</f>
        <v/>
      </c>
      <c r="G678" s="29">
        <f>B678</f>
        <v/>
      </c>
      <c r="H678" s="29" t="inlineStr">
        <is>
          <t>냐스퍼</t>
        </is>
      </c>
      <c r="I678" s="29" t="inlineStr">
        <is>
          <t>妙喵</t>
        </is>
      </c>
      <c r="J678" s="29">
        <f>I678</f>
        <v/>
      </c>
      <c r="K678" s="29">
        <f>F678</f>
        <v/>
      </c>
    </row>
    <row r="679">
      <c r="A679" s="29">
        <f>CONCATENATE("NAME_PkMn_", UPPER(B679))</f>
        <v/>
      </c>
      <c r="B679" s="29" t="inlineStr">
        <is>
          <t>Meowstic</t>
        </is>
      </c>
      <c r="C679" s="29" t="inlineStr">
        <is>
          <t>ニャオニクス</t>
        </is>
      </c>
      <c r="D679" s="29" t="inlineStr">
        <is>
          <t>Mistigrix</t>
        </is>
      </c>
      <c r="E679" s="29">
        <f>CONCATENATE(E678,"gon")</f>
        <v/>
      </c>
      <c r="F679" s="29">
        <f>B679</f>
        <v/>
      </c>
      <c r="G679" s="29">
        <f>B679</f>
        <v/>
      </c>
      <c r="H679" s="29" t="inlineStr">
        <is>
          <t>냐오닉스</t>
        </is>
      </c>
      <c r="I679" s="29" t="inlineStr">
        <is>
          <t>超能妙喵</t>
        </is>
      </c>
      <c r="J679" s="29">
        <f>I679</f>
        <v/>
      </c>
      <c r="K679" s="29">
        <f>F679</f>
        <v/>
      </c>
    </row>
    <row r="680">
      <c r="A680" s="29">
        <f>CONCATENATE("NAME_PkMn_", UPPER(B680))</f>
        <v/>
      </c>
      <c r="B680" s="29" t="inlineStr">
        <is>
          <t>Honedge</t>
        </is>
      </c>
      <c r="C680" s="29" t="inlineStr">
        <is>
          <t>ヒトツキ</t>
        </is>
      </c>
      <c r="D680" s="29" t="inlineStr">
        <is>
          <t>Monorpale</t>
        </is>
      </c>
      <c r="E680" s="29" t="inlineStr">
        <is>
          <t>Gramokles</t>
        </is>
      </c>
      <c r="F680" s="29">
        <f>B680</f>
        <v/>
      </c>
      <c r="G680" s="29">
        <f>B680</f>
        <v/>
      </c>
      <c r="H680" s="29" t="inlineStr">
        <is>
          <t>단칼빙</t>
        </is>
      </c>
      <c r="I680" s="29" t="inlineStr">
        <is>
          <t>獨劍鞘</t>
        </is>
      </c>
      <c r="J680" s="29">
        <f>IFERROR(__xludf.DUMMYFUNCTION("GOOGLETRANSLATE(I680,""zh_HANT"",""zh_HANS"")"),"独剑鞘")</f>
        <v/>
      </c>
      <c r="K680" s="29">
        <f>F680</f>
        <v/>
      </c>
    </row>
    <row r="681">
      <c r="A681" s="29">
        <f>CONCATENATE("NAME_PkMn_", UPPER(B681))</f>
        <v/>
      </c>
      <c r="B681" s="29" t="inlineStr">
        <is>
          <t>Doublade</t>
        </is>
      </c>
      <c r="C681" s="29" t="inlineStr">
        <is>
          <t>ニダンギル</t>
        </is>
      </c>
      <c r="D681" s="29" t="inlineStr">
        <is>
          <t>Dimoclès</t>
        </is>
      </c>
      <c r="E681" s="29" t="inlineStr">
        <is>
          <t>Duokles</t>
        </is>
      </c>
      <c r="F681" s="29">
        <f>B681</f>
        <v/>
      </c>
      <c r="G681" s="29">
        <f>B681</f>
        <v/>
      </c>
      <c r="H681" s="29" t="inlineStr">
        <is>
          <t>쌍검킬</t>
        </is>
      </c>
      <c r="I681" s="29" t="inlineStr">
        <is>
          <t>雙劍鞘</t>
        </is>
      </c>
      <c r="J681" s="29">
        <f>IFERROR(__xludf.DUMMYFUNCTION("GOOGLETRANSLATE(I681,""zh_HANT"",""zh_HANS"")"),"双剑鞘")</f>
        <v/>
      </c>
      <c r="K681" s="29">
        <f>F681</f>
        <v/>
      </c>
    </row>
    <row r="682">
      <c r="A682" s="29">
        <f>CONCATENATE("NAME_PkMn_", UPPER(B682))</f>
        <v/>
      </c>
      <c r="B682" s="29" t="inlineStr">
        <is>
          <t>Aegislash</t>
        </is>
      </c>
      <c r="C682" s="29" t="inlineStr">
        <is>
          <t>ギルガルド</t>
        </is>
      </c>
      <c r="D682" s="29" t="inlineStr">
        <is>
          <t>Exagide</t>
        </is>
      </c>
      <c r="E682" s="29" t="inlineStr">
        <is>
          <t>Durengard</t>
        </is>
      </c>
      <c r="F682" s="29">
        <f>B682</f>
        <v/>
      </c>
      <c r="G682" s="29">
        <f>B682</f>
        <v/>
      </c>
      <c r="H682" s="29" t="inlineStr">
        <is>
          <t>킬가르도</t>
        </is>
      </c>
      <c r="I682" s="29" t="inlineStr">
        <is>
          <t>堅盾劍怪</t>
        </is>
      </c>
      <c r="J682" s="29">
        <f>IFERROR(__xludf.DUMMYFUNCTION("GOOGLETRANSLATE(I682,""zh_HANT"",""zh_HANS"")"),"坚盾剑怪")</f>
        <v/>
      </c>
      <c r="K682" s="29">
        <f>F682</f>
        <v/>
      </c>
    </row>
    <row r="683">
      <c r="A683" s="29">
        <f>CONCATENATE("NAME_PkMn_", UPPER(B683))</f>
        <v/>
      </c>
      <c r="B683" s="29" t="inlineStr">
        <is>
          <t>Spritzee</t>
        </is>
      </c>
      <c r="C683" s="29" t="inlineStr">
        <is>
          <t>シュシュプ</t>
        </is>
      </c>
      <c r="D683" s="29" t="inlineStr">
        <is>
          <t>Fluvetin</t>
        </is>
      </c>
      <c r="E683" s="29" t="inlineStr">
        <is>
          <t>Parfi</t>
        </is>
      </c>
      <c r="F683" s="29">
        <f>B683</f>
        <v/>
      </c>
      <c r="G683" s="29">
        <f>B683</f>
        <v/>
      </c>
      <c r="H683" s="29" t="inlineStr">
        <is>
          <t>슈쁘</t>
        </is>
      </c>
      <c r="I683" s="29" t="inlineStr">
        <is>
          <t>粉香香</t>
        </is>
      </c>
      <c r="J683" s="29">
        <f>I683</f>
        <v/>
      </c>
      <c r="K683" s="29">
        <f>F683</f>
        <v/>
      </c>
    </row>
    <row r="684">
      <c r="A684" s="29">
        <f>CONCATENATE("NAME_PkMn_", UPPER(B684))</f>
        <v/>
      </c>
      <c r="B684" s="29" t="inlineStr">
        <is>
          <t>Aromatisse</t>
        </is>
      </c>
      <c r="C684" s="29" t="inlineStr">
        <is>
          <t>フレフワン</t>
        </is>
      </c>
      <c r="D684" s="29" t="inlineStr">
        <is>
          <t>Cocotine</t>
        </is>
      </c>
      <c r="E684" s="29">
        <f>CONCATENATE(E683,"nesse")</f>
        <v/>
      </c>
      <c r="F684" s="29">
        <f>B684</f>
        <v/>
      </c>
      <c r="G684" s="29">
        <f>B684</f>
        <v/>
      </c>
      <c r="H684" s="29" t="inlineStr">
        <is>
          <t>프레프티르</t>
        </is>
      </c>
      <c r="I684" s="29" t="inlineStr">
        <is>
          <t>芳香精</t>
        </is>
      </c>
      <c r="J684" s="29">
        <f>I684</f>
        <v/>
      </c>
      <c r="K684" s="29">
        <f>F684</f>
        <v/>
      </c>
    </row>
    <row r="685">
      <c r="A685" s="29">
        <f>CONCATENATE("NAME_PkMn_", UPPER(B685))</f>
        <v/>
      </c>
      <c r="B685" s="29" t="inlineStr">
        <is>
          <t>Swirlix</t>
        </is>
      </c>
      <c r="C685" s="29" t="inlineStr">
        <is>
          <t>ペロッパフ</t>
        </is>
      </c>
      <c r="D685" s="29" t="inlineStr">
        <is>
          <t>Sucroquin</t>
        </is>
      </c>
      <c r="E685" s="29" t="inlineStr">
        <is>
          <t>Flauschling</t>
        </is>
      </c>
      <c r="F685" s="29">
        <f>B685</f>
        <v/>
      </c>
      <c r="G685" s="29">
        <f>B685</f>
        <v/>
      </c>
      <c r="H685" s="29" t="inlineStr">
        <is>
          <t>나룸퍼프</t>
        </is>
      </c>
      <c r="I685" s="29" t="inlineStr">
        <is>
          <t>綿綿泡芙</t>
        </is>
      </c>
      <c r="J685" s="29">
        <f>IFERROR(__xludf.DUMMYFUNCTION("GOOGLETRANSLATE(I685,""zh_HANT"",""zh_HANS"")"),"绵绵泡芙")</f>
        <v/>
      </c>
      <c r="K685" s="29">
        <f>F685</f>
        <v/>
      </c>
    </row>
    <row r="686">
      <c r="A686" s="29">
        <f>CONCATENATE("NAME_PkMn_", UPPER(B686))</f>
        <v/>
      </c>
      <c r="B686" s="29" t="inlineStr">
        <is>
          <t>Slurpuff</t>
        </is>
      </c>
      <c r="C686" s="29" t="inlineStr">
        <is>
          <t>ペロリーム</t>
        </is>
      </c>
      <c r="D686" s="29" t="inlineStr">
        <is>
          <t>Cupcanaille</t>
        </is>
      </c>
      <c r="E686" s="29" t="inlineStr">
        <is>
          <t>Sabbaione</t>
        </is>
      </c>
      <c r="F686" s="29">
        <f>B686</f>
        <v/>
      </c>
      <c r="G686" s="29">
        <f>B686</f>
        <v/>
      </c>
      <c r="H686" s="29" t="inlineStr">
        <is>
          <t>나루림</t>
        </is>
      </c>
      <c r="I686" s="29" t="inlineStr">
        <is>
          <t>胖甜妮</t>
        </is>
      </c>
      <c r="J686" s="29">
        <f>I686</f>
        <v/>
      </c>
      <c r="K686" s="29">
        <f>F686</f>
        <v/>
      </c>
    </row>
    <row r="687">
      <c r="A687" s="29">
        <f>CONCATENATE("NAME_PkMn_", UPPER(B687))</f>
        <v/>
      </c>
      <c r="B687" s="29" t="inlineStr">
        <is>
          <t>Inkay</t>
        </is>
      </c>
      <c r="C687" s="29" t="inlineStr">
        <is>
          <t>マーイーカ</t>
        </is>
      </c>
      <c r="D687" s="29" t="inlineStr">
        <is>
          <t>Sepiatop</t>
        </is>
      </c>
      <c r="E687" s="29" t="inlineStr">
        <is>
          <t>Iscalar</t>
        </is>
      </c>
      <c r="F687" s="29">
        <f>B687</f>
        <v/>
      </c>
      <c r="G687" s="29">
        <f>B687</f>
        <v/>
      </c>
      <c r="H687" s="29" t="inlineStr">
        <is>
          <t>오케이징</t>
        </is>
      </c>
      <c r="I687" s="29" t="inlineStr">
        <is>
          <t>好啦魷</t>
        </is>
      </c>
      <c r="J687" s="29">
        <f>IFERROR(__xludf.DUMMYFUNCTION("GOOGLETRANSLATE(I687,""zh_HANT"",""zh_HANS"")"),"好啦鱿")</f>
        <v/>
      </c>
      <c r="K687" s="29">
        <f>F687</f>
        <v/>
      </c>
    </row>
    <row r="688">
      <c r="A688" s="29">
        <f>CONCATENATE("NAME_PkMn_", UPPER(B688))</f>
        <v/>
      </c>
      <c r="B688" s="29" t="inlineStr">
        <is>
          <t>Malamar</t>
        </is>
      </c>
      <c r="C688" s="29" t="inlineStr">
        <is>
          <t>カラマネロ</t>
        </is>
      </c>
      <c r="D688" s="29" t="inlineStr">
        <is>
          <t>Sepiatroce</t>
        </is>
      </c>
      <c r="E688" s="29" t="inlineStr">
        <is>
          <t>Calamanero</t>
        </is>
      </c>
      <c r="F688" s="29">
        <f>B688</f>
        <v/>
      </c>
      <c r="G688" s="29">
        <f>B688</f>
        <v/>
      </c>
      <c r="H688" s="29" t="inlineStr">
        <is>
          <t>칼라마네로</t>
        </is>
      </c>
      <c r="I688" s="29" t="inlineStr">
        <is>
          <t>烏賊王</t>
        </is>
      </c>
      <c r="J688" s="29">
        <f>IFERROR(__xludf.DUMMYFUNCTION("GOOGLETRANSLATE(I688,""zh_HANT"",""zh_HANS"")"),"乌贼王")</f>
        <v/>
      </c>
      <c r="K688" s="29">
        <f>F688</f>
        <v/>
      </c>
    </row>
    <row r="689">
      <c r="A689" s="29">
        <f>CONCATENATE("NAME_PkMn_", UPPER(B689))</f>
        <v/>
      </c>
      <c r="B689" s="29" t="inlineStr">
        <is>
          <t>Binacle</t>
        </is>
      </c>
      <c r="C689" s="29" t="inlineStr">
        <is>
          <t>カメテテ</t>
        </is>
      </c>
      <c r="D689" s="29" t="inlineStr">
        <is>
          <t>Opermine</t>
        </is>
      </c>
      <c r="E689" s="29" t="inlineStr">
        <is>
          <t>Bithora</t>
        </is>
      </c>
      <c r="F689" s="29">
        <f>B689</f>
        <v/>
      </c>
      <c r="G689" s="29">
        <f>B689</f>
        <v/>
      </c>
      <c r="H689" s="29" t="inlineStr">
        <is>
          <t>거북손손</t>
        </is>
      </c>
      <c r="I689" s="29" t="inlineStr">
        <is>
          <t>龜腳腳</t>
        </is>
      </c>
      <c r="J689" s="29">
        <f>IFERROR(__xludf.DUMMYFUNCTION("GOOGLETRANSLATE(I689,""zh_HANT"",""zh_HANS"")"),"龟脚脚")</f>
        <v/>
      </c>
      <c r="K689" s="29">
        <f>F689</f>
        <v/>
      </c>
    </row>
    <row r="690">
      <c r="A690" s="29">
        <f>CONCATENATE("NAME_PkMn_", UPPER(B690))</f>
        <v/>
      </c>
      <c r="B690" s="29" t="inlineStr">
        <is>
          <t>Barbaracle</t>
        </is>
      </c>
      <c r="C690" s="29" t="inlineStr">
        <is>
          <t>ガメノデス</t>
        </is>
      </c>
      <c r="D690" s="29" t="inlineStr">
        <is>
          <t>Golgopathe</t>
        </is>
      </c>
      <c r="E690" s="29" t="inlineStr">
        <is>
          <t>Thanathora</t>
        </is>
      </c>
      <c r="F690" s="29">
        <f>B690</f>
        <v/>
      </c>
      <c r="G690" s="29">
        <f>B690</f>
        <v/>
      </c>
      <c r="H690" s="29" t="inlineStr">
        <is>
          <t>거북손데스</t>
        </is>
      </c>
      <c r="I690" s="29" t="inlineStr">
        <is>
          <t>龜足巨鎧</t>
        </is>
      </c>
      <c r="J690" s="29">
        <f>IFERROR(__xludf.DUMMYFUNCTION("GOOGLETRANSLATE(I690,""zh_HANT"",""zh_HANS"")"),"龟足巨铠")</f>
        <v/>
      </c>
      <c r="K690" s="29">
        <f>F690</f>
        <v/>
      </c>
    </row>
    <row r="691">
      <c r="A691" s="29">
        <f>CONCATENATE("NAME_PkMn_", UPPER(B691))</f>
        <v/>
      </c>
      <c r="B691" s="29" t="inlineStr">
        <is>
          <t>Skrelp</t>
        </is>
      </c>
      <c r="C691" s="29" t="inlineStr">
        <is>
          <t>クズモー</t>
        </is>
      </c>
      <c r="D691" s="29" t="inlineStr">
        <is>
          <t>Venalgue</t>
        </is>
      </c>
      <c r="E691" s="29" t="inlineStr">
        <is>
          <t>Algitt</t>
        </is>
      </c>
      <c r="F691" s="29">
        <f>B691</f>
        <v/>
      </c>
      <c r="G691" s="29">
        <f>B691</f>
        <v/>
      </c>
      <c r="H691" s="29" t="inlineStr">
        <is>
          <t>수레기</t>
        </is>
      </c>
      <c r="I691" s="29" t="inlineStr">
        <is>
          <t>垃垃藻</t>
        </is>
      </c>
      <c r="J691" s="29">
        <f>I691</f>
        <v/>
      </c>
      <c r="K691" s="29">
        <f>F691</f>
        <v/>
      </c>
    </row>
    <row r="692">
      <c r="A692" s="29">
        <f>CONCATENATE("NAME_PkMn_", UPPER(B692))</f>
        <v/>
      </c>
      <c r="B692" s="29" t="inlineStr">
        <is>
          <t>Dragalge</t>
        </is>
      </c>
      <c r="C692" s="29" t="inlineStr">
        <is>
          <t>ドラミドロ</t>
        </is>
      </c>
      <c r="D692" s="29" t="inlineStr">
        <is>
          <t>Kravarech</t>
        </is>
      </c>
      <c r="E692" s="29" t="inlineStr">
        <is>
          <t>Tandrak</t>
        </is>
      </c>
      <c r="F692" s="29">
        <f>B692</f>
        <v/>
      </c>
      <c r="G692" s="29">
        <f>B692</f>
        <v/>
      </c>
      <c r="H692" s="29" t="inlineStr">
        <is>
          <t>드래캄</t>
        </is>
      </c>
      <c r="I692" s="29" t="inlineStr">
        <is>
          <t>毒藻龍</t>
        </is>
      </c>
      <c r="J692" s="29">
        <f>IFERROR(__xludf.DUMMYFUNCTION("GOOGLETRANSLATE(I692,""zh_HANT"",""zh_HANS"")"),"毒藻龙")</f>
        <v/>
      </c>
      <c r="K692" s="29">
        <f>F692</f>
        <v/>
      </c>
    </row>
    <row r="693">
      <c r="A693" s="29">
        <f>CONCATENATE("NAME_PkMn_", UPPER(B693))</f>
        <v/>
      </c>
      <c r="B693" s="29" t="inlineStr">
        <is>
          <t>Clauncher</t>
        </is>
      </c>
      <c r="C693" s="29" t="inlineStr">
        <is>
          <t>ウデッポウ</t>
        </is>
      </c>
      <c r="D693" s="29" t="inlineStr">
        <is>
          <t>Flingouste</t>
        </is>
      </c>
      <c r="E693" s="29" t="inlineStr">
        <is>
          <t>Scampisto</t>
        </is>
      </c>
      <c r="F693" s="29">
        <f>B693</f>
        <v/>
      </c>
      <c r="G693" s="29">
        <f>B693</f>
        <v/>
      </c>
      <c r="H693" s="29" t="inlineStr">
        <is>
          <t>완철포</t>
        </is>
      </c>
      <c r="I693" s="29" t="inlineStr">
        <is>
          <t>鐵臂槍蝦</t>
        </is>
      </c>
      <c r="J693" s="29">
        <f>IFERROR(__xludf.DUMMYFUNCTION("GOOGLETRANSLATE(I693,""zh_HANT"",""zh_HANS"")"),"铁臂枪虾")</f>
        <v/>
      </c>
      <c r="K693" s="29">
        <f>F693</f>
        <v/>
      </c>
    </row>
    <row r="694">
      <c r="A694" s="29">
        <f>CONCATENATE("NAME_PkMn_", UPPER(B694))</f>
        <v/>
      </c>
      <c r="B694" s="29" t="inlineStr">
        <is>
          <t>Clawitzer</t>
        </is>
      </c>
      <c r="C694" s="29" t="inlineStr">
        <is>
          <t>ブロスター</t>
        </is>
      </c>
      <c r="D694" s="29" t="inlineStr">
        <is>
          <t>Gamblast</t>
        </is>
      </c>
      <c r="E694" s="29" t="inlineStr">
        <is>
          <t>Wummer</t>
        </is>
      </c>
      <c r="F694" s="29">
        <f>B694</f>
        <v/>
      </c>
      <c r="G694" s="29">
        <f>B694</f>
        <v/>
      </c>
      <c r="H694" s="29" t="inlineStr">
        <is>
          <t>블로스터</t>
        </is>
      </c>
      <c r="I694" s="29" t="inlineStr">
        <is>
          <t>鋼炮臂蝦</t>
        </is>
      </c>
      <c r="J694" s="29">
        <f>IFERROR(__xludf.DUMMYFUNCTION("GOOGLETRANSLATE(I694,""zh_HANT"",""zh_HANS"")"),"钢炮臂虾")</f>
        <v/>
      </c>
      <c r="K694" s="29">
        <f>F694</f>
        <v/>
      </c>
    </row>
    <row r="695">
      <c r="A695" s="29">
        <f>CONCATENATE("NAME_PkMn_", UPPER(B695))</f>
        <v/>
      </c>
      <c r="B695" s="29" t="inlineStr">
        <is>
          <t>Helioptile</t>
        </is>
      </c>
      <c r="C695" s="29" t="inlineStr">
        <is>
          <t>エリキテル</t>
        </is>
      </c>
      <c r="D695" s="29" t="inlineStr">
        <is>
          <t>Galvaran</t>
        </is>
      </c>
      <c r="E695" s="29" t="inlineStr">
        <is>
          <t>Eguana</t>
        </is>
      </c>
      <c r="F695" s="29">
        <f>B695</f>
        <v/>
      </c>
      <c r="G695" s="29">
        <f>B695</f>
        <v/>
      </c>
      <c r="H695" s="29" t="inlineStr">
        <is>
          <t>목도리키텔</t>
        </is>
      </c>
      <c r="I695" s="29" t="inlineStr">
        <is>
          <t>傘電蜥</t>
        </is>
      </c>
      <c r="J695" s="29">
        <f>IFERROR(__xludf.DUMMYFUNCTION("GOOGLETRANSLATE(I695,""zh_HANT"",""zh_HANS"")"),"伞电蜥")</f>
        <v/>
      </c>
      <c r="K695" s="29">
        <f>F695</f>
        <v/>
      </c>
    </row>
    <row r="696">
      <c r="A696" s="29">
        <f>CONCATENATE("NAME_PkMn_", UPPER(B696))</f>
        <v/>
      </c>
      <c r="B696" s="29" t="inlineStr">
        <is>
          <t>Heliolisk</t>
        </is>
      </c>
      <c r="C696" s="29" t="inlineStr">
        <is>
          <t>エレザード</t>
        </is>
      </c>
      <c r="D696" s="29" t="inlineStr">
        <is>
          <t>Iguolta</t>
        </is>
      </c>
      <c r="E696" s="29" t="inlineStr">
        <is>
          <t>Elezard</t>
        </is>
      </c>
      <c r="F696" s="29">
        <f>B696</f>
        <v/>
      </c>
      <c r="G696" s="29">
        <f>B696</f>
        <v/>
      </c>
      <c r="H696" s="29" t="inlineStr">
        <is>
          <t>일레도리자드</t>
        </is>
      </c>
      <c r="I696" s="29" t="inlineStr">
        <is>
          <t>光電傘蜥</t>
        </is>
      </c>
      <c r="J696" s="29">
        <f>IFERROR(__xludf.DUMMYFUNCTION("GOOGLETRANSLATE(I696,""zh_HANT"",""zh_HANS"")"),"光电伞蜥")</f>
        <v/>
      </c>
      <c r="K696" s="29">
        <f>F696</f>
        <v/>
      </c>
    </row>
    <row r="697">
      <c r="A697" s="29">
        <f>CONCATENATE("NAME_PkMn_", UPPER(B697))</f>
        <v/>
      </c>
      <c r="B697" s="29" t="inlineStr">
        <is>
          <t>Tyrunt</t>
        </is>
      </c>
      <c r="C697" s="29" t="inlineStr">
        <is>
          <t>チゴラス</t>
        </is>
      </c>
      <c r="D697" s="29" t="inlineStr">
        <is>
          <t>Ptyranidur</t>
        </is>
      </c>
      <c r="E697" s="29" t="inlineStr">
        <is>
          <t>Balgoras</t>
        </is>
      </c>
      <c r="F697" s="29">
        <f>B697</f>
        <v/>
      </c>
      <c r="G697" s="29">
        <f>B697</f>
        <v/>
      </c>
      <c r="H697" s="29" t="inlineStr">
        <is>
          <t>티고라스</t>
        </is>
      </c>
      <c r="I697" s="29" t="inlineStr">
        <is>
          <t>寶寶暴龍</t>
        </is>
      </c>
      <c r="J697" s="29">
        <f>IFERROR(__xludf.DUMMYFUNCTION("GOOGLETRANSLATE(I697,""zh_HANT"",""zh_HANS"")"),"宝宝暴龙")</f>
        <v/>
      </c>
      <c r="K697" s="29">
        <f>F697</f>
        <v/>
      </c>
    </row>
    <row r="698">
      <c r="A698" s="29">
        <f>CONCATENATE("NAME_PkMn_", UPPER(B698))</f>
        <v/>
      </c>
      <c r="B698" s="29" t="inlineStr">
        <is>
          <t>Tyrantrum</t>
        </is>
      </c>
      <c r="C698" s="29" t="inlineStr">
        <is>
          <t>ガチゴラス</t>
        </is>
      </c>
      <c r="D698" s="29" t="inlineStr">
        <is>
          <t>Rexilius</t>
        </is>
      </c>
      <c r="E698" s="29" t="inlineStr">
        <is>
          <t>Monargoras</t>
        </is>
      </c>
      <c r="F698" s="29">
        <f>B698</f>
        <v/>
      </c>
      <c r="G698" s="29">
        <f>B698</f>
        <v/>
      </c>
      <c r="H698" s="29" t="inlineStr">
        <is>
          <t>견고라스</t>
        </is>
      </c>
      <c r="I698" s="29" t="inlineStr">
        <is>
          <t>怪顎龍</t>
        </is>
      </c>
      <c r="J698" s="29">
        <f>IFERROR(__xludf.DUMMYFUNCTION("GOOGLETRANSLATE(I698,""zh_HANT"",""zh_HANS"")"),"怪颚龙")</f>
        <v/>
      </c>
      <c r="K698" s="29">
        <f>F698</f>
        <v/>
      </c>
    </row>
    <row r="699">
      <c r="A699" s="29">
        <f>CONCATENATE("NAME_PkMn_", UPPER(B699))</f>
        <v/>
      </c>
      <c r="B699" s="29" t="inlineStr">
        <is>
          <t>Amaura</t>
        </is>
      </c>
      <c r="C699" s="29" t="inlineStr">
        <is>
          <t>アマルス</t>
        </is>
      </c>
      <c r="D699" s="29" t="inlineStr">
        <is>
          <t>Amagara</t>
        </is>
      </c>
      <c r="E699" s="29" t="inlineStr">
        <is>
          <t>Amarino</t>
        </is>
      </c>
      <c r="F699" s="29">
        <f>B699</f>
        <v/>
      </c>
      <c r="G699" s="29">
        <f>B699</f>
        <v/>
      </c>
      <c r="H699" s="29" t="inlineStr">
        <is>
          <t>아마루스</t>
        </is>
      </c>
      <c r="I699" s="29" t="inlineStr">
        <is>
          <t>冰雪龍</t>
        </is>
      </c>
      <c r="J699" s="29">
        <f>IFERROR(__xludf.DUMMYFUNCTION("GOOGLETRANSLATE(I699,""zh_HANT"",""zh_HANS"")"),"冰雪龙")</f>
        <v/>
      </c>
      <c r="K699" s="29">
        <f>F699</f>
        <v/>
      </c>
    </row>
    <row r="700">
      <c r="A700" s="29">
        <f>CONCATENATE("NAME_PkMn_", UPPER(B700))</f>
        <v/>
      </c>
      <c r="B700" s="29" t="inlineStr">
        <is>
          <t>Aurorus</t>
        </is>
      </c>
      <c r="C700" s="29" t="inlineStr">
        <is>
          <t>アマルルガ</t>
        </is>
      </c>
      <c r="D700" s="29" t="inlineStr">
        <is>
          <t>Dragmara</t>
        </is>
      </c>
      <c r="E700" s="29" t="inlineStr">
        <is>
          <t>Amagarga</t>
        </is>
      </c>
      <c r="F700" s="29">
        <f>B700</f>
        <v/>
      </c>
      <c r="G700" s="29">
        <f>B700</f>
        <v/>
      </c>
      <c r="H700" s="29" t="inlineStr">
        <is>
          <t>아마루르가</t>
        </is>
      </c>
      <c r="I700" s="29" t="inlineStr">
        <is>
          <t>冰雪巨龍</t>
        </is>
      </c>
      <c r="J700" s="29">
        <f>IFERROR(__xludf.DUMMYFUNCTION("GOOGLETRANSLATE(I700,""zh_HANT"",""zh_HANS"")"),"冰雪巨龙")</f>
        <v/>
      </c>
      <c r="K700" s="29">
        <f>F700</f>
        <v/>
      </c>
    </row>
    <row r="701">
      <c r="A701" s="29">
        <f>CONCATENATE("NAME_PkMn_", UPPER(B701))</f>
        <v/>
      </c>
      <c r="B701" s="29" t="inlineStr">
        <is>
          <t>Sylveon</t>
        </is>
      </c>
      <c r="C701" s="29" t="inlineStr">
        <is>
          <t>ニンフィア</t>
        </is>
      </c>
      <c r="D701" s="29" t="inlineStr">
        <is>
          <t>Nymphali</t>
        </is>
      </c>
      <c r="E701" s="29" t="inlineStr">
        <is>
          <t>Feelinara</t>
        </is>
      </c>
      <c r="F701" s="29">
        <f>B701</f>
        <v/>
      </c>
      <c r="G701" s="29">
        <f>B701</f>
        <v/>
      </c>
      <c r="H701" s="29" t="inlineStr">
        <is>
          <t>님피아</t>
        </is>
      </c>
      <c r="I701" s="29" t="inlineStr">
        <is>
          <t>仙子伊布</t>
        </is>
      </c>
      <c r="J701" s="29">
        <f>I701</f>
        <v/>
      </c>
      <c r="K701" s="29">
        <f>F701</f>
        <v/>
      </c>
    </row>
    <row r="702">
      <c r="A702" s="29">
        <f>CONCATENATE("NAME_PkMn_", UPPER(B702))</f>
        <v/>
      </c>
      <c r="B702" s="29" t="inlineStr">
        <is>
          <t>Hawlucha</t>
        </is>
      </c>
      <c r="C702" s="29" t="inlineStr">
        <is>
          <t>ルチャブル</t>
        </is>
      </c>
      <c r="D702" s="29" t="inlineStr">
        <is>
          <t>Brutalibré</t>
        </is>
      </c>
      <c r="E702" s="29" t="inlineStr">
        <is>
          <t>Resladero</t>
        </is>
      </c>
      <c r="F702" s="29">
        <f>B702</f>
        <v/>
      </c>
      <c r="G702" s="29">
        <f>B702</f>
        <v/>
      </c>
      <c r="H702" s="29" t="inlineStr">
        <is>
          <t>루차불</t>
        </is>
      </c>
      <c r="I702" s="29" t="inlineStr">
        <is>
          <t>摔角鷹人</t>
        </is>
      </c>
      <c r="J702" s="29">
        <f>IFERROR(__xludf.DUMMYFUNCTION("GOOGLETRANSLATE(I702,""zh_HANT"",""zh_HANS"")"),"摔角鹰人")</f>
        <v/>
      </c>
      <c r="K702" s="29">
        <f>F702</f>
        <v/>
      </c>
    </row>
    <row r="703">
      <c r="A703" s="29">
        <f>CONCATENATE("NAME_PkMn_", UPPER(B703))</f>
        <v/>
      </c>
      <c r="B703" s="29" t="inlineStr">
        <is>
          <t>Dedenne</t>
        </is>
      </c>
      <c r="C703" s="29" t="inlineStr">
        <is>
          <t>デデンネ</t>
        </is>
      </c>
      <c r="D703" s="29" t="inlineStr">
        <is>
          <t>Dédenne</t>
        </is>
      </c>
      <c r="E703" s="29">
        <f>B703</f>
        <v/>
      </c>
      <c r="F703" s="29">
        <f>B703</f>
        <v/>
      </c>
      <c r="G703" s="29">
        <f>B703</f>
        <v/>
      </c>
      <c r="H703" s="29" t="inlineStr">
        <is>
          <t>데덴네</t>
        </is>
      </c>
      <c r="I703" s="29" t="inlineStr">
        <is>
          <t>咚咚鼠</t>
        </is>
      </c>
      <c r="J703" s="29">
        <f>I703</f>
        <v/>
      </c>
      <c r="K703" s="29">
        <f>F703</f>
        <v/>
      </c>
    </row>
    <row r="704">
      <c r="A704" s="29">
        <f>CONCATENATE("NAME_PkMn_", UPPER(B704))</f>
        <v/>
      </c>
      <c r="B704" s="29" t="inlineStr">
        <is>
          <t>Carbink</t>
        </is>
      </c>
      <c r="C704" s="29" t="inlineStr">
        <is>
          <t>メレシー</t>
        </is>
      </c>
      <c r="D704" s="29" t="inlineStr">
        <is>
          <t>Strassie</t>
        </is>
      </c>
      <c r="E704" s="29" t="inlineStr">
        <is>
          <t>Rocara</t>
        </is>
      </c>
      <c r="F704" s="29">
        <f>B704</f>
        <v/>
      </c>
      <c r="G704" s="29">
        <f>B704</f>
        <v/>
      </c>
      <c r="H704" s="29" t="inlineStr">
        <is>
          <t>멜리시</t>
        </is>
      </c>
      <c r="I704" s="29" t="inlineStr">
        <is>
          <t>小碎鑽</t>
        </is>
      </c>
      <c r="J704" s="29">
        <f>IFERROR(__xludf.DUMMYFUNCTION("GOOGLETRANSLATE(I704,""zh_HANT"",""zh_HANS"")"),"小碎钻")</f>
        <v/>
      </c>
      <c r="K704" s="29">
        <f>F704</f>
        <v/>
      </c>
    </row>
    <row r="705">
      <c r="A705" s="29">
        <f>CONCATENATE("NAME_PkMn_", UPPER(B705))</f>
        <v/>
      </c>
      <c r="B705" s="29" t="inlineStr">
        <is>
          <t>Goomy</t>
        </is>
      </c>
      <c r="C705" s="29" t="inlineStr">
        <is>
          <t>ヌメラ</t>
        </is>
      </c>
      <c r="D705" s="29" t="inlineStr">
        <is>
          <t>Mucuscule</t>
        </is>
      </c>
      <c r="E705" s="29" t="inlineStr">
        <is>
          <t>Viscora</t>
        </is>
      </c>
      <c r="F705" s="29">
        <f>B705</f>
        <v/>
      </c>
      <c r="G705" s="29">
        <f>B705</f>
        <v/>
      </c>
      <c r="H705" s="29" t="inlineStr">
        <is>
          <t>미끄메라</t>
        </is>
      </c>
      <c r="I705" s="29" t="inlineStr">
        <is>
          <t>黏黏寶</t>
        </is>
      </c>
      <c r="J705" s="29">
        <f>IFERROR(__xludf.DUMMYFUNCTION("GOOGLETRANSLATE(I705,""zh_HANT"",""zh_HANS"")"),"黏黏宝")</f>
        <v/>
      </c>
      <c r="K705" s="29">
        <f>F705</f>
        <v/>
      </c>
    </row>
    <row r="706">
      <c r="A706" s="29">
        <f>CONCATENATE("NAME_PkMn_", UPPER(B706))</f>
        <v/>
      </c>
      <c r="B706" s="29" t="inlineStr">
        <is>
          <t>Sliggoo</t>
        </is>
      </c>
      <c r="C706" s="29" t="inlineStr">
        <is>
          <t>ヌメイル</t>
        </is>
      </c>
      <c r="D706" s="29" t="inlineStr">
        <is>
          <t>Colimucus</t>
        </is>
      </c>
      <c r="E706" s="29" t="inlineStr">
        <is>
          <t>Viscargot</t>
        </is>
      </c>
      <c r="F706" s="29">
        <f>B706</f>
        <v/>
      </c>
      <c r="G706" s="29">
        <f>B706</f>
        <v/>
      </c>
      <c r="H706" s="29" t="inlineStr">
        <is>
          <t>미끄네일</t>
        </is>
      </c>
      <c r="I706" s="29" t="inlineStr">
        <is>
          <t>黏美兒</t>
        </is>
      </c>
      <c r="J706" s="29">
        <f>IFERROR(__xludf.DUMMYFUNCTION("GOOGLETRANSLATE(I706,""zh_HANT"",""zh_HANS"")"),"黏美儿")</f>
        <v/>
      </c>
      <c r="K706" s="29">
        <f>F706</f>
        <v/>
      </c>
    </row>
    <row r="707">
      <c r="A707" s="29">
        <f>CONCATENATE("NAME_PkMn_", UPPER(B707))</f>
        <v/>
      </c>
      <c r="B707" s="29" t="inlineStr">
        <is>
          <t>Goodra</t>
        </is>
      </c>
      <c r="C707" s="29" t="inlineStr">
        <is>
          <t>ヌメルゴン</t>
        </is>
      </c>
      <c r="D707" s="29" t="inlineStr">
        <is>
          <t>Muplodocus</t>
        </is>
      </c>
      <c r="E707" s="29" t="inlineStr">
        <is>
          <t>Viscogon</t>
        </is>
      </c>
      <c r="F707" s="29">
        <f>B707</f>
        <v/>
      </c>
      <c r="G707" s="29">
        <f>B707</f>
        <v/>
      </c>
      <c r="H707" s="29" t="inlineStr">
        <is>
          <t>미끄래곤</t>
        </is>
      </c>
      <c r="I707" s="29" t="inlineStr">
        <is>
          <t>黏美龍</t>
        </is>
      </c>
      <c r="J707" s="29">
        <f>IFERROR(__xludf.DUMMYFUNCTION("GOOGLETRANSLATE(I707,""zh_HANT"",""zh_HANS"")"),"黏美龙")</f>
        <v/>
      </c>
      <c r="K707" s="29">
        <f>F707</f>
        <v/>
      </c>
    </row>
    <row r="708">
      <c r="A708" s="29">
        <f>CONCATENATE("NAME_PkMn_", UPPER(B708))</f>
        <v/>
      </c>
      <c r="B708" s="29" t="inlineStr">
        <is>
          <t>Klefki</t>
        </is>
      </c>
      <c r="C708" s="29" t="inlineStr">
        <is>
          <t>クレッフィ</t>
        </is>
      </c>
      <c r="D708" s="29" t="inlineStr">
        <is>
          <t>Trousselin</t>
        </is>
      </c>
      <c r="E708" s="29" t="inlineStr">
        <is>
          <t>Clavion</t>
        </is>
      </c>
      <c r="F708" s="29">
        <f>B708</f>
        <v/>
      </c>
      <c r="G708" s="29">
        <f>B708</f>
        <v/>
      </c>
      <c r="H708" s="29" t="inlineStr">
        <is>
          <t>클레피</t>
        </is>
      </c>
      <c r="I708" s="29" t="inlineStr">
        <is>
          <t>鑰圈兒</t>
        </is>
      </c>
      <c r="J708" s="29">
        <f>IFERROR(__xludf.DUMMYFUNCTION("GOOGLETRANSLATE(I708,""zh_HANT"",""zh_HANS"")"),"钥圈儿")</f>
        <v/>
      </c>
      <c r="K708" s="29">
        <f>F708</f>
        <v/>
      </c>
    </row>
    <row r="709">
      <c r="A709" s="29">
        <f>CONCATENATE("NAME_PkMn_", UPPER(B709))</f>
        <v/>
      </c>
      <c r="B709" s="29" t="inlineStr">
        <is>
          <t>Phantump</t>
        </is>
      </c>
      <c r="C709" s="29" t="inlineStr">
        <is>
          <t>ボクレー</t>
        </is>
      </c>
      <c r="D709" s="29" t="inlineStr">
        <is>
          <t>Brocélôme</t>
        </is>
      </c>
      <c r="E709" s="29" t="inlineStr">
        <is>
          <t>Paragoni</t>
        </is>
      </c>
      <c r="F709" s="29">
        <f>B709</f>
        <v/>
      </c>
      <c r="G709" s="29">
        <f>B709</f>
        <v/>
      </c>
      <c r="H709" s="29" t="inlineStr">
        <is>
          <t>나목령</t>
        </is>
      </c>
      <c r="I709" s="29" t="inlineStr">
        <is>
          <t>小木靈</t>
        </is>
      </c>
      <c r="J709" s="29">
        <f>IFERROR(__xludf.DUMMYFUNCTION("GOOGLETRANSLATE(I709,""zh_HANT"",""zh_HANS"")"),"小木灵")</f>
        <v/>
      </c>
      <c r="K709" s="29">
        <f>F709</f>
        <v/>
      </c>
    </row>
    <row r="710">
      <c r="A710" s="29">
        <f>CONCATENATE("NAME_PkMn_", UPPER(B710))</f>
        <v/>
      </c>
      <c r="B710" s="29" t="inlineStr">
        <is>
          <t>Trevenant</t>
        </is>
      </c>
      <c r="C710" s="29" t="inlineStr">
        <is>
          <t>オーロット</t>
        </is>
      </c>
      <c r="D710" s="29" t="inlineStr">
        <is>
          <t>Desséliandre</t>
        </is>
      </c>
      <c r="E710" s="29" t="inlineStr">
        <is>
          <t>Trombork</t>
        </is>
      </c>
      <c r="F710" s="29">
        <f>B710</f>
        <v/>
      </c>
      <c r="G710" s="29">
        <f>B710</f>
        <v/>
      </c>
      <c r="H710" s="29" t="inlineStr">
        <is>
          <t>대로트</t>
        </is>
      </c>
      <c r="I710" s="29" t="inlineStr">
        <is>
          <t>朽木妖</t>
        </is>
      </c>
      <c r="J710" s="29">
        <f>I710</f>
        <v/>
      </c>
      <c r="K710" s="29">
        <f>F710</f>
        <v/>
      </c>
    </row>
    <row r="711">
      <c r="A711" s="29">
        <f>CONCATENATE("NAME_PkMn_", UPPER(B711))</f>
        <v/>
      </c>
      <c r="B711" s="29" t="inlineStr">
        <is>
          <t>Pumpkaboo</t>
        </is>
      </c>
      <c r="C711" s="29" t="inlineStr">
        <is>
          <t>バケッチャ</t>
        </is>
      </c>
      <c r="D711" s="29" t="inlineStr">
        <is>
          <t>Pitrouille</t>
        </is>
      </c>
      <c r="E711" s="29" t="inlineStr">
        <is>
          <t>Irrbis</t>
        </is>
      </c>
      <c r="F711" s="29">
        <f>B711</f>
        <v/>
      </c>
      <c r="G711" s="29">
        <f>B711</f>
        <v/>
      </c>
      <c r="H711" s="29" t="inlineStr">
        <is>
          <t>호바귀</t>
        </is>
      </c>
      <c r="I711" s="29" t="inlineStr">
        <is>
          <t>南瓜精</t>
        </is>
      </c>
      <c r="J711" s="29">
        <f>I711</f>
        <v/>
      </c>
      <c r="K711" s="29">
        <f>F711</f>
        <v/>
      </c>
    </row>
    <row r="712">
      <c r="A712" s="29">
        <f>CONCATENATE("NAME_PkMn_", UPPER(B712))</f>
        <v/>
      </c>
      <c r="B712" s="29" t="inlineStr">
        <is>
          <t>Gourgeist</t>
        </is>
      </c>
      <c r="C712" s="29" t="inlineStr">
        <is>
          <t>パンプジン</t>
        </is>
      </c>
      <c r="D712" s="29" t="inlineStr">
        <is>
          <t>Banshitrouye</t>
        </is>
      </c>
      <c r="E712" s="29" t="inlineStr">
        <is>
          <t>Pumpdjinn</t>
        </is>
      </c>
      <c r="F712" s="29">
        <f>B712</f>
        <v/>
      </c>
      <c r="G712" s="29">
        <f>B712</f>
        <v/>
      </c>
      <c r="H712" s="29" t="inlineStr">
        <is>
          <t>펌킨인</t>
        </is>
      </c>
      <c r="I712" s="29" t="inlineStr">
        <is>
          <t>南瓜怪人</t>
        </is>
      </c>
      <c r="J712" s="29">
        <f>I712</f>
        <v/>
      </c>
      <c r="K712" s="29">
        <f>F712</f>
        <v/>
      </c>
    </row>
    <row r="713">
      <c r="A713" s="29">
        <f>CONCATENATE("NAME_PkMn_", UPPER(B713))</f>
        <v/>
      </c>
      <c r="B713" s="29" t="inlineStr">
        <is>
          <t>Bergmite</t>
        </is>
      </c>
      <c r="C713" s="29" t="inlineStr">
        <is>
          <t>カチコール</t>
        </is>
      </c>
      <c r="D713" s="29" t="inlineStr">
        <is>
          <t>Grelaçon</t>
        </is>
      </c>
      <c r="E713" s="29" t="inlineStr">
        <is>
          <t>Arktip</t>
        </is>
      </c>
      <c r="F713" s="29">
        <f>B713</f>
        <v/>
      </c>
      <c r="G713" s="29">
        <f>B713</f>
        <v/>
      </c>
      <c r="H713" s="29" t="inlineStr">
        <is>
          <t>꽁어름</t>
        </is>
      </c>
      <c r="I713" s="29" t="inlineStr">
        <is>
          <t>冰寶</t>
        </is>
      </c>
      <c r="J713" s="29">
        <f>IFERROR(__xludf.DUMMYFUNCTION("GOOGLETRANSLATE(I713,""zh_HANT"",""zh_HANS"")"),"冰宝")</f>
        <v/>
      </c>
      <c r="K713" s="29">
        <f>F713</f>
        <v/>
      </c>
    </row>
    <row r="714">
      <c r="A714" s="29">
        <f>CONCATENATE("NAME_PkMn_", UPPER(B714))</f>
        <v/>
      </c>
      <c r="B714" s="29" t="inlineStr">
        <is>
          <t>Avalugg</t>
        </is>
      </c>
      <c r="C714" s="29" t="inlineStr">
        <is>
          <t>クレベース</t>
        </is>
      </c>
      <c r="D714" s="29" t="inlineStr">
        <is>
          <t>Séracrawl</t>
        </is>
      </c>
      <c r="E714" s="29" t="inlineStr">
        <is>
          <t>Arktilas</t>
        </is>
      </c>
      <c r="F714" s="29">
        <f>B714</f>
        <v/>
      </c>
      <c r="G714" s="29">
        <f>B714</f>
        <v/>
      </c>
      <c r="H714" s="29" t="inlineStr">
        <is>
          <t>크레베이스</t>
        </is>
      </c>
      <c r="I714" s="29" t="inlineStr">
        <is>
          <t>冰岩怪</t>
        </is>
      </c>
      <c r="J714" s="29">
        <f>I714</f>
        <v/>
      </c>
      <c r="K714" s="29">
        <f>F714</f>
        <v/>
      </c>
    </row>
    <row r="715">
      <c r="A715" s="29">
        <f>CONCATENATE("NAME_PkMn_", UPPER(B715))</f>
        <v/>
      </c>
      <c r="B715" s="29" t="inlineStr">
        <is>
          <t>Noibat</t>
        </is>
      </c>
      <c r="C715" s="29" t="inlineStr">
        <is>
          <t>オンバット</t>
        </is>
      </c>
      <c r="D715" s="29" t="inlineStr">
        <is>
          <t>Sonistrelle</t>
        </is>
      </c>
      <c r="E715" s="29" t="inlineStr">
        <is>
          <t>eF-eM</t>
        </is>
      </c>
      <c r="F715" s="29">
        <f>B715</f>
        <v/>
      </c>
      <c r="G715" s="29">
        <f>B715</f>
        <v/>
      </c>
      <c r="H715" s="29" t="inlineStr">
        <is>
          <t>음뱃</t>
        </is>
      </c>
      <c r="I715" s="29" t="inlineStr">
        <is>
          <t>嗡蝠</t>
        </is>
      </c>
      <c r="J715" s="29">
        <f>I715</f>
        <v/>
      </c>
      <c r="K715" s="29">
        <f>F715</f>
        <v/>
      </c>
    </row>
    <row r="716">
      <c r="A716" s="29">
        <f>CONCATENATE("NAME_PkMn_", UPPER(B716))</f>
        <v/>
      </c>
      <c r="B716" s="29" t="inlineStr">
        <is>
          <t>Noivern</t>
        </is>
      </c>
      <c r="C716" s="29" t="inlineStr">
        <is>
          <t>オンバーン</t>
        </is>
      </c>
      <c r="D716" s="29" t="inlineStr">
        <is>
          <t>Bruyverne</t>
        </is>
      </c>
      <c r="E716" s="29" t="inlineStr">
        <is>
          <t>UHaFnir</t>
        </is>
      </c>
      <c r="F716" s="29">
        <f>B716</f>
        <v/>
      </c>
      <c r="G716" s="29">
        <f>B716</f>
        <v/>
      </c>
      <c r="H716" s="29" t="inlineStr">
        <is>
          <t>음번</t>
        </is>
      </c>
      <c r="I716" s="29" t="inlineStr">
        <is>
          <t>音波龍</t>
        </is>
      </c>
      <c r="J716" s="29">
        <f>IFERROR(__xludf.DUMMYFUNCTION("GOOGLETRANSLATE(I716,""zh_HANT"",""zh_HANS"")"),"音波龙")</f>
        <v/>
      </c>
      <c r="K716" s="29">
        <f>F716</f>
        <v/>
      </c>
    </row>
    <row r="717">
      <c r="A717" s="29">
        <f>CONCATENATE("NAME_PkMn_", UPPER(B717))</f>
        <v/>
      </c>
      <c r="B717" s="29" t="inlineStr">
        <is>
          <t>Xerneas</t>
        </is>
      </c>
      <c r="C717" s="29" t="inlineStr">
        <is>
          <t>ゼルネアス</t>
        </is>
      </c>
      <c r="D717" s="29">
        <f>B717</f>
        <v/>
      </c>
      <c r="E717" s="29">
        <f>B717</f>
        <v/>
      </c>
      <c r="F717" s="29">
        <f>B717</f>
        <v/>
      </c>
      <c r="G717" s="29">
        <f>B717</f>
        <v/>
      </c>
      <c r="H717" s="29" t="inlineStr">
        <is>
          <t>제르네아스</t>
        </is>
      </c>
      <c r="I717" s="29" t="inlineStr">
        <is>
          <t>哲爾尼亞斯</t>
        </is>
      </c>
      <c r="J717" s="29">
        <f>IFERROR(__xludf.DUMMYFUNCTION("GOOGLETRANSLATE(I717,""zh_HANT"",""zh_HANS"")"),"哲尔尼亚斯")</f>
        <v/>
      </c>
      <c r="K717" s="29">
        <f>F717</f>
        <v/>
      </c>
    </row>
    <row r="718">
      <c r="A718" s="29">
        <f>CONCATENATE("NAME_PkMn_", UPPER(B718))</f>
        <v/>
      </c>
      <c r="B718" s="29" t="inlineStr">
        <is>
          <t>Yveltal</t>
        </is>
      </c>
      <c r="C718" s="29" t="inlineStr">
        <is>
          <t>イベルタル</t>
        </is>
      </c>
      <c r="D718" s="29">
        <f>B718</f>
        <v/>
      </c>
      <c r="E718" s="29">
        <f>B718</f>
        <v/>
      </c>
      <c r="F718" s="29">
        <f>B718</f>
        <v/>
      </c>
      <c r="G718" s="29">
        <f>B718</f>
        <v/>
      </c>
      <c r="H718" s="29" t="inlineStr">
        <is>
          <t>이벨타르</t>
        </is>
      </c>
      <c r="I718" s="29" t="inlineStr">
        <is>
          <t>伊裴爾塔爾</t>
        </is>
      </c>
      <c r="J718" s="29">
        <f>IFERROR(__xludf.DUMMYFUNCTION("GOOGLETRANSLATE(I718,""zh_HANT"",""zh_HANS"")"),"伊裴尔塔尔")</f>
        <v/>
      </c>
      <c r="K718" s="29">
        <f>F718</f>
        <v/>
      </c>
    </row>
    <row r="719">
      <c r="A719" s="29">
        <f>CONCATENATE("NAME_PkMn_", UPPER(B719))</f>
        <v/>
      </c>
      <c r="B719" s="29" t="inlineStr">
        <is>
          <t>Zygarde</t>
        </is>
      </c>
      <c r="C719" s="29" t="inlineStr">
        <is>
          <t>ジガルデ</t>
        </is>
      </c>
      <c r="D719" s="29">
        <f>B719</f>
        <v/>
      </c>
      <c r="E719" s="29">
        <f>B719</f>
        <v/>
      </c>
      <c r="F719" s="29">
        <f>B719</f>
        <v/>
      </c>
      <c r="G719" s="29">
        <f>B719</f>
        <v/>
      </c>
      <c r="H719" s="29" t="inlineStr">
        <is>
          <t>지가르데</t>
        </is>
      </c>
      <c r="I719" s="29" t="inlineStr">
        <is>
          <t>基格爾德</t>
        </is>
      </c>
      <c r="J719" s="29">
        <f>IFERROR(__xludf.DUMMYFUNCTION("GOOGLETRANSLATE(I719,""zh_HANT"",""zh_HANS"")"),"基格尔德")</f>
        <v/>
      </c>
      <c r="K719" s="29">
        <f>F719</f>
        <v/>
      </c>
    </row>
    <row r="720">
      <c r="A720" s="29">
        <f>CONCATENATE("NAME_PkMn_", UPPER(B720))</f>
        <v/>
      </c>
      <c r="B720" s="29" t="inlineStr">
        <is>
          <t>Diancie</t>
        </is>
      </c>
      <c r="C720" s="29" t="inlineStr">
        <is>
          <t>ヂィアンシー</t>
        </is>
      </c>
      <c r="D720" s="29">
        <f>B720</f>
        <v/>
      </c>
      <c r="E720" s="29">
        <f>B720</f>
        <v/>
      </c>
      <c r="F720" s="29">
        <f>B720</f>
        <v/>
      </c>
      <c r="G720" s="29">
        <f>B720</f>
        <v/>
      </c>
      <c r="H720" s="29" t="inlineStr">
        <is>
          <t>디안시</t>
        </is>
      </c>
      <c r="I720" s="29">
        <f>J720</f>
        <v/>
      </c>
      <c r="J720" s="29" t="inlineStr">
        <is>
          <t>蒂安希</t>
        </is>
      </c>
      <c r="K720" s="29">
        <f>F720</f>
        <v/>
      </c>
    </row>
    <row r="721">
      <c r="A721" s="29">
        <f>CONCATENATE("NAME_PkMn_", UPPER(B721))</f>
        <v/>
      </c>
      <c r="B721" s="29" t="inlineStr">
        <is>
          <t>Hoopa</t>
        </is>
      </c>
      <c r="C721" s="29" t="inlineStr">
        <is>
          <t>フーパ</t>
        </is>
      </c>
      <c r="D721" s="29">
        <f>B721</f>
        <v/>
      </c>
      <c r="E721" s="29">
        <f>B721</f>
        <v/>
      </c>
      <c r="F721" s="29">
        <f>B721</f>
        <v/>
      </c>
      <c r="G721" s="29">
        <f>B721</f>
        <v/>
      </c>
      <c r="H721" s="29" t="inlineStr">
        <is>
          <t>후파</t>
        </is>
      </c>
      <c r="I721" s="29" t="inlineStr">
        <is>
          <t>胡帕</t>
        </is>
      </c>
      <c r="J721" s="29">
        <f>I721</f>
        <v/>
      </c>
      <c r="K721" s="29">
        <f>F721</f>
        <v/>
      </c>
    </row>
    <row r="722">
      <c r="A722" s="29">
        <f>CONCATENATE("NAME_PkMn_", UPPER(B722))</f>
        <v/>
      </c>
      <c r="B722" s="29" t="inlineStr">
        <is>
          <t>Volcanion</t>
        </is>
      </c>
      <c r="C722" s="29" t="inlineStr">
        <is>
          <t>ボルケニオン</t>
        </is>
      </c>
      <c r="D722" s="29">
        <f>B722</f>
        <v/>
      </c>
      <c r="E722" s="29">
        <f>B722</f>
        <v/>
      </c>
      <c r="F722" s="29">
        <f>B722</f>
        <v/>
      </c>
      <c r="G722" s="29">
        <f>B722</f>
        <v/>
      </c>
      <c r="H722" s="29" t="inlineStr">
        <is>
          <t>볼케니온</t>
        </is>
      </c>
      <c r="I722" s="29" t="inlineStr">
        <is>
          <t>波爾凱尼恩</t>
        </is>
      </c>
      <c r="J722" s="29">
        <f>IFERROR(__xludf.DUMMYFUNCTION("GOOGLETRANSLATE(I722,""zh_HANT"",""zh_HANS"")"),"波尔凯尼恩")</f>
        <v/>
      </c>
      <c r="K722" s="29">
        <f>F722</f>
        <v/>
      </c>
    </row>
    <row r="723">
      <c r="A723" s="29">
        <f>CONCATENATE("NAME_PkMn_", UPPER(B723))</f>
        <v/>
      </c>
      <c r="B723" s="29" t="inlineStr">
        <is>
          <t>Rowlet</t>
        </is>
      </c>
      <c r="C723" s="29" t="inlineStr">
        <is>
          <t>モクロー</t>
        </is>
      </c>
      <c r="D723" s="29" t="inlineStr">
        <is>
          <t>Brindibou</t>
        </is>
      </c>
      <c r="E723" s="29" t="inlineStr">
        <is>
          <t>Bauz</t>
        </is>
      </c>
      <c r="F723" s="29">
        <f>B723</f>
        <v/>
      </c>
      <c r="G723" s="29">
        <f>B723</f>
        <v/>
      </c>
      <c r="H723" s="29" t="inlineStr">
        <is>
          <t>나몰빼미</t>
        </is>
      </c>
      <c r="I723" s="29" t="inlineStr">
        <is>
          <t>木木梟</t>
        </is>
      </c>
      <c r="J723" s="29">
        <f>IFERROR(__xludf.DUMMYFUNCTION("GOOGLETRANSLATE(I723,""zh_HANT"",""zh_HANS"")"),"木木枭")</f>
        <v/>
      </c>
      <c r="K723" s="29">
        <f>F723</f>
        <v/>
      </c>
    </row>
    <row r="724">
      <c r="A724" s="29">
        <f>CONCATENATE("NAME_PkMn_", UPPER(B724))</f>
        <v/>
      </c>
      <c r="B724" s="29" t="inlineStr">
        <is>
          <t>Dartrix</t>
        </is>
      </c>
      <c r="C724" s="29" t="inlineStr">
        <is>
          <t>フクスロー</t>
        </is>
      </c>
      <c r="D724" s="29" t="inlineStr">
        <is>
          <t>Efflèche</t>
        </is>
      </c>
      <c r="E724" s="29" t="inlineStr">
        <is>
          <t>Arboretoss</t>
        </is>
      </c>
      <c r="F724" s="29">
        <f>B724</f>
        <v/>
      </c>
      <c r="G724" s="29">
        <f>B724</f>
        <v/>
      </c>
      <c r="H724" s="29" t="inlineStr">
        <is>
          <t>빼미스로우</t>
        </is>
      </c>
      <c r="I724" s="29" t="inlineStr">
        <is>
          <t>投羽梟</t>
        </is>
      </c>
      <c r="J724" s="29">
        <f>IFERROR(__xludf.DUMMYFUNCTION("GOOGLETRANSLATE(I724,""zh_HANT"",""zh_HANS"")"),"投羽枭")</f>
        <v/>
      </c>
      <c r="K724" s="29">
        <f>F724</f>
        <v/>
      </c>
    </row>
    <row r="725">
      <c r="A725" s="29">
        <f>CONCATENATE("NAME_PkMn_", UPPER(B725))</f>
        <v/>
      </c>
      <c r="B725" s="29" t="inlineStr">
        <is>
          <t>Decidueye</t>
        </is>
      </c>
      <c r="C725" s="29" t="inlineStr">
        <is>
          <t>ジュナイパー</t>
        </is>
      </c>
      <c r="D725" s="29" t="inlineStr">
        <is>
          <t>Archéduc</t>
        </is>
      </c>
      <c r="E725" s="29" t="inlineStr">
        <is>
          <t>Silvarro</t>
        </is>
      </c>
      <c r="F725" s="29">
        <f>B725</f>
        <v/>
      </c>
      <c r="G725" s="29">
        <f>B725</f>
        <v/>
      </c>
      <c r="H725" s="29" t="inlineStr">
        <is>
          <t>모크나이퍼</t>
        </is>
      </c>
      <c r="I725" s="29">
        <f>IFERROR(__xludf.DUMMYFUNCTION("GOOGLETRANSLATE(J725,""zh_HANS"",""zh_HANT"")"),"狙射樹梟")</f>
        <v/>
      </c>
      <c r="J725" s="29" t="inlineStr">
        <is>
          <t>狙射树枭</t>
        </is>
      </c>
      <c r="K725" s="29">
        <f>F725</f>
        <v/>
      </c>
    </row>
    <row r="726">
      <c r="A726" s="29">
        <f>CONCATENATE("NAME_PkMn_", UPPER(B726))</f>
        <v/>
      </c>
      <c r="B726" s="29" t="inlineStr">
        <is>
          <t>Litten</t>
        </is>
      </c>
      <c r="C726" s="29" t="inlineStr">
        <is>
          <t>ニャビー</t>
        </is>
      </c>
      <c r="D726" s="29" t="inlineStr">
        <is>
          <t>Flamiaou</t>
        </is>
      </c>
      <c r="E726" s="29" t="inlineStr">
        <is>
          <t>Flamiau</t>
        </is>
      </c>
      <c r="F726" s="29">
        <f>B726</f>
        <v/>
      </c>
      <c r="G726" s="29">
        <f>B726</f>
        <v/>
      </c>
      <c r="H726" s="29" t="inlineStr">
        <is>
          <t>냐오불</t>
        </is>
      </c>
      <c r="I726" s="29" t="inlineStr">
        <is>
          <t>火斑喵</t>
        </is>
      </c>
      <c r="J726" s="29">
        <f>I726</f>
        <v/>
      </c>
      <c r="K726" s="29">
        <f>F726</f>
        <v/>
      </c>
    </row>
    <row r="727">
      <c r="A727" s="29">
        <f>CONCATENATE("NAME_PkMn_", UPPER(B727))</f>
        <v/>
      </c>
      <c r="B727" s="29" t="inlineStr">
        <is>
          <t>Torracat</t>
        </is>
      </c>
      <c r="C727" s="29" t="inlineStr">
        <is>
          <t>ニャヒート</t>
        </is>
      </c>
      <c r="D727" s="29" t="inlineStr">
        <is>
          <t>Matoufeu</t>
        </is>
      </c>
      <c r="E727" s="29" t="inlineStr">
        <is>
          <t>Miezunder</t>
        </is>
      </c>
      <c r="F727" s="29">
        <f>B727</f>
        <v/>
      </c>
      <c r="G727" s="29">
        <f>B727</f>
        <v/>
      </c>
      <c r="H727" s="6" t="inlineStr">
        <is>
          <t>냐오히트</t>
        </is>
      </c>
      <c r="I727" s="29" t="inlineStr">
        <is>
          <t>炎熱喵</t>
        </is>
      </c>
      <c r="J727" s="29">
        <f>IFERROR(__xludf.DUMMYFUNCTION("GOOGLETRANSLATE(I727,""zh_HANT"",""zh_HANS"")"),"炎热喵")</f>
        <v/>
      </c>
      <c r="K727" s="29">
        <f>F727</f>
        <v/>
      </c>
    </row>
    <row r="728">
      <c r="A728" s="29">
        <f>CONCATENATE("NAME_PkMn_", UPPER(B728))</f>
        <v/>
      </c>
      <c r="B728" s="29" t="inlineStr">
        <is>
          <t>Incineroar</t>
        </is>
      </c>
      <c r="C728" s="29" t="inlineStr">
        <is>
          <t>ガオガエン</t>
        </is>
      </c>
      <c r="D728" s="29" t="inlineStr">
        <is>
          <t>Félinferno</t>
        </is>
      </c>
      <c r="E728" s="29" t="inlineStr">
        <is>
          <t>Fuegro</t>
        </is>
      </c>
      <c r="F728" s="29">
        <f>B728</f>
        <v/>
      </c>
      <c r="G728" s="29">
        <f>B728</f>
        <v/>
      </c>
      <c r="H728" s="29" t="inlineStr">
        <is>
          <t>어흥염</t>
        </is>
      </c>
      <c r="I728" s="29">
        <f>IFERROR(__xludf.DUMMYFUNCTION("GOOGLETRANSLATE(J728,""zh_HANS"",""zh_HANT"")"),"熾焰咆哮虎")</f>
        <v/>
      </c>
      <c r="J728" s="29" t="inlineStr">
        <is>
          <t>炽焰咆哮虎</t>
        </is>
      </c>
      <c r="K728" s="29">
        <f>F728</f>
        <v/>
      </c>
    </row>
    <row r="729">
      <c r="A729" s="29">
        <f>CONCATENATE("NAME_PkMn_", UPPER(B729))</f>
        <v/>
      </c>
      <c r="B729" s="29" t="inlineStr">
        <is>
          <t>Popplio</t>
        </is>
      </c>
      <c r="C729" s="29" t="inlineStr">
        <is>
          <t>アシマリ</t>
        </is>
      </c>
      <c r="D729" s="29" t="inlineStr">
        <is>
          <t>Otaquin</t>
        </is>
      </c>
      <c r="E729" s="29" t="inlineStr">
        <is>
          <t>Robball</t>
        </is>
      </c>
      <c r="F729" s="29">
        <f>B729</f>
        <v/>
      </c>
      <c r="G729" s="29">
        <f>B729</f>
        <v/>
      </c>
      <c r="H729" s="29" t="inlineStr">
        <is>
          <t>누리공</t>
        </is>
      </c>
      <c r="I729" s="29" t="inlineStr">
        <is>
          <t>球球海獅</t>
        </is>
      </c>
      <c r="J729" s="29">
        <f>IFERROR(__xludf.DUMMYFUNCTION("GOOGLETRANSLATE(I729,""zh_HANT"",""zh_HANS"")"),"球球海狮")</f>
        <v/>
      </c>
      <c r="K729" s="29">
        <f>F729</f>
        <v/>
      </c>
    </row>
    <row r="730">
      <c r="A730" s="29">
        <f>CONCATENATE("NAME_PkMn_", UPPER(B730))</f>
        <v/>
      </c>
      <c r="B730" s="29" t="inlineStr">
        <is>
          <t>Brionne</t>
        </is>
      </c>
      <c r="C730" s="29" t="inlineStr">
        <is>
          <t>オシャマリ</t>
        </is>
      </c>
      <c r="D730" s="29" t="inlineStr">
        <is>
          <t>Otarlette</t>
        </is>
      </c>
      <c r="E730" s="29" t="inlineStr">
        <is>
          <t>Marikeck</t>
        </is>
      </c>
      <c r="F730" s="29">
        <f>B730</f>
        <v/>
      </c>
      <c r="G730" s="29">
        <f>B730</f>
        <v/>
      </c>
      <c r="H730" s="29" t="inlineStr">
        <is>
          <t>키요공</t>
        </is>
      </c>
      <c r="I730" s="29" t="inlineStr">
        <is>
          <t>花漾海獅</t>
        </is>
      </c>
      <c r="J730" s="29">
        <f>IFERROR(__xludf.DUMMYFUNCTION("GOOGLETRANSLATE(I730,""zh_HANT"",""zh_HANS"")"),"花漾海狮")</f>
        <v/>
      </c>
      <c r="K730" s="29">
        <f>F730</f>
        <v/>
      </c>
    </row>
    <row r="731">
      <c r="A731" s="29">
        <f>CONCATENATE("NAME_PkMn_", UPPER(B731))</f>
        <v/>
      </c>
      <c r="B731" s="29" t="inlineStr">
        <is>
          <t>Primarina</t>
        </is>
      </c>
      <c r="C731" s="29" t="inlineStr">
        <is>
          <t>アシレーヌ</t>
        </is>
      </c>
      <c r="D731" s="29" t="inlineStr">
        <is>
          <t>Oratoria</t>
        </is>
      </c>
      <c r="E731" s="29" t="inlineStr">
        <is>
          <t>Primarene</t>
        </is>
      </c>
      <c r="F731" s="29">
        <f>B731</f>
        <v/>
      </c>
      <c r="G731" s="29">
        <f>B731</f>
        <v/>
      </c>
      <c r="H731" s="29" t="inlineStr">
        <is>
          <t>누리레느</t>
        </is>
      </c>
      <c r="I731" s="29">
        <f>IFERROR(__xludf.DUMMYFUNCTION("GOOGLETRANSLATE(J731,""zh_HANS"",""zh_HANT"")"),"西獅海壬")</f>
        <v/>
      </c>
      <c r="J731" s="29" t="inlineStr">
        <is>
          <t>西狮海壬</t>
        </is>
      </c>
      <c r="K731" s="29">
        <f>F731</f>
        <v/>
      </c>
    </row>
    <row r="732">
      <c r="A732" s="29">
        <f>CONCATENATE("NAME_PkMn_", UPPER(B732))</f>
        <v/>
      </c>
      <c r="B732" s="29" t="inlineStr">
        <is>
          <t>Pikipek</t>
        </is>
      </c>
      <c r="C732" s="29" t="inlineStr">
        <is>
          <t>ツツケラ</t>
        </is>
      </c>
      <c r="D732" s="29" t="inlineStr">
        <is>
          <t>Picassaut</t>
        </is>
      </c>
      <c r="E732" s="29" t="inlineStr">
        <is>
          <t>Peppeck</t>
        </is>
      </c>
      <c r="F732" s="29">
        <f>B732</f>
        <v/>
      </c>
      <c r="G732" s="29">
        <f>B732</f>
        <v/>
      </c>
      <c r="H732" s="29" t="inlineStr">
        <is>
          <t>콕코구리</t>
        </is>
      </c>
      <c r="I732" s="29" t="inlineStr">
        <is>
          <t>小篤兒</t>
        </is>
      </c>
      <c r="J732" s="29">
        <f>IFERROR(__xludf.DUMMYFUNCTION("GOOGLETRANSLATE(I732,""zh_HANT"",""zh_HANS"")"),"小笃儿")</f>
        <v/>
      </c>
      <c r="K732" s="29">
        <f>F732</f>
        <v/>
      </c>
    </row>
    <row r="733">
      <c r="A733" s="29">
        <f>CONCATENATE("NAME_PkMn_", UPPER(B733))</f>
        <v/>
      </c>
      <c r="B733" s="29" t="inlineStr">
        <is>
          <t>Trumbeak</t>
        </is>
      </c>
      <c r="C733" s="29" t="inlineStr">
        <is>
          <t>ケララッパ</t>
        </is>
      </c>
      <c r="D733" s="29" t="inlineStr">
        <is>
          <t>Piclairon</t>
        </is>
      </c>
      <c r="E733" s="29" t="inlineStr">
        <is>
          <t>Trompeck</t>
        </is>
      </c>
      <c r="F733" s="29">
        <f>B733</f>
        <v/>
      </c>
      <c r="G733" s="29">
        <f>B733</f>
        <v/>
      </c>
      <c r="H733" s="29" t="inlineStr">
        <is>
          <t>크라파</t>
        </is>
      </c>
      <c r="I733" s="29" t="inlineStr">
        <is>
          <t>喇叭啄鳥</t>
        </is>
      </c>
      <c r="J733" s="29">
        <f>IFERROR(__xludf.DUMMYFUNCTION("GOOGLETRANSLATE(I733,""zh_HANT"",""zh_HANS"")"),"喇叭啄鸟")</f>
        <v/>
      </c>
      <c r="K733" s="29">
        <f>F733</f>
        <v/>
      </c>
    </row>
    <row r="734">
      <c r="A734" s="29">
        <f>CONCATENATE("NAME_PkMn_", UPPER(B734))</f>
        <v/>
      </c>
      <c r="B734" s="29" t="inlineStr">
        <is>
          <t>Toucannon</t>
        </is>
      </c>
      <c r="C734" s="29" t="inlineStr">
        <is>
          <t>ドデカバシ</t>
        </is>
      </c>
      <c r="D734" s="29" t="inlineStr">
        <is>
          <t>Bazoukan</t>
        </is>
      </c>
      <c r="E734" s="29" t="inlineStr">
        <is>
          <t>Tukanon</t>
        </is>
      </c>
      <c r="F734" s="29">
        <f>B734</f>
        <v/>
      </c>
      <c r="G734" s="29">
        <f>B734</f>
        <v/>
      </c>
      <c r="H734" s="29" t="inlineStr">
        <is>
          <t>왕큰부리</t>
        </is>
      </c>
      <c r="I734" s="29" t="inlineStr">
        <is>
          <t>銃嘴大鳥</t>
        </is>
      </c>
      <c r="J734" s="29">
        <f>IFERROR(__xludf.DUMMYFUNCTION("GOOGLETRANSLATE(I734,""zh_HANT"",""zh_HANS"")"),"铳嘴大鸟")</f>
        <v/>
      </c>
      <c r="K734" s="29">
        <f>F734</f>
        <v/>
      </c>
    </row>
    <row r="735">
      <c r="A735" s="29">
        <f>CONCATENATE("NAME_PkMn_", UPPER(B735))</f>
        <v/>
      </c>
      <c r="B735" s="29" t="inlineStr">
        <is>
          <t>Yungoos</t>
        </is>
      </c>
      <c r="C735" s="29" t="inlineStr">
        <is>
          <t>ヤングース</t>
        </is>
      </c>
      <c r="D735" s="29" t="inlineStr">
        <is>
          <t>Manglouton</t>
        </is>
      </c>
      <c r="E735" s="29" t="inlineStr">
        <is>
          <t>Mangunior</t>
        </is>
      </c>
      <c r="F735" s="29">
        <f>B735</f>
        <v/>
      </c>
      <c r="G735" s="29">
        <f>B735</f>
        <v/>
      </c>
      <c r="H735" s="29" t="inlineStr">
        <is>
          <t>영구스</t>
        </is>
      </c>
      <c r="I735" s="29" t="inlineStr">
        <is>
          <t>貓鼬少</t>
        </is>
      </c>
      <c r="J735" s="29">
        <f>IFERROR(__xludf.DUMMYFUNCTION("GOOGLETRANSLATE(I735,""zh_HANT"",""zh_HANS"")"),"猫鼬少")</f>
        <v/>
      </c>
      <c r="K735" s="29">
        <f>F735</f>
        <v/>
      </c>
    </row>
    <row r="736">
      <c r="A736" s="29">
        <f>CONCATENATE("NAME_PkMn_", UPPER(B736))</f>
        <v/>
      </c>
      <c r="B736" s="29" t="inlineStr">
        <is>
          <t>Gumchoos</t>
        </is>
      </c>
      <c r="C736" s="29" t="inlineStr">
        <is>
          <t>デカグース</t>
        </is>
      </c>
      <c r="D736" s="29" t="inlineStr">
        <is>
          <t>Argouste</t>
        </is>
      </c>
      <c r="E736" s="29" t="inlineStr">
        <is>
          <t>Manguspektor</t>
        </is>
      </c>
      <c r="F736" s="29">
        <f>B736</f>
        <v/>
      </c>
      <c r="G736" s="29">
        <f>B736</f>
        <v/>
      </c>
      <c r="H736" s="29" t="inlineStr">
        <is>
          <t>형사구스</t>
        </is>
      </c>
      <c r="I736" s="29" t="inlineStr">
        <is>
          <t>貓鼬探長</t>
        </is>
      </c>
      <c r="J736" s="29">
        <f>IFERROR(__xludf.DUMMYFUNCTION("GOOGLETRANSLATE(I736,""zh_HANT"",""zh_HANS"")"),"猫鼬探长")</f>
        <v/>
      </c>
      <c r="K736" s="29">
        <f>F736</f>
        <v/>
      </c>
    </row>
    <row r="737">
      <c r="A737" s="29">
        <f>CONCATENATE("NAME_PkMn_", UPPER(B737))</f>
        <v/>
      </c>
      <c r="B737" s="29" t="inlineStr">
        <is>
          <t>Grubbin</t>
        </is>
      </c>
      <c r="C737" s="29" t="inlineStr">
        <is>
          <t>アゴジムシ</t>
        </is>
      </c>
      <c r="D737" s="29" t="inlineStr">
        <is>
          <t>Larvibule</t>
        </is>
      </c>
      <c r="E737" s="29" t="inlineStr">
        <is>
          <t>Mabula</t>
        </is>
      </c>
      <c r="F737" s="29">
        <f>B737</f>
        <v/>
      </c>
      <c r="G737" s="29">
        <f>B737</f>
        <v/>
      </c>
      <c r="H737" s="29" t="inlineStr">
        <is>
          <t>턱지충이</t>
        </is>
      </c>
      <c r="I737" s="29" t="inlineStr">
        <is>
          <t>強顎雞母蟲</t>
        </is>
      </c>
      <c r="J737" s="29">
        <f>IFERROR(__xludf.DUMMYFUNCTION("GOOGLETRANSLATE(I737,""zh_HANT"",""zh_HANS"")"),"强颚鸡母虫")</f>
        <v/>
      </c>
      <c r="K737" s="29">
        <f>F737</f>
        <v/>
      </c>
    </row>
    <row r="738">
      <c r="A738" s="29">
        <f>CONCATENATE("NAME_PkMn_", UPPER(B738))</f>
        <v/>
      </c>
      <c r="B738" s="29" t="inlineStr">
        <is>
          <t>Charjabug</t>
        </is>
      </c>
      <c r="C738" s="29" t="inlineStr">
        <is>
          <t>デンジムシ</t>
        </is>
      </c>
      <c r="D738" s="29" t="inlineStr">
        <is>
          <t>Chrysapile</t>
        </is>
      </c>
      <c r="E738" s="29" t="inlineStr">
        <is>
          <t>Akkup</t>
        </is>
      </c>
      <c r="F738" s="29">
        <f>B738</f>
        <v/>
      </c>
      <c r="G738" s="29">
        <f>B738</f>
        <v/>
      </c>
      <c r="H738" s="29" t="inlineStr">
        <is>
          <t>전지충이</t>
        </is>
      </c>
      <c r="I738" s="29" t="inlineStr">
        <is>
          <t>蟲電寶</t>
        </is>
      </c>
      <c r="J738" s="29">
        <f>IFERROR(__xludf.DUMMYFUNCTION("GOOGLETRANSLATE(I738,""zh_HANT"",""zh_HANS"")"),"虫电宝")</f>
        <v/>
      </c>
      <c r="K738" s="29">
        <f>F738</f>
        <v/>
      </c>
    </row>
    <row r="739">
      <c r="A739" s="29">
        <f>CONCATENATE("NAME_PkMn_", UPPER(B739))</f>
        <v/>
      </c>
      <c r="B739" s="29" t="inlineStr">
        <is>
          <t>Vikavolt</t>
        </is>
      </c>
      <c r="C739" s="29" t="inlineStr">
        <is>
          <t>クワガノン</t>
        </is>
      </c>
      <c r="D739" s="29" t="inlineStr">
        <is>
          <t>Lucanon</t>
        </is>
      </c>
      <c r="E739" s="29" t="inlineStr">
        <is>
          <t>Donarion</t>
        </is>
      </c>
      <c r="F739" s="29">
        <f>B739</f>
        <v/>
      </c>
      <c r="G739" s="29">
        <f>B739</f>
        <v/>
      </c>
      <c r="H739" s="29" t="inlineStr">
        <is>
          <t>투구뿌논</t>
        </is>
      </c>
      <c r="I739" s="29" t="inlineStr">
        <is>
          <t>鍬農炮蟲</t>
        </is>
      </c>
      <c r="J739" s="29">
        <f>IFERROR(__xludf.DUMMYFUNCTION("GOOGLETRANSLATE(I739,""zh_HANT"",""zh_HANS"")"),"锹农炮虫")</f>
        <v/>
      </c>
      <c r="K739" s="29">
        <f>F739</f>
        <v/>
      </c>
    </row>
    <row r="740">
      <c r="A740" s="29">
        <f>CONCATENATE("NAME_PkMn_", UPPER(B740))</f>
        <v/>
      </c>
      <c r="B740" s="29" t="inlineStr">
        <is>
          <t>Crabrawler</t>
        </is>
      </c>
      <c r="C740" s="29" t="inlineStr">
        <is>
          <t>マケンカニ</t>
        </is>
      </c>
      <c r="D740" s="29" t="inlineStr">
        <is>
          <t>Crabagarre</t>
        </is>
      </c>
      <c r="E740" s="29" t="inlineStr">
        <is>
          <t>Krabbox</t>
        </is>
      </c>
      <c r="F740" s="29">
        <f>B740</f>
        <v/>
      </c>
      <c r="G740" s="29">
        <f>B740</f>
        <v/>
      </c>
      <c r="H740" s="29" t="inlineStr">
        <is>
          <t>오기지게</t>
        </is>
      </c>
      <c r="I740" s="29" t="inlineStr">
        <is>
          <t>好勝蟹</t>
        </is>
      </c>
      <c r="J740" s="29">
        <f>IFERROR(__xludf.DUMMYFUNCTION("GOOGLETRANSLATE(I740,""zh_HANT"",""zh_HANS"")"),"好胜蟹")</f>
        <v/>
      </c>
      <c r="K740" s="29">
        <f>F740</f>
        <v/>
      </c>
    </row>
    <row r="741">
      <c r="A741" s="29">
        <f>CONCATENATE("NAME_PkMn_", UPPER(B741))</f>
        <v/>
      </c>
      <c r="B741" s="29" t="inlineStr">
        <is>
          <t>Crabominable</t>
        </is>
      </c>
      <c r="C741" s="29" t="inlineStr">
        <is>
          <t>ケケンカニ</t>
        </is>
      </c>
      <c r="D741" s="29">
        <f>B741</f>
        <v/>
      </c>
      <c r="E741" s="29" t="inlineStr">
        <is>
          <t>Krawell</t>
        </is>
      </c>
      <c r="F741" s="29">
        <f>B741</f>
        <v/>
      </c>
      <c r="G741" s="29">
        <f>B741</f>
        <v/>
      </c>
      <c r="H741" s="29" t="inlineStr">
        <is>
          <t>모단단게</t>
        </is>
      </c>
      <c r="I741" s="29" t="inlineStr">
        <is>
          <t>好勝毛蟹</t>
        </is>
      </c>
      <c r="J741" s="29">
        <f>IFERROR(__xludf.DUMMYFUNCTION("GOOGLETRANSLATE(I741,""zh_HANT"",""zh_HANS"")"),"好胜毛蟹")</f>
        <v/>
      </c>
      <c r="K741" s="29">
        <f>F741</f>
        <v/>
      </c>
    </row>
    <row r="742">
      <c r="A742" s="29">
        <f>CONCATENATE("NAME_PkMn_", UPPER(B742))</f>
        <v/>
      </c>
      <c r="B742" s="29" t="inlineStr">
        <is>
          <t>Oricorio</t>
        </is>
      </c>
      <c r="C742" s="29" t="inlineStr">
        <is>
          <t>オドリドリ</t>
        </is>
      </c>
      <c r="D742" s="29" t="inlineStr">
        <is>
          <t>Plumeline</t>
        </is>
      </c>
      <c r="E742" s="29" t="inlineStr">
        <is>
          <t>Choreogel</t>
        </is>
      </c>
      <c r="F742" s="29">
        <f>B742</f>
        <v/>
      </c>
      <c r="G742" s="29">
        <f>B742</f>
        <v/>
      </c>
      <c r="H742" s="29" t="inlineStr">
        <is>
          <t>춤추새</t>
        </is>
      </c>
      <c r="I742" s="29" t="inlineStr">
        <is>
          <t>花舞鳥</t>
        </is>
      </c>
      <c r="J742" s="29">
        <f>IFERROR(__xludf.DUMMYFUNCTION("GOOGLETRANSLATE(I742,""zh_HANT"",""zh_HANS"")"),"花舞鸟")</f>
        <v/>
      </c>
      <c r="K742" s="29">
        <f>F742</f>
        <v/>
      </c>
    </row>
    <row r="743">
      <c r="A743" s="29">
        <f>CONCATENATE("NAME_PkMn_", UPPER(B743))</f>
        <v/>
      </c>
      <c r="B743" s="29" t="inlineStr">
        <is>
          <t>Cutiefly</t>
        </is>
      </c>
      <c r="C743" s="29" t="inlineStr">
        <is>
          <t>アブリー</t>
        </is>
      </c>
      <c r="D743" s="29" t="inlineStr">
        <is>
          <t>Bombydou</t>
        </is>
      </c>
      <c r="E743" s="29" t="inlineStr">
        <is>
          <t>Wommel</t>
        </is>
      </c>
      <c r="F743" s="29">
        <f>B743</f>
        <v/>
      </c>
      <c r="G743" s="29">
        <f>B743</f>
        <v/>
      </c>
      <c r="H743" s="29" t="inlineStr">
        <is>
          <t>에블리</t>
        </is>
      </c>
      <c r="I743" s="29" t="inlineStr">
        <is>
          <t>萌虻</t>
        </is>
      </c>
      <c r="J743" s="29">
        <f>I743</f>
        <v/>
      </c>
      <c r="K743" s="29">
        <f>F743</f>
        <v/>
      </c>
    </row>
    <row r="744">
      <c r="A744" s="29">
        <f>CONCATENATE("NAME_PkMn_", UPPER(B744))</f>
        <v/>
      </c>
      <c r="B744" s="29" t="inlineStr">
        <is>
          <t>Ribombee</t>
        </is>
      </c>
      <c r="C744" s="29" t="inlineStr">
        <is>
          <t>アブリボン</t>
        </is>
      </c>
      <c r="D744" s="29" t="inlineStr">
        <is>
          <t>Rubombelle</t>
        </is>
      </c>
      <c r="E744" s="29" t="inlineStr">
        <is>
          <t>Bandelby</t>
        </is>
      </c>
      <c r="F744" s="29">
        <f>B744</f>
        <v/>
      </c>
      <c r="G744" s="29">
        <f>B744</f>
        <v/>
      </c>
      <c r="H744" s="29" t="inlineStr">
        <is>
          <t>에리본</t>
        </is>
      </c>
      <c r="I744" s="29" t="inlineStr">
        <is>
          <t>蝶結萌虻</t>
        </is>
      </c>
      <c r="J744" s="29">
        <f>IFERROR(__xludf.DUMMYFUNCTION("GOOGLETRANSLATE(I744,""zh_HANT"",""zh_HANS"")"),"蝶结萌虻")</f>
        <v/>
      </c>
      <c r="K744" s="29">
        <f>F744</f>
        <v/>
      </c>
    </row>
    <row r="745">
      <c r="A745" s="29">
        <f>CONCATENATE("NAME_PkMn_", UPPER(B745))</f>
        <v/>
      </c>
      <c r="B745" s="29" t="inlineStr">
        <is>
          <t>Rockruff</t>
        </is>
      </c>
      <c r="C745" s="29" t="inlineStr">
        <is>
          <t>イワンコ</t>
        </is>
      </c>
      <c r="D745" s="29" t="inlineStr">
        <is>
          <t>Rocabot</t>
        </is>
      </c>
      <c r="E745" s="29" t="inlineStr">
        <is>
          <t>Wufffels</t>
        </is>
      </c>
      <c r="F745" s="29">
        <f>B745</f>
        <v/>
      </c>
      <c r="G745" s="29">
        <f>B745</f>
        <v/>
      </c>
      <c r="H745" s="29" t="inlineStr">
        <is>
          <t>암멍이</t>
        </is>
      </c>
      <c r="I745" s="29" t="inlineStr">
        <is>
          <t>岩狗狗</t>
        </is>
      </c>
      <c r="J745" s="29">
        <f>I745</f>
        <v/>
      </c>
      <c r="K745" s="29">
        <f>F745</f>
        <v/>
      </c>
    </row>
    <row r="746">
      <c r="A746" s="29">
        <f>CONCATENATE("NAME_PkMn_", UPPER(B746))</f>
        <v/>
      </c>
      <c r="B746" s="29" t="inlineStr">
        <is>
          <t>Lycanroc</t>
        </is>
      </c>
      <c r="C746" s="29" t="inlineStr">
        <is>
          <t>ルガルガン</t>
        </is>
      </c>
      <c r="D746" s="29" t="inlineStr">
        <is>
          <t>Lougaroc</t>
        </is>
      </c>
      <c r="E746" s="29" t="inlineStr">
        <is>
          <t>Wolwerock</t>
        </is>
      </c>
      <c r="F746" s="29">
        <f>B746</f>
        <v/>
      </c>
      <c r="G746" s="29">
        <f>B746</f>
        <v/>
      </c>
      <c r="H746" s="29" t="inlineStr">
        <is>
          <t>루가루암</t>
        </is>
      </c>
      <c r="I746" s="29">
        <f>J746</f>
        <v/>
      </c>
      <c r="J746" s="29" t="inlineStr">
        <is>
          <t>鬃岩狼人</t>
        </is>
      </c>
      <c r="K746" s="29">
        <f>F746</f>
        <v/>
      </c>
    </row>
    <row r="747">
      <c r="A747" s="29">
        <f>CONCATENATE("NAME_PkMn_", UPPER(B747))</f>
        <v/>
      </c>
      <c r="B747" s="29" t="inlineStr">
        <is>
          <t>Wishiwashi</t>
        </is>
      </c>
      <c r="C747" s="29" t="inlineStr">
        <is>
          <t>ヨワシ</t>
        </is>
      </c>
      <c r="D747" s="29" t="inlineStr">
        <is>
          <t>Froussardine</t>
        </is>
      </c>
      <c r="E747" s="29" t="inlineStr">
        <is>
          <t>Lusardin</t>
        </is>
      </c>
      <c r="F747" s="29">
        <f>B747</f>
        <v/>
      </c>
      <c r="G747" s="29">
        <f>B747</f>
        <v/>
      </c>
      <c r="H747" s="29" t="inlineStr">
        <is>
          <t>약어리</t>
        </is>
      </c>
      <c r="I747" s="29" t="inlineStr">
        <is>
          <t>弱丁魚</t>
        </is>
      </c>
      <c r="J747" s="29">
        <f>IFERROR(__xludf.DUMMYFUNCTION("GOOGLETRANSLATE(I747,""zh_HANT"",""zh_HANS"")"),"弱丁鱼")</f>
        <v/>
      </c>
      <c r="K747" s="29">
        <f>F747</f>
        <v/>
      </c>
    </row>
    <row r="748">
      <c r="A748" s="29">
        <f>CONCATENATE("NAME_PkMn_", UPPER(B748))</f>
        <v/>
      </c>
      <c r="B748" s="29" t="inlineStr">
        <is>
          <t>Mareanie</t>
        </is>
      </c>
      <c r="C748" s="29" t="inlineStr">
        <is>
          <t>ヒドイデ</t>
        </is>
      </c>
      <c r="D748" s="29" t="inlineStr">
        <is>
          <t>Vorastérie</t>
        </is>
      </c>
      <c r="E748" s="29" t="inlineStr">
        <is>
          <t>Garstella</t>
        </is>
      </c>
      <c r="F748" s="29">
        <f>B748</f>
        <v/>
      </c>
      <c r="G748" s="29">
        <f>B748</f>
        <v/>
      </c>
      <c r="H748" s="29" t="inlineStr">
        <is>
          <t>시마사리</t>
        </is>
      </c>
      <c r="I748" s="29" t="inlineStr">
        <is>
          <t>好壞星</t>
        </is>
      </c>
      <c r="J748" s="29">
        <f>IFERROR(__xludf.DUMMYFUNCTION("GOOGLETRANSLATE(I748,""zh_HANT"",""zh_HANS"")"),"好坏星")</f>
        <v/>
      </c>
      <c r="K748" s="29">
        <f>F748</f>
        <v/>
      </c>
    </row>
    <row r="749">
      <c r="A749" s="29">
        <f>CONCATENATE("NAME_PkMn_", UPPER(B749))</f>
        <v/>
      </c>
      <c r="B749" s="29" t="inlineStr">
        <is>
          <t>Toxapex</t>
        </is>
      </c>
      <c r="C749" s="29" t="inlineStr">
        <is>
          <t>ドヒドイデ</t>
        </is>
      </c>
      <c r="D749" s="29" t="inlineStr">
        <is>
          <t>Prédastérie</t>
        </is>
      </c>
      <c r="E749" s="29" t="inlineStr">
        <is>
          <t>Aggrostella</t>
        </is>
      </c>
      <c r="F749" s="29">
        <f>B749</f>
        <v/>
      </c>
      <c r="G749" s="29">
        <f>B749</f>
        <v/>
      </c>
      <c r="H749" s="29" t="inlineStr">
        <is>
          <t>더시마사리</t>
        </is>
      </c>
      <c r="I749" s="29" t="inlineStr">
        <is>
          <t>超壞星</t>
        </is>
      </c>
      <c r="J749" s="29">
        <f>IFERROR(__xludf.DUMMYFUNCTION("GOOGLETRANSLATE(I749,""zh_HANT"",""zh_HANS"")"),"超坏星")</f>
        <v/>
      </c>
      <c r="K749" s="29">
        <f>F749</f>
        <v/>
      </c>
    </row>
    <row r="750">
      <c r="A750" s="29">
        <f>CONCATENATE("NAME_PkMn_", UPPER(B750))</f>
        <v/>
      </c>
      <c r="B750" s="29" t="inlineStr">
        <is>
          <t>Mudbray</t>
        </is>
      </c>
      <c r="C750" s="29" t="inlineStr">
        <is>
          <t>ドロバンコ</t>
        </is>
      </c>
      <c r="D750" s="29" t="inlineStr">
        <is>
          <t>Tiboudet</t>
        </is>
      </c>
      <c r="E750" s="29" t="inlineStr">
        <is>
          <t>Pampuli</t>
        </is>
      </c>
      <c r="F750" s="29">
        <f>B750</f>
        <v/>
      </c>
      <c r="G750" s="29">
        <f>B750</f>
        <v/>
      </c>
      <c r="H750" s="29" t="inlineStr">
        <is>
          <t>머드나기</t>
        </is>
      </c>
      <c r="I750" s="29" t="inlineStr">
        <is>
          <t>泥驢仔</t>
        </is>
      </c>
      <c r="J750" s="29">
        <f>IFERROR(__xludf.DUMMYFUNCTION("GOOGLETRANSLATE(I750,""zh_HANT"",""zh_HANS"")"),"泥驴仔")</f>
        <v/>
      </c>
      <c r="K750" s="29">
        <f>F750</f>
        <v/>
      </c>
    </row>
    <row r="751">
      <c r="A751" s="29">
        <f>CONCATENATE("NAME_PkMn_", UPPER(B751))</f>
        <v/>
      </c>
      <c r="B751" s="29" t="inlineStr">
        <is>
          <t>Mudsdale</t>
        </is>
      </c>
      <c r="C751" s="29" t="inlineStr">
        <is>
          <t>バンバドロ</t>
        </is>
      </c>
      <c r="D751" s="29" t="inlineStr">
        <is>
          <t>Bourrinos</t>
        </is>
      </c>
      <c r="E751" s="29" t="inlineStr">
        <is>
          <t>Pampross</t>
        </is>
      </c>
      <c r="F751" s="29">
        <f>B751</f>
        <v/>
      </c>
      <c r="G751" s="29">
        <f>B751</f>
        <v/>
      </c>
      <c r="H751" s="29" t="inlineStr">
        <is>
          <t>만마드</t>
        </is>
      </c>
      <c r="I751" s="29" t="inlineStr">
        <is>
          <t>重泥挽馬</t>
        </is>
      </c>
      <c r="J751" s="29">
        <f>IFERROR(__xludf.DUMMYFUNCTION("GOOGLETRANSLATE(I751,""zh_HANT"",""zh_HANS"")"),"重泥挽马")</f>
        <v/>
      </c>
      <c r="K751" s="29">
        <f>F751</f>
        <v/>
      </c>
    </row>
    <row r="752">
      <c r="A752" s="29">
        <f>CONCATENATE("NAME_PkMn_", UPPER(B752))</f>
        <v/>
      </c>
      <c r="B752" s="29" t="inlineStr">
        <is>
          <t>Dewpider</t>
        </is>
      </c>
      <c r="C752" s="29" t="inlineStr">
        <is>
          <t>シズクモ</t>
        </is>
      </c>
      <c r="D752" s="29" t="inlineStr">
        <is>
          <t>Araqua</t>
        </is>
      </c>
      <c r="E752" s="29">
        <f>D752</f>
        <v/>
      </c>
      <c r="F752" s="29">
        <f>B752</f>
        <v/>
      </c>
      <c r="G752" s="29">
        <f>B752</f>
        <v/>
      </c>
      <c r="H752" s="29" t="inlineStr">
        <is>
          <t>물거미</t>
        </is>
      </c>
      <c r="I752" s="29" t="inlineStr">
        <is>
          <t>滴蛛</t>
        </is>
      </c>
      <c r="J752" s="29">
        <f>I752</f>
        <v/>
      </c>
      <c r="K752" s="29">
        <f>F752</f>
        <v/>
      </c>
    </row>
    <row r="753">
      <c r="A753" s="29">
        <f>CONCATENATE("NAME_PkMn_", UPPER(B753))</f>
        <v/>
      </c>
      <c r="B753" s="29" t="inlineStr">
        <is>
          <t>Araquanid</t>
        </is>
      </c>
      <c r="C753" s="29" t="inlineStr">
        <is>
          <t>オニシズクモ</t>
        </is>
      </c>
      <c r="D753" s="29" t="inlineStr">
        <is>
          <t>Tarembulle</t>
        </is>
      </c>
      <c r="E753" s="29" t="inlineStr">
        <is>
          <t>Aranestro</t>
        </is>
      </c>
      <c r="F753" s="29">
        <f>B753</f>
        <v/>
      </c>
      <c r="G753" s="29">
        <f>B753</f>
        <v/>
      </c>
      <c r="H753" s="29" t="inlineStr">
        <is>
          <t>깨비물거미</t>
        </is>
      </c>
      <c r="I753" s="29" t="inlineStr">
        <is>
          <t>滴蛛霸</t>
        </is>
      </c>
      <c r="J753" s="29">
        <f>I753</f>
        <v/>
      </c>
      <c r="K753" s="29">
        <f>F753</f>
        <v/>
      </c>
    </row>
    <row r="754">
      <c r="A754" s="29">
        <f>CONCATENATE("NAME_PkMn_", UPPER(B754))</f>
        <v/>
      </c>
      <c r="B754" s="29" t="inlineStr">
        <is>
          <t>Fomantis</t>
        </is>
      </c>
      <c r="C754" s="29" t="inlineStr">
        <is>
          <t>カリキリ</t>
        </is>
      </c>
      <c r="D754" s="29" t="inlineStr">
        <is>
          <t>Mimantis</t>
        </is>
      </c>
      <c r="E754" s="29" t="inlineStr">
        <is>
          <t>Imantis</t>
        </is>
      </c>
      <c r="F754" s="29">
        <f>B754</f>
        <v/>
      </c>
      <c r="G754" s="29">
        <f>B754</f>
        <v/>
      </c>
      <c r="H754" s="29" t="inlineStr">
        <is>
          <t>짜랑랑</t>
        </is>
      </c>
      <c r="I754" s="29" t="inlineStr">
        <is>
          <t>偽螳草</t>
        </is>
      </c>
      <c r="J754" s="29">
        <f>IFERROR(__xludf.DUMMYFUNCTION("GOOGLETRANSLATE(I754,""zh_HANT"",""zh_HANS"")"),"伪螳草")</f>
        <v/>
      </c>
      <c r="K754" s="29">
        <f>F754</f>
        <v/>
      </c>
    </row>
    <row r="755">
      <c r="A755" s="29">
        <f>CONCATENATE("NAME_PkMn_", UPPER(B755))</f>
        <v/>
      </c>
      <c r="B755" s="29" t="inlineStr">
        <is>
          <t>Lurantis</t>
        </is>
      </c>
      <c r="C755" s="29" t="inlineStr">
        <is>
          <t>ラランテス</t>
        </is>
      </c>
      <c r="D755" s="29" t="inlineStr">
        <is>
          <t>Floramantis</t>
        </is>
      </c>
      <c r="E755" s="29" t="inlineStr">
        <is>
          <t>Mantidea</t>
        </is>
      </c>
      <c r="F755" s="29">
        <f>B755</f>
        <v/>
      </c>
      <c r="G755" s="29">
        <f>B755</f>
        <v/>
      </c>
      <c r="H755" s="29" t="inlineStr">
        <is>
          <t>라란티스</t>
        </is>
      </c>
      <c r="I755" s="29" t="inlineStr">
        <is>
          <t>蘭螳花</t>
        </is>
      </c>
      <c r="J755" s="29">
        <f>IFERROR(__xludf.DUMMYFUNCTION("GOOGLETRANSLATE(I755,""zh_HANT"",""zh_HANS"")"),"兰螳花")</f>
        <v/>
      </c>
      <c r="K755" s="29">
        <f>F755</f>
        <v/>
      </c>
    </row>
    <row r="756">
      <c r="A756" s="29">
        <f>CONCATENATE("NAME_PkMn_", UPPER(B756))</f>
        <v/>
      </c>
      <c r="B756" s="29" t="inlineStr">
        <is>
          <t>Morelull</t>
        </is>
      </c>
      <c r="C756" s="29" t="inlineStr">
        <is>
          <t>ネマシュ</t>
        </is>
      </c>
      <c r="D756" s="29" t="inlineStr">
        <is>
          <t>Spododo</t>
        </is>
      </c>
      <c r="E756" s="29" t="inlineStr">
        <is>
          <t>Bubungus</t>
        </is>
      </c>
      <c r="F756" s="29">
        <f>B756</f>
        <v/>
      </c>
      <c r="G756" s="29">
        <f>B756</f>
        <v/>
      </c>
      <c r="H756" s="29" t="inlineStr">
        <is>
          <t>자마슈</t>
        </is>
      </c>
      <c r="I756" s="29" t="inlineStr">
        <is>
          <t>睡睡菇</t>
        </is>
      </c>
      <c r="J756" s="29">
        <f>I756</f>
        <v/>
      </c>
      <c r="K756" s="29">
        <f>F756</f>
        <v/>
      </c>
    </row>
    <row r="757">
      <c r="A757" s="29">
        <f>CONCATENATE("NAME_PkMn_", UPPER(B757))</f>
        <v/>
      </c>
      <c r="B757" s="29" t="inlineStr">
        <is>
          <t>Shiinotic</t>
        </is>
      </c>
      <c r="C757" s="29" t="inlineStr">
        <is>
          <t>マシェード</t>
        </is>
      </c>
      <c r="D757" s="29" t="inlineStr">
        <is>
          <t>Lampignon</t>
        </is>
      </c>
      <c r="E757" s="29" t="inlineStr">
        <is>
          <t>Lamellux</t>
        </is>
      </c>
      <c r="F757" s="29">
        <f>B757</f>
        <v/>
      </c>
      <c r="G757" s="29">
        <f>B757</f>
        <v/>
      </c>
      <c r="H757" s="29" t="inlineStr">
        <is>
          <t>마셰이드</t>
        </is>
      </c>
      <c r="I757" s="29" t="inlineStr">
        <is>
          <t>燈罩夜菇</t>
        </is>
      </c>
      <c r="J757" s="29">
        <f>IFERROR(__xludf.DUMMYFUNCTION("GOOGLETRANSLATE(I757,""zh_HANT"",""zh_HANS"")"),"灯罩夜菇")</f>
        <v/>
      </c>
      <c r="K757" s="29">
        <f>F757</f>
        <v/>
      </c>
    </row>
    <row r="758">
      <c r="A758" s="29">
        <f>CONCATENATE("NAME_PkMn_", UPPER(B758))</f>
        <v/>
      </c>
      <c r="B758" s="29" t="inlineStr">
        <is>
          <t>Salandit</t>
        </is>
      </c>
      <c r="C758" s="29" t="inlineStr">
        <is>
          <t>ヤトウモリ</t>
        </is>
      </c>
      <c r="D758" s="29" t="inlineStr">
        <is>
          <t>Tritox</t>
        </is>
      </c>
      <c r="E758" s="29" t="inlineStr">
        <is>
          <t>Molunk</t>
        </is>
      </c>
      <c r="F758" s="29">
        <f>B758</f>
        <v/>
      </c>
      <c r="G758" s="29">
        <f>B758</f>
        <v/>
      </c>
      <c r="H758" s="29" t="inlineStr">
        <is>
          <t>야도뇽</t>
        </is>
      </c>
      <c r="I758" s="29" t="inlineStr">
        <is>
          <t>夜盜火蜥</t>
        </is>
      </c>
      <c r="J758" s="29">
        <f>I758</f>
        <v/>
      </c>
      <c r="K758" s="29">
        <f>F758</f>
        <v/>
      </c>
    </row>
    <row r="759">
      <c r="A759" s="29">
        <f>CONCATENATE("NAME_PkMn_", UPPER(B759))</f>
        <v/>
      </c>
      <c r="B759" s="29" t="inlineStr">
        <is>
          <t>Salazzle</t>
        </is>
      </c>
      <c r="C759" s="29" t="inlineStr">
        <is>
          <t>エンニュート</t>
        </is>
      </c>
      <c r="D759" s="29" t="inlineStr">
        <is>
          <t>Malamandre</t>
        </is>
      </c>
      <c r="E759" s="29" t="inlineStr">
        <is>
          <t>Amfira</t>
        </is>
      </c>
      <c r="F759" s="29">
        <f>B759</f>
        <v/>
      </c>
      <c r="G759" s="29">
        <f>B759</f>
        <v/>
      </c>
      <c r="H759" s="29" t="inlineStr">
        <is>
          <t>염뉴트</t>
        </is>
      </c>
      <c r="I759" s="29" t="inlineStr">
        <is>
          <t>焰后蜥</t>
        </is>
      </c>
      <c r="J759" s="29">
        <f>I759</f>
        <v/>
      </c>
      <c r="K759" s="29">
        <f>F759</f>
        <v/>
      </c>
    </row>
    <row r="760">
      <c r="A760" s="29">
        <f>CONCATENATE("NAME_PkMn_", UPPER(B760))</f>
        <v/>
      </c>
      <c r="B760" s="29" t="inlineStr">
        <is>
          <t>Stufful</t>
        </is>
      </c>
      <c r="C760" s="29" t="inlineStr">
        <is>
          <t>ヌイコグマ</t>
        </is>
      </c>
      <c r="D760" s="29" t="inlineStr">
        <is>
          <t>Nounourson</t>
        </is>
      </c>
      <c r="E760" s="29" t="inlineStr">
        <is>
          <t>Velirsi</t>
        </is>
      </c>
      <c r="F760" s="29">
        <f>B760</f>
        <v/>
      </c>
      <c r="G760" s="29">
        <f>B760</f>
        <v/>
      </c>
      <c r="H760" s="29" t="inlineStr">
        <is>
          <t>포곰곰</t>
        </is>
      </c>
      <c r="I760" s="29" t="inlineStr">
        <is>
          <t>童偶熊</t>
        </is>
      </c>
      <c r="J760" s="29">
        <f>I760</f>
        <v/>
      </c>
      <c r="K760" s="29">
        <f>F760</f>
        <v/>
      </c>
    </row>
    <row r="761">
      <c r="A761" s="29">
        <f>CONCATENATE("NAME_PkMn_", UPPER(B761))</f>
        <v/>
      </c>
      <c r="B761" s="29" t="inlineStr">
        <is>
          <t>Bewear</t>
        </is>
      </c>
      <c r="C761" s="29" t="inlineStr">
        <is>
          <t>キテルグマ</t>
        </is>
      </c>
      <c r="D761" s="29" t="inlineStr">
        <is>
          <t>Chelours</t>
        </is>
      </c>
      <c r="E761" s="29" t="inlineStr">
        <is>
          <t>Kosturso</t>
        </is>
      </c>
      <c r="F761" s="29">
        <f>B761</f>
        <v/>
      </c>
      <c r="G761" s="29">
        <f>B761</f>
        <v/>
      </c>
      <c r="H761" s="29" t="inlineStr">
        <is>
          <t>이븐곰</t>
        </is>
      </c>
      <c r="I761" s="29" t="inlineStr">
        <is>
          <t>穿著熊</t>
        </is>
      </c>
      <c r="J761" s="29">
        <f>IFERROR(__xludf.DUMMYFUNCTION("GOOGLETRANSLATE(I761,""zh_HANT"",""zh_HANS"")"),"穿着熊")</f>
        <v/>
      </c>
      <c r="K761" s="29">
        <f>F761</f>
        <v/>
      </c>
    </row>
    <row r="762">
      <c r="A762" s="29">
        <f>CONCATENATE("NAME_PkMn_", UPPER(B762))</f>
        <v/>
      </c>
      <c r="B762" s="29" t="inlineStr">
        <is>
          <t>Bounsweet</t>
        </is>
      </c>
      <c r="C762" s="29" t="inlineStr">
        <is>
          <t>アマカジ</t>
        </is>
      </c>
      <c r="D762" s="29" t="inlineStr">
        <is>
          <t>Croquine</t>
        </is>
      </c>
      <c r="E762" s="29" t="inlineStr">
        <is>
          <t>Frubberl</t>
        </is>
      </c>
      <c r="F762" s="29">
        <f>B762</f>
        <v/>
      </c>
      <c r="G762" s="29">
        <f>B762</f>
        <v/>
      </c>
      <c r="H762" s="29" t="inlineStr">
        <is>
          <t>달콤아</t>
        </is>
      </c>
      <c r="I762" s="29" t="inlineStr">
        <is>
          <t>甜竹竹</t>
        </is>
      </c>
      <c r="J762" s="29">
        <f>I762</f>
        <v/>
      </c>
      <c r="K762" s="29">
        <f>F762</f>
        <v/>
      </c>
    </row>
    <row r="763">
      <c r="A763" s="29">
        <f>CONCATENATE("NAME_PkMn_", UPPER(B763))</f>
        <v/>
      </c>
      <c r="B763" s="29" t="inlineStr">
        <is>
          <t>Steenee</t>
        </is>
      </c>
      <c r="C763" s="29" t="inlineStr">
        <is>
          <t>アママイコ</t>
        </is>
      </c>
      <c r="D763" s="29" t="inlineStr">
        <is>
          <t>Candine</t>
        </is>
      </c>
      <c r="E763" s="29" t="inlineStr">
        <is>
          <t>Frubaila</t>
        </is>
      </c>
      <c r="F763" s="29">
        <f>B763</f>
        <v/>
      </c>
      <c r="G763" s="29">
        <f>B763</f>
        <v/>
      </c>
      <c r="H763" s="29" t="inlineStr">
        <is>
          <t>달무리나</t>
        </is>
      </c>
      <c r="I763" s="29" t="inlineStr">
        <is>
          <t>甜舞妮</t>
        </is>
      </c>
      <c r="J763" s="29">
        <f>I763</f>
        <v/>
      </c>
      <c r="K763" s="29">
        <f>F763</f>
        <v/>
      </c>
    </row>
    <row r="764">
      <c r="A764" s="29">
        <f>CONCATENATE("NAME_PkMn_", UPPER(B764))</f>
        <v/>
      </c>
      <c r="B764" s="29" t="inlineStr">
        <is>
          <t>Tsareena</t>
        </is>
      </c>
      <c r="C764" s="29" t="inlineStr">
        <is>
          <t>アマージョ</t>
        </is>
      </c>
      <c r="D764" s="29" t="inlineStr">
        <is>
          <t>Sucreine</t>
        </is>
      </c>
      <c r="E764" s="29" t="inlineStr">
        <is>
          <t>Fruyal</t>
        </is>
      </c>
      <c r="F764" s="29">
        <f>B764</f>
        <v/>
      </c>
      <c r="G764" s="29">
        <f>B764</f>
        <v/>
      </c>
      <c r="H764" s="29" t="inlineStr">
        <is>
          <t>달코퀸</t>
        </is>
      </c>
      <c r="I764" s="29" t="inlineStr">
        <is>
          <t>甜冷美后</t>
        </is>
      </c>
      <c r="J764" s="29">
        <f>I764</f>
        <v/>
      </c>
      <c r="K764" s="29">
        <f>F764</f>
        <v/>
      </c>
    </row>
    <row r="765">
      <c r="A765" s="29">
        <f>CONCATENATE("NAME_PkMn_", UPPER(B765))</f>
        <v/>
      </c>
      <c r="B765" s="29" t="inlineStr">
        <is>
          <t>Comfey</t>
        </is>
      </c>
      <c r="C765" s="29" t="inlineStr">
        <is>
          <t>キュワワー</t>
        </is>
      </c>
      <c r="D765" s="29" t="inlineStr">
        <is>
          <t>Guérilande</t>
        </is>
      </c>
      <c r="E765" s="29" t="inlineStr">
        <is>
          <t>Curelei</t>
        </is>
      </c>
      <c r="F765" s="29">
        <f>B765</f>
        <v/>
      </c>
      <c r="G765" s="29">
        <f>B765</f>
        <v/>
      </c>
      <c r="H765" s="29" t="inlineStr">
        <is>
          <t>큐아링</t>
        </is>
      </c>
      <c r="I765" s="29" t="inlineStr">
        <is>
          <t>花療環環</t>
        </is>
      </c>
      <c r="J765" s="29">
        <f>IFERROR(__xludf.DUMMYFUNCTION("GOOGLETRANSLATE(I765,""zh_HANT"",""zh_HANS"")"),"花疗环环")</f>
        <v/>
      </c>
      <c r="K765" s="29">
        <f>F765</f>
        <v/>
      </c>
    </row>
    <row r="766">
      <c r="A766" s="29">
        <f>CONCATENATE("NAME_PkMn_", UPPER(B766))</f>
        <v/>
      </c>
      <c r="B766" s="29" t="inlineStr">
        <is>
          <t>Oranguru</t>
        </is>
      </c>
      <c r="C766" s="29" t="inlineStr">
        <is>
          <t>ヤレユータン</t>
        </is>
      </c>
      <c r="D766" s="29" t="inlineStr">
        <is>
          <t>Gouroutan</t>
        </is>
      </c>
      <c r="E766" s="29" t="inlineStr">
        <is>
          <t>Kommandutan</t>
        </is>
      </c>
      <c r="F766" s="29">
        <f>B766</f>
        <v/>
      </c>
      <c r="G766" s="29">
        <f>B766</f>
        <v/>
      </c>
      <c r="H766" s="29" t="inlineStr">
        <is>
          <t>하랑우탄</t>
        </is>
      </c>
      <c r="I766" s="29" t="inlineStr">
        <is>
          <t>智揮猩</t>
        </is>
      </c>
      <c r="J766" s="29">
        <f>IFERROR(__xludf.DUMMYFUNCTION("GOOGLETRANSLATE(I766,""zh_HANT"",""zh_HANS"")"),"智挥猩")</f>
        <v/>
      </c>
      <c r="K766" s="29">
        <f>F766</f>
        <v/>
      </c>
    </row>
    <row r="767">
      <c r="A767" s="29">
        <f>CONCATENATE("NAME_PkMn_", UPPER(B767))</f>
        <v/>
      </c>
      <c r="B767" s="29" t="inlineStr">
        <is>
          <t>Passimian</t>
        </is>
      </c>
      <c r="C767" s="29" t="inlineStr">
        <is>
          <t>ナゲツケサル</t>
        </is>
      </c>
      <c r="D767" s="29" t="inlineStr">
        <is>
          <t>Quartermac</t>
        </is>
      </c>
      <c r="E767" s="29" t="inlineStr">
        <is>
          <t>Quartermak</t>
        </is>
      </c>
      <c r="F767" s="29">
        <f>B767</f>
        <v/>
      </c>
      <c r="G767" s="29">
        <f>B767</f>
        <v/>
      </c>
      <c r="H767" s="29" t="inlineStr">
        <is>
          <t>내던숭이</t>
        </is>
      </c>
      <c r="I767" s="29" t="inlineStr">
        <is>
          <t>投擲猴</t>
        </is>
      </c>
      <c r="J767" s="29">
        <f>IFERROR(__xludf.DUMMYFUNCTION("GOOGLETRANSLATE(I767,""zh_HANT"",""zh_HANS"")"),"投掷猴")</f>
        <v/>
      </c>
      <c r="K767" s="29">
        <f>F767</f>
        <v/>
      </c>
    </row>
    <row r="768">
      <c r="A768" s="29">
        <f>CONCATENATE("NAME_PkMn_", UPPER(B768))</f>
        <v/>
      </c>
      <c r="B768" s="29" t="inlineStr">
        <is>
          <t>Wimpod</t>
        </is>
      </c>
      <c r="C768" s="29" t="inlineStr">
        <is>
          <t>コソクムシ</t>
        </is>
      </c>
      <c r="D768" s="29" t="inlineStr">
        <is>
          <t>Sovkipou</t>
        </is>
      </c>
      <c r="E768" s="29" t="inlineStr">
        <is>
          <t>Reißlaus</t>
        </is>
      </c>
      <c r="F768" s="29">
        <f>B768</f>
        <v/>
      </c>
      <c r="G768" s="29">
        <f>B768</f>
        <v/>
      </c>
      <c r="H768" s="29" t="inlineStr">
        <is>
          <t>꼬시레</t>
        </is>
      </c>
      <c r="I768" s="29" t="inlineStr">
        <is>
          <t>膽小蟲</t>
        </is>
      </c>
      <c r="J768" s="29">
        <f>IFERROR(__xludf.DUMMYFUNCTION("GOOGLETRANSLATE(I768,""zh_HANT"",""zh_HANS"")"),"胆小虫")</f>
        <v/>
      </c>
      <c r="K768" s="29">
        <f>F768</f>
        <v/>
      </c>
    </row>
    <row r="769">
      <c r="A769" s="29">
        <f>CONCATENATE("NAME_PkMn_", UPPER(B769))</f>
        <v/>
      </c>
      <c r="B769" s="29" t="inlineStr">
        <is>
          <t>Golisopod</t>
        </is>
      </c>
      <c r="C769" s="29" t="inlineStr">
        <is>
          <t>グソクムシャ</t>
        </is>
      </c>
      <c r="D769" s="29" t="inlineStr">
        <is>
          <t>Sarmuraï</t>
        </is>
      </c>
      <c r="E769" s="29" t="inlineStr">
        <is>
          <t>Tectass</t>
        </is>
      </c>
      <c r="F769" s="29">
        <f>B769</f>
        <v/>
      </c>
      <c r="G769" s="29">
        <f>B769</f>
        <v/>
      </c>
      <c r="H769" s="29" t="inlineStr">
        <is>
          <t>갑주무사</t>
        </is>
      </c>
      <c r="I769" s="29" t="inlineStr">
        <is>
          <t>具甲武者</t>
        </is>
      </c>
      <c r="J769" s="29">
        <f>I769</f>
        <v/>
      </c>
      <c r="K769" s="29">
        <f>F769</f>
        <v/>
      </c>
    </row>
    <row r="770">
      <c r="A770" s="29">
        <f>CONCATENATE("NAME_PkMn_", UPPER(B770))</f>
        <v/>
      </c>
      <c r="B770" s="29" t="inlineStr">
        <is>
          <t>Sandygast</t>
        </is>
      </c>
      <c r="C770" s="29" t="inlineStr">
        <is>
          <t>スナバァ</t>
        </is>
      </c>
      <c r="D770" s="29" t="inlineStr">
        <is>
          <t>Bacabouh</t>
        </is>
      </c>
      <c r="E770" s="29" t="inlineStr">
        <is>
          <t>Sankabuh</t>
        </is>
      </c>
      <c r="F770" s="29">
        <f>B770</f>
        <v/>
      </c>
      <c r="G770" s="29">
        <f>B770</f>
        <v/>
      </c>
      <c r="H770" s="29" t="inlineStr">
        <is>
          <t>모래꿍</t>
        </is>
      </c>
      <c r="I770" s="29" t="inlineStr">
        <is>
          <t>沙丘娃</t>
        </is>
      </c>
      <c r="J770" s="29">
        <f>I770</f>
        <v/>
      </c>
      <c r="K770" s="29">
        <f>F770</f>
        <v/>
      </c>
    </row>
    <row r="771">
      <c r="A771" s="29">
        <f>CONCATENATE("NAME_PkMn_", UPPER(B771))</f>
        <v/>
      </c>
      <c r="B771" s="29" t="inlineStr">
        <is>
          <t>Palosand</t>
        </is>
      </c>
      <c r="C771" s="29" t="inlineStr">
        <is>
          <t>シロデスナ</t>
        </is>
      </c>
      <c r="D771" s="29" t="inlineStr">
        <is>
          <t>Trépassable</t>
        </is>
      </c>
      <c r="E771" s="29" t="inlineStr">
        <is>
          <t>Colossand</t>
        </is>
      </c>
      <c r="F771" s="29">
        <f>B771</f>
        <v/>
      </c>
      <c r="G771" s="29">
        <f>B771</f>
        <v/>
      </c>
      <c r="H771" s="29" t="inlineStr">
        <is>
          <t>모래성이당</t>
        </is>
      </c>
      <c r="I771" s="29" t="inlineStr">
        <is>
          <t>噬沙堡爺</t>
        </is>
      </c>
      <c r="J771" s="29">
        <f>I771</f>
        <v/>
      </c>
      <c r="K771" s="29">
        <f>F771</f>
        <v/>
      </c>
    </row>
    <row r="772">
      <c r="A772" s="29">
        <f>CONCATENATE("NAME_PkMn_", UPPER(B772))</f>
        <v/>
      </c>
      <c r="B772" s="29" t="inlineStr">
        <is>
          <t>Pyukumuku</t>
        </is>
      </c>
      <c r="C772" s="29" t="inlineStr">
        <is>
          <t>ナマコブシ</t>
        </is>
      </c>
      <c r="D772" s="29" t="inlineStr">
        <is>
          <t>Concombaffe</t>
        </is>
      </c>
      <c r="E772" s="29" t="inlineStr">
        <is>
          <t>Gufa</t>
        </is>
      </c>
      <c r="F772" s="29">
        <f>B772</f>
        <v/>
      </c>
      <c r="G772" s="29">
        <f>B772</f>
        <v/>
      </c>
      <c r="H772" s="29" t="inlineStr">
        <is>
          <t>해무기</t>
        </is>
      </c>
      <c r="I772" s="29" t="inlineStr">
        <is>
          <t>拳海參</t>
        </is>
      </c>
      <c r="J772" s="29">
        <f>IFERROR(__xludf.DUMMYFUNCTION("GOOGLETRANSLATE(I772,""zh_HANT"",""zh_HANS"")"),"拳海参")</f>
        <v/>
      </c>
      <c r="K772" s="29">
        <f>F772</f>
        <v/>
      </c>
    </row>
    <row r="773">
      <c r="A773" s="29" t="inlineStr">
        <is>
          <t>NAME_PkMn_TYPENULL</t>
        </is>
      </c>
      <c r="B773" s="29" t="inlineStr">
        <is>
          <t>Type: Null</t>
        </is>
      </c>
      <c r="C773" s="29" t="inlineStr">
        <is>
          <t>タイプ：ヌル</t>
        </is>
      </c>
      <c r="D773" s="29" t="inlineStr">
        <is>
          <t>Type:0</t>
        </is>
      </c>
      <c r="E773" s="29" t="inlineStr">
        <is>
          <t>Typ:Null</t>
        </is>
      </c>
      <c r="F773" s="29" t="inlineStr">
        <is>
          <t>Código Cero</t>
        </is>
      </c>
      <c r="G773" s="29" t="inlineStr">
        <is>
          <t>Tipo Zero</t>
        </is>
      </c>
      <c r="H773" s="29" t="inlineStr">
        <is>
          <t>타입：널</t>
        </is>
      </c>
      <c r="I773" s="4" t="inlineStr">
        <is>
          <t>屬性：空</t>
        </is>
      </c>
      <c r="J773" s="29">
        <f>IFERROR(__xludf.DUMMYFUNCTION("GOOGLETRANSLATE(I773,""zh_HANT"",""zh_HANS"")"),"属性：空")</f>
        <v/>
      </c>
      <c r="K773" s="29">
        <f>F773</f>
        <v/>
      </c>
    </row>
    <row r="774">
      <c r="A774" s="29">
        <f>CONCATENATE("NAME_PkMn_", UPPER(B774))</f>
        <v/>
      </c>
      <c r="B774" s="29" t="inlineStr">
        <is>
          <t>Silvally</t>
        </is>
      </c>
      <c r="C774" s="29" t="inlineStr">
        <is>
          <t>シルヴァヂィ</t>
        </is>
      </c>
      <c r="D774" s="29" t="inlineStr">
        <is>
          <t>Silvallié</t>
        </is>
      </c>
      <c r="E774" s="29" t="inlineStr">
        <is>
          <t>Amigento</t>
        </is>
      </c>
      <c r="F774" s="29">
        <f>B774</f>
        <v/>
      </c>
      <c r="G774" s="29">
        <f>B774</f>
        <v/>
      </c>
      <c r="H774" s="29" t="inlineStr">
        <is>
          <t>실버디</t>
        </is>
      </c>
      <c r="I774" s="29" t="inlineStr">
        <is>
          <t>銀伴戰獸</t>
        </is>
      </c>
      <c r="J774" s="29">
        <f>IFERROR(__xludf.DUMMYFUNCTION("GOOGLETRANSLATE(I774,""zh_HANT"",""zh_HANS"")"),"银伴战兽")</f>
        <v/>
      </c>
      <c r="K774" s="29">
        <f>F774</f>
        <v/>
      </c>
    </row>
    <row r="775">
      <c r="A775" s="29">
        <f>CONCATENATE("NAME_PkMn_", UPPER(B775))</f>
        <v/>
      </c>
      <c r="B775" s="29" t="inlineStr">
        <is>
          <t>Minior</t>
        </is>
      </c>
      <c r="C775" s="29" t="inlineStr">
        <is>
          <t>メテノ</t>
        </is>
      </c>
      <c r="D775" s="29" t="inlineStr">
        <is>
          <t>Météno</t>
        </is>
      </c>
      <c r="E775" s="29" t="inlineStr">
        <is>
          <t>Meteno</t>
        </is>
      </c>
      <c r="F775" s="29">
        <f>B775</f>
        <v/>
      </c>
      <c r="G775" s="29">
        <f>B775</f>
        <v/>
      </c>
      <c r="H775" s="29" t="inlineStr">
        <is>
          <t>메테노</t>
        </is>
      </c>
      <c r="I775" s="29" t="inlineStr">
        <is>
          <t>小隕星</t>
        </is>
      </c>
      <c r="J775" s="29">
        <f>IFERROR(__xludf.DUMMYFUNCTION("GOOGLETRANSLATE(I775,""zh_HANT"",""zh_HANS"")"),"小陨星")</f>
        <v/>
      </c>
      <c r="K775" s="29">
        <f>F775</f>
        <v/>
      </c>
    </row>
    <row r="776">
      <c r="A776" s="29">
        <f>CONCATENATE("NAME_PkMn_", UPPER(B776))</f>
        <v/>
      </c>
      <c r="B776" s="29" t="inlineStr">
        <is>
          <t>Komala</t>
        </is>
      </c>
      <c r="C776" s="29" t="inlineStr">
        <is>
          <t>ネッコアラ</t>
        </is>
      </c>
      <c r="D776" s="29" t="inlineStr">
        <is>
          <t>Dodoala</t>
        </is>
      </c>
      <c r="E776" s="29" t="inlineStr">
        <is>
          <t>Koaleul</t>
        </is>
      </c>
      <c r="F776" s="29">
        <f>B776</f>
        <v/>
      </c>
      <c r="G776" s="29">
        <f>B776</f>
        <v/>
      </c>
      <c r="H776" s="29" t="inlineStr">
        <is>
          <t>자말라</t>
        </is>
      </c>
      <c r="I776" s="29" t="inlineStr">
        <is>
          <t>樹枕尾熊</t>
        </is>
      </c>
      <c r="J776" s="29">
        <f>IFERROR(__xludf.DUMMYFUNCTION("GOOGLETRANSLATE(I776,""zh_HANT"",""zh_HANS"")"),"树枕尾熊")</f>
        <v/>
      </c>
      <c r="K776" s="29">
        <f>F776</f>
        <v/>
      </c>
    </row>
    <row r="777">
      <c r="A777" s="29">
        <f>CONCATENATE("NAME_PkMn_", UPPER(B777))</f>
        <v/>
      </c>
      <c r="B777" s="29" t="inlineStr">
        <is>
          <t>Turtonator</t>
        </is>
      </c>
      <c r="C777" s="29" t="inlineStr">
        <is>
          <t>バクガメス</t>
        </is>
      </c>
      <c r="D777" s="29" t="inlineStr">
        <is>
          <t>Boumata</t>
        </is>
      </c>
      <c r="E777" s="29">
        <f>B777</f>
        <v/>
      </c>
      <c r="F777" s="29">
        <f>B777</f>
        <v/>
      </c>
      <c r="G777" s="29">
        <f>B777</f>
        <v/>
      </c>
      <c r="H777" s="29" t="inlineStr">
        <is>
          <t>폭거북스</t>
        </is>
      </c>
      <c r="I777" s="29" t="inlineStr">
        <is>
          <t>爆焰龜獸</t>
        </is>
      </c>
      <c r="J777" s="29">
        <f>IFERROR(__xludf.DUMMYFUNCTION("GOOGLETRANSLATE(I777,""zh_HANT"",""zh_HANS"")"),"爆焰龟兽")</f>
        <v/>
      </c>
      <c r="K777" s="29">
        <f>F777</f>
        <v/>
      </c>
    </row>
    <row r="778">
      <c r="A778" s="29">
        <f>CONCATENATE("NAME_PkMn_", UPPER(B778))</f>
        <v/>
      </c>
      <c r="B778" s="29" t="inlineStr">
        <is>
          <t>Togedemaru</t>
        </is>
      </c>
      <c r="C778" s="29" t="inlineStr">
        <is>
          <t>トゲデマル</t>
        </is>
      </c>
      <c r="D778" s="29">
        <f>B778</f>
        <v/>
      </c>
      <c r="E778" s="29">
        <f>B778</f>
        <v/>
      </c>
      <c r="F778" s="29">
        <f>B778</f>
        <v/>
      </c>
      <c r="G778" s="29">
        <f>B778</f>
        <v/>
      </c>
      <c r="H778" s="29" t="inlineStr">
        <is>
          <t>토게데마루</t>
        </is>
      </c>
      <c r="I778" s="29" t="inlineStr">
        <is>
          <t>托戈德瑪爾</t>
        </is>
      </c>
      <c r="J778" s="29">
        <f>IFERROR(__xludf.DUMMYFUNCTION("GOOGLETRANSLATE(I778,""zh_HANT"",""zh_HANS"")"),"托戈德玛尔")</f>
        <v/>
      </c>
      <c r="K778" s="29">
        <f>F778</f>
        <v/>
      </c>
    </row>
    <row r="779">
      <c r="A779" s="29">
        <f>CONCATENATE("NAME_PkMn_", UPPER(B779))</f>
        <v/>
      </c>
      <c r="B779" s="29" t="inlineStr">
        <is>
          <t>Mimikyu</t>
        </is>
      </c>
      <c r="C779" s="29" t="inlineStr">
        <is>
          <t>ミミッキュ</t>
        </is>
      </c>
      <c r="D779" s="29" t="inlineStr">
        <is>
          <t>Mimiqui</t>
        </is>
      </c>
      <c r="E779" s="29" t="inlineStr">
        <is>
          <t>Mimigma</t>
        </is>
      </c>
      <c r="F779" s="29">
        <f>B779</f>
        <v/>
      </c>
      <c r="G779" s="29">
        <f>B779</f>
        <v/>
      </c>
      <c r="H779" s="29" t="inlineStr">
        <is>
          <t>따라큐</t>
        </is>
      </c>
      <c r="I779" s="29" t="inlineStr">
        <is>
          <t>謎擬Ｑ</t>
        </is>
      </c>
      <c r="J779" s="29" t="inlineStr">
        <is>
          <t>谜拟丘</t>
        </is>
      </c>
      <c r="K779" s="29">
        <f>F779</f>
        <v/>
      </c>
    </row>
    <row r="780">
      <c r="A780" s="29">
        <f>CONCATENATE("NAME_PkMn_", UPPER(B780))</f>
        <v/>
      </c>
      <c r="B780" s="29" t="inlineStr">
        <is>
          <t>Bruxish</t>
        </is>
      </c>
      <c r="C780" s="29" t="inlineStr">
        <is>
          <t>ハギギシリ</t>
        </is>
      </c>
      <c r="D780" s="29" t="inlineStr">
        <is>
          <t>Denticrisse</t>
        </is>
      </c>
      <c r="E780" s="29" t="inlineStr">
        <is>
          <t>Knirfish</t>
        </is>
      </c>
      <c r="F780" s="29">
        <f>B780</f>
        <v/>
      </c>
      <c r="G780" s="29">
        <f>B780</f>
        <v/>
      </c>
      <c r="H780" s="29" t="inlineStr">
        <is>
          <t>치갈기</t>
        </is>
      </c>
      <c r="I780" s="29" t="inlineStr">
        <is>
          <t>磨牙彩皮魚</t>
        </is>
      </c>
      <c r="J780" s="29">
        <f>IFERROR(__xludf.DUMMYFUNCTION("GOOGLETRANSLATE(I780,""zh_HANT"",""zh_HANS"")"),"磨牙彩皮鱼")</f>
        <v/>
      </c>
      <c r="K780" s="29">
        <f>F780</f>
        <v/>
      </c>
    </row>
    <row r="781">
      <c r="A781" s="29">
        <f>CONCATENATE("NAME_PkMn_", UPPER(B781))</f>
        <v/>
      </c>
      <c r="B781" s="29" t="inlineStr">
        <is>
          <t>Drampa</t>
        </is>
      </c>
      <c r="C781" s="29" t="inlineStr">
        <is>
          <t>ジジーロン</t>
        </is>
      </c>
      <c r="D781" s="29" t="inlineStr">
        <is>
          <t>Draïeul</t>
        </is>
      </c>
      <c r="E781" s="29" t="inlineStr">
        <is>
          <t>Sen-Long</t>
        </is>
      </c>
      <c r="F781" s="29">
        <f>B781</f>
        <v/>
      </c>
      <c r="G781" s="29">
        <f>B781</f>
        <v/>
      </c>
      <c r="H781" s="29" t="inlineStr">
        <is>
          <t>할비롱</t>
        </is>
      </c>
      <c r="I781" s="29" t="inlineStr">
        <is>
          <t>老翁龍</t>
        </is>
      </c>
      <c r="J781" s="29">
        <f>IFERROR(__xludf.DUMMYFUNCTION("GOOGLETRANSLATE(I781,""zh_HANT"",""zh_HANS"")"),"老翁龙")</f>
        <v/>
      </c>
      <c r="K781" s="29">
        <f>F781</f>
        <v/>
      </c>
    </row>
    <row r="782">
      <c r="A782" s="29">
        <f>CONCATENATE("NAME_PkMn_", UPPER(B782))</f>
        <v/>
      </c>
      <c r="B782" s="29" t="inlineStr">
        <is>
          <t>Dhelmise</t>
        </is>
      </c>
      <c r="C782" s="29" t="inlineStr">
        <is>
          <t>ダダリン</t>
        </is>
      </c>
      <c r="D782" s="29" t="inlineStr">
        <is>
          <t>Sinistrail</t>
        </is>
      </c>
      <c r="E782" s="29" t="inlineStr">
        <is>
          <t>Moruda</t>
        </is>
      </c>
      <c r="F782" s="29">
        <f>B782</f>
        <v/>
      </c>
      <c r="G782" s="29">
        <f>B782</f>
        <v/>
      </c>
      <c r="H782" s="29" t="inlineStr">
        <is>
          <t>타타륜</t>
        </is>
      </c>
      <c r="I782" s="29" t="inlineStr">
        <is>
          <t>破破舵輪</t>
        </is>
      </c>
      <c r="J782" s="29">
        <f>IFERROR(__xludf.DUMMYFUNCTION("GOOGLETRANSLATE(I782,""zh_HANT"",""zh_HANS"")"),"破破舵轮")</f>
        <v/>
      </c>
      <c r="K782" s="29">
        <f>F782</f>
        <v/>
      </c>
    </row>
    <row r="783">
      <c r="A783" s="29">
        <f>CONCATENATE("NAME_PkMn_", SUBSTITUTE(SUBSTITUTE(UPPER(B783), " ", ""), "-", ""))</f>
        <v/>
      </c>
      <c r="B783" s="29" t="inlineStr">
        <is>
          <t>Jangmo-o</t>
        </is>
      </c>
      <c r="C783" s="29" t="inlineStr">
        <is>
          <t>ジャラコ</t>
        </is>
      </c>
      <c r="D783" s="29" t="inlineStr">
        <is>
          <t>Bébécaille</t>
        </is>
      </c>
      <c r="E783" s="29" t="inlineStr">
        <is>
          <t>Miniras</t>
        </is>
      </c>
      <c r="F783" s="29">
        <f>B783</f>
        <v/>
      </c>
      <c r="G783" s="29">
        <f>B783</f>
        <v/>
      </c>
      <c r="H783" s="29" t="inlineStr">
        <is>
          <t>짜랑꼬</t>
        </is>
      </c>
      <c r="I783" s="29" t="inlineStr">
        <is>
          <t>心鱗寶</t>
        </is>
      </c>
      <c r="J783" s="29">
        <f>IFERROR(__xludf.DUMMYFUNCTION("GOOGLETRANSLATE(I783,""zh_HANT"",""zh_HANS"")"),"心鳞宝")</f>
        <v/>
      </c>
      <c r="K783" s="29">
        <f>F783</f>
        <v/>
      </c>
    </row>
    <row r="784">
      <c r="A784" s="29">
        <f>CONCATENATE("NAME_PkMn_", SUBSTITUTE(SUBSTITUTE(UPPER(B784), " ", ""), "-", ""))</f>
        <v/>
      </c>
      <c r="B784" s="29" t="inlineStr">
        <is>
          <t>Hakamo-o</t>
        </is>
      </c>
      <c r="C784" s="29" t="inlineStr">
        <is>
          <t>ジャランゴ</t>
        </is>
      </c>
      <c r="D784" s="29" t="inlineStr">
        <is>
          <t>Ékaïd</t>
        </is>
      </c>
      <c r="E784" s="29" t="inlineStr">
        <is>
          <t>Mediras</t>
        </is>
      </c>
      <c r="F784" s="29">
        <f>B784</f>
        <v/>
      </c>
      <c r="G784" s="29">
        <f>B784</f>
        <v/>
      </c>
      <c r="H784" s="29" t="inlineStr">
        <is>
          <t>짜랑고우거</t>
        </is>
      </c>
      <c r="I784" s="29" t="inlineStr">
        <is>
          <t>鱗甲龍</t>
        </is>
      </c>
      <c r="J784" s="29">
        <f>IFERROR(__xludf.DUMMYFUNCTION("GOOGLETRANSLATE(I784,""zh_HANT"",""zh_HANS"")"),"鳞甲龙")</f>
        <v/>
      </c>
      <c r="K784" s="29">
        <f>F784</f>
        <v/>
      </c>
    </row>
    <row r="785">
      <c r="A785" s="29">
        <f>CONCATENATE("NAME_PkMn_", SUBSTITUTE(SUBSTITUTE(UPPER(B785), " ", ""), "-", ""))</f>
        <v/>
      </c>
      <c r="B785" s="29" t="inlineStr">
        <is>
          <t>Kommo-o</t>
        </is>
      </c>
      <c r="C785" s="29" t="inlineStr">
        <is>
          <t>ジャラランガ</t>
        </is>
      </c>
      <c r="D785" s="29" t="inlineStr">
        <is>
          <t>Ékaiser</t>
        </is>
      </c>
      <c r="E785" s="29" t="inlineStr">
        <is>
          <t>Grandiras</t>
        </is>
      </c>
      <c r="F785" s="29">
        <f>B785</f>
        <v/>
      </c>
      <c r="G785" s="29">
        <f>B785</f>
        <v/>
      </c>
      <c r="H785" s="29" t="inlineStr">
        <is>
          <t>짜랑고우거</t>
        </is>
      </c>
      <c r="I785" s="29">
        <f>IFERROR(__xludf.DUMMYFUNCTION("GOOGLETRANSLATE(J785,""zh_HANS"",""zh_HANT"")"),"杖尾鱗甲龍")</f>
        <v/>
      </c>
      <c r="J785" s="29" t="inlineStr">
        <is>
          <t>杖尾鳞甲龙</t>
        </is>
      </c>
      <c r="K785" s="29">
        <f>F785</f>
        <v/>
      </c>
    </row>
    <row r="786">
      <c r="A786" s="29">
        <f>CONCATENATE("NAME_PkMn_", SUBSTITUTE(SUBSTITUTE(UPPER(B786), " ", ""), "-", ""))</f>
        <v/>
      </c>
      <c r="B786" s="29" t="inlineStr">
        <is>
          <t>Tapu Koko</t>
        </is>
      </c>
      <c r="C786" s="29" t="inlineStr">
        <is>
          <t>カプ・コケコ</t>
        </is>
      </c>
      <c r="D786" s="29" t="inlineStr">
        <is>
          <t>Tokoriko</t>
        </is>
      </c>
      <c r="E786" s="29" t="inlineStr">
        <is>
          <t>Kapu-Riki</t>
        </is>
      </c>
      <c r="F786" s="29">
        <f>B786</f>
        <v/>
      </c>
      <c r="G786" s="29">
        <f>B786</f>
        <v/>
      </c>
      <c r="H786" s="29" t="inlineStr">
        <is>
          <t>카푸꼬꼬꼭</t>
        </is>
      </c>
      <c r="I786" s="29" t="inlineStr">
        <is>
          <t>卡璞・鳴鳴</t>
        </is>
      </c>
      <c r="J786" s="29">
        <f>IFERROR(__xludf.DUMMYFUNCTION("GOOGLETRANSLATE(I786,""zh_HANT"",""zh_HANS"")"),"卡璞・鸣鸣")</f>
        <v/>
      </c>
      <c r="K786" s="29">
        <f>F786</f>
        <v/>
      </c>
    </row>
    <row r="787">
      <c r="A787" s="29">
        <f>CONCATENATE("NAME_PkMn_", SUBSTITUTE(SUBSTITUTE(UPPER(B787), " ", ""), "-", ""))</f>
        <v/>
      </c>
      <c r="B787" s="29" t="inlineStr">
        <is>
          <t>Tapu Lele</t>
        </is>
      </c>
      <c r="C787" s="9" t="inlineStr">
        <is>
          <t>カプ・テテフ</t>
        </is>
      </c>
      <c r="D787" s="29" t="inlineStr">
        <is>
          <t>Tokopiyon</t>
        </is>
      </c>
      <c r="E787" s="29" t="inlineStr">
        <is>
          <t>Kapu-Fala</t>
        </is>
      </c>
      <c r="F787" s="29">
        <f>B787</f>
        <v/>
      </c>
      <c r="G787" s="29">
        <f>B787</f>
        <v/>
      </c>
      <c r="H787" s="29" t="inlineStr">
        <is>
          <t>카푸나비나</t>
        </is>
      </c>
      <c r="I787" s="29" t="inlineStr">
        <is>
          <t>卡璞・蝶蝶</t>
        </is>
      </c>
      <c r="J787" s="29">
        <f>I787</f>
        <v/>
      </c>
      <c r="K787" s="29">
        <f>F787</f>
        <v/>
      </c>
    </row>
    <row r="788">
      <c r="A788" s="29">
        <f>CONCATENATE("NAME_PkMn_", SUBSTITUTE(SUBSTITUTE(UPPER(B788), " ", ""), "-", ""))</f>
        <v/>
      </c>
      <c r="B788" s="29" t="inlineStr">
        <is>
          <t>Tapu Bulu</t>
        </is>
      </c>
      <c r="C788" s="9" t="inlineStr">
        <is>
          <t>カプ・ブルル</t>
        </is>
      </c>
      <c r="D788" s="29" t="inlineStr">
        <is>
          <t>Tokotoro</t>
        </is>
      </c>
      <c r="E788" s="29" t="inlineStr">
        <is>
          <t>Kapu-Toro</t>
        </is>
      </c>
      <c r="F788" s="29">
        <f>B788</f>
        <v/>
      </c>
      <c r="G788" s="29">
        <f>B788</f>
        <v/>
      </c>
      <c r="H788" s="29" t="inlineStr">
        <is>
          <t>카푸브루루</t>
        </is>
      </c>
      <c r="I788" s="29" t="inlineStr">
        <is>
          <t>卡璞・哞哞</t>
        </is>
      </c>
      <c r="J788" s="29">
        <f>I788</f>
        <v/>
      </c>
      <c r="K788" s="29">
        <f>F788</f>
        <v/>
      </c>
    </row>
    <row r="789">
      <c r="A789" s="29">
        <f>CONCATENATE("NAME_PkMn_", SUBSTITUTE(SUBSTITUTE(UPPER(B789), " ", ""), "-", ""))</f>
        <v/>
      </c>
      <c r="B789" s="29" t="inlineStr">
        <is>
          <t>Tapu Fini</t>
        </is>
      </c>
      <c r="C789" s="9" t="inlineStr">
        <is>
          <t>カプ・レヒレ</t>
        </is>
      </c>
      <c r="D789" s="29" t="inlineStr">
        <is>
          <t>Tokopisco</t>
        </is>
      </c>
      <c r="E789" s="29" t="inlineStr">
        <is>
          <t>Kapu-Kime</t>
        </is>
      </c>
      <c r="F789" s="29">
        <f>B789</f>
        <v/>
      </c>
      <c r="G789" s="29">
        <f>B789</f>
        <v/>
      </c>
      <c r="H789" s="29" t="inlineStr">
        <is>
          <t>카푸느지느</t>
        </is>
      </c>
      <c r="I789" s="29" t="inlineStr">
        <is>
          <t>卡璞・鰭鰭</t>
        </is>
      </c>
      <c r="J789" s="29">
        <f>IFERROR(__xludf.DUMMYFUNCTION("GOOGLETRANSLATE(I789,""zh_HANT"",""zh_HANS"")"),"卡璞・鳍鳍")</f>
        <v/>
      </c>
      <c r="K789" s="29">
        <f>F789</f>
        <v/>
      </c>
    </row>
    <row r="790">
      <c r="A790" s="29">
        <f>CONCATENATE("NAME_PkMn_", UPPER(B790))</f>
        <v/>
      </c>
      <c r="B790" s="29" t="inlineStr">
        <is>
          <t>Cosmog</t>
        </is>
      </c>
      <c r="C790" s="29" t="inlineStr">
        <is>
          <t>コスモッグ</t>
        </is>
      </c>
      <c r="D790" s="29">
        <f>B790</f>
        <v/>
      </c>
      <c r="E790" s="29">
        <f>B790</f>
        <v/>
      </c>
      <c r="F790" s="29">
        <f>B790</f>
        <v/>
      </c>
      <c r="G790" s="29">
        <f>B790</f>
        <v/>
      </c>
      <c r="H790" s="29" t="inlineStr">
        <is>
          <t>코스모그</t>
        </is>
      </c>
      <c r="I790" s="29" t="inlineStr">
        <is>
          <t>科斯莫古</t>
        </is>
      </c>
      <c r="J790" s="29">
        <f>I790</f>
        <v/>
      </c>
      <c r="K790" s="29">
        <f>F790</f>
        <v/>
      </c>
    </row>
    <row r="791">
      <c r="A791" s="29">
        <f>CONCATENATE("NAME_PkMn_", UPPER(B791))</f>
        <v/>
      </c>
      <c r="B791" s="29" t="inlineStr">
        <is>
          <t>Cosmoem</t>
        </is>
      </c>
      <c r="C791" s="29" t="inlineStr">
        <is>
          <t>コスモウム</t>
        </is>
      </c>
      <c r="D791" s="29" t="inlineStr">
        <is>
          <t>Cosmovum</t>
        </is>
      </c>
      <c r="E791" s="29">
        <f>D791</f>
        <v/>
      </c>
      <c r="F791" s="29">
        <f>B791</f>
        <v/>
      </c>
      <c r="G791" s="29">
        <f>B791</f>
        <v/>
      </c>
      <c r="H791" s="29" t="inlineStr">
        <is>
          <t>코스모움</t>
        </is>
      </c>
      <c r="I791" s="29" t="inlineStr">
        <is>
          <t>科斯莫姆</t>
        </is>
      </c>
      <c r="J791" s="29">
        <f>I791</f>
        <v/>
      </c>
      <c r="K791" s="29">
        <f>F791</f>
        <v/>
      </c>
    </row>
    <row r="792">
      <c r="A792" s="29">
        <f>CONCATENATE("NAME_PkMn_", UPPER(B792))</f>
        <v/>
      </c>
      <c r="B792" s="29" t="inlineStr">
        <is>
          <t>Solgaleo</t>
        </is>
      </c>
      <c r="C792" s="29" t="inlineStr">
        <is>
          <t>ソルガレオ</t>
        </is>
      </c>
      <c r="D792" s="29">
        <f>B792</f>
        <v/>
      </c>
      <c r="E792" s="29">
        <f>B792</f>
        <v/>
      </c>
      <c r="F792" s="29">
        <f>B792</f>
        <v/>
      </c>
      <c r="G792" s="29">
        <f>B792</f>
        <v/>
      </c>
      <c r="H792" s="29" t="inlineStr">
        <is>
          <t>솔가레오</t>
        </is>
      </c>
      <c r="I792" s="29">
        <f>IFERROR(__xludf.DUMMYFUNCTION("GOOGLETRANSLATE(J792,""zh_HANS"",""zh_HANT"")"),"索爾迦雷歐")</f>
        <v/>
      </c>
      <c r="J792" s="29" t="inlineStr">
        <is>
          <t>索尔迦雷欧</t>
        </is>
      </c>
      <c r="K792" s="29">
        <f>F792</f>
        <v/>
      </c>
    </row>
    <row r="793">
      <c r="A793" s="29">
        <f>CONCATENATE("NAME_PkMn_", UPPER(B793))</f>
        <v/>
      </c>
      <c r="B793" s="29" t="inlineStr">
        <is>
          <t>Lunala</t>
        </is>
      </c>
      <c r="C793" s="29" t="inlineStr">
        <is>
          <t>ルナアーラ</t>
        </is>
      </c>
      <c r="D793" s="29">
        <f>B793</f>
        <v/>
      </c>
      <c r="E793" s="29">
        <f>B793</f>
        <v/>
      </c>
      <c r="F793" s="29">
        <f>B793</f>
        <v/>
      </c>
      <c r="G793" s="29">
        <f>B793</f>
        <v/>
      </c>
      <c r="H793" s="29" t="inlineStr">
        <is>
          <t>루나아라</t>
        </is>
      </c>
      <c r="I793" s="29">
        <f>J793</f>
        <v/>
      </c>
      <c r="J793" s="29" t="inlineStr">
        <is>
          <t>露奈雅拉</t>
        </is>
      </c>
      <c r="K793" s="29">
        <f>F793</f>
        <v/>
      </c>
    </row>
    <row r="794">
      <c r="A794" s="29">
        <f>CONCATENATE("NAME_PkMn_", UPPER(B794))</f>
        <v/>
      </c>
      <c r="B794" s="29" t="inlineStr">
        <is>
          <t>Nihilego</t>
        </is>
      </c>
      <c r="C794" s="29" t="inlineStr">
        <is>
          <t>ウツロイド</t>
        </is>
      </c>
      <c r="D794" s="29" t="inlineStr">
        <is>
          <t>Zeroïd</t>
        </is>
      </c>
      <c r="E794" s="29" t="inlineStr">
        <is>
          <t>Anego</t>
        </is>
      </c>
      <c r="F794" s="29">
        <f>B794</f>
        <v/>
      </c>
      <c r="G794" s="29">
        <f>B794</f>
        <v/>
      </c>
      <c r="H794" s="29" t="inlineStr">
        <is>
          <t>텅비드</t>
        </is>
      </c>
      <c r="I794" s="29" t="inlineStr">
        <is>
          <t>虛吾伊德</t>
        </is>
      </c>
      <c r="J794" s="29">
        <f>IFERROR(__xludf.DUMMYFUNCTION("GOOGLETRANSLATE(I794,""zh_HANT"",""zh_HANS"")"),"虚吾伊德")</f>
        <v/>
      </c>
      <c r="K794" s="29">
        <f>F794</f>
        <v/>
      </c>
    </row>
    <row r="795">
      <c r="A795" s="29">
        <f>CONCATENATE("NAME_PkMn_", UPPER(B795))</f>
        <v/>
      </c>
      <c r="B795" s="29" t="inlineStr">
        <is>
          <t>Buzzwole</t>
        </is>
      </c>
      <c r="C795" s="29" t="inlineStr">
        <is>
          <t>マッシブーン</t>
        </is>
      </c>
      <c r="D795" s="29" t="inlineStr">
        <is>
          <t>Mouscoto</t>
        </is>
      </c>
      <c r="E795" s="29" t="inlineStr">
        <is>
          <t>Masskito</t>
        </is>
      </c>
      <c r="F795" s="29">
        <f>B795</f>
        <v/>
      </c>
      <c r="G795" s="29">
        <f>B795</f>
        <v/>
      </c>
      <c r="H795" s="29" t="inlineStr">
        <is>
          <t>매시붕</t>
        </is>
      </c>
      <c r="I795" s="29" t="inlineStr">
        <is>
          <t>爆肌蚊</t>
        </is>
      </c>
      <c r="J795" s="29">
        <f>I795</f>
        <v/>
      </c>
      <c r="K795" s="29">
        <f>F795</f>
        <v/>
      </c>
    </row>
    <row r="796">
      <c r="A796" s="29">
        <f>CONCATENATE("NAME_PkMn_", UPPER(B796))</f>
        <v/>
      </c>
      <c r="B796" s="29" t="inlineStr">
        <is>
          <t>Pheromosa</t>
        </is>
      </c>
      <c r="C796" s="29" t="inlineStr">
        <is>
          <t>フェローチェ</t>
        </is>
      </c>
      <c r="D796" s="29" t="inlineStr">
        <is>
          <t>Cancrelove</t>
        </is>
      </c>
      <c r="E796" s="29" t="inlineStr">
        <is>
          <t>Schabelle</t>
        </is>
      </c>
      <c r="F796" s="29">
        <f>B796</f>
        <v/>
      </c>
      <c r="G796" s="29">
        <f>B796</f>
        <v/>
      </c>
      <c r="H796" s="29" t="inlineStr">
        <is>
          <t>페로코체</t>
        </is>
      </c>
      <c r="I796" s="29" t="inlineStr">
        <is>
          <t>費洛美螂</t>
        </is>
      </c>
      <c r="J796" s="29">
        <f>IFERROR(__xludf.DUMMYFUNCTION("GOOGLETRANSLATE(I796,""zh_HANT"",""zh_HANS"")"),"费洛美螂")</f>
        <v/>
      </c>
      <c r="K796" s="29">
        <f>F796</f>
        <v/>
      </c>
    </row>
    <row r="797">
      <c r="A797" s="29">
        <f>CONCATENATE("NAME_PkMn_", UPPER(B797))</f>
        <v/>
      </c>
      <c r="B797" s="29" t="inlineStr">
        <is>
          <t>Xurkitree</t>
        </is>
      </c>
      <c r="C797" s="29" t="inlineStr">
        <is>
          <t>デンジュモク</t>
        </is>
      </c>
      <c r="D797" s="29" t="inlineStr">
        <is>
          <t>Câblifère</t>
        </is>
      </c>
      <c r="E797" s="29" t="inlineStr">
        <is>
          <t>Voltriant</t>
        </is>
      </c>
      <c r="F797" s="29">
        <f>B797</f>
        <v/>
      </c>
      <c r="G797" s="29">
        <f>B797</f>
        <v/>
      </c>
      <c r="H797" s="29" t="inlineStr">
        <is>
          <t>전수목</t>
        </is>
      </c>
      <c r="I797" s="29" t="inlineStr">
        <is>
          <t>電束木</t>
        </is>
      </c>
      <c r="J797" s="29">
        <f>IFERROR(__xludf.DUMMYFUNCTION("GOOGLETRANSLATE(I797,""zh_HANT"",""zh_HANS"")"),"电束木")</f>
        <v/>
      </c>
      <c r="K797" s="29">
        <f>F797</f>
        <v/>
      </c>
    </row>
    <row r="798">
      <c r="A798" s="29">
        <f>CONCATENATE("NAME_PkMn_", UPPER(B798))</f>
        <v/>
      </c>
      <c r="B798" s="29" t="inlineStr">
        <is>
          <t>Celesteela</t>
        </is>
      </c>
      <c r="C798" s="29" t="inlineStr">
        <is>
          <t>テッカグヤ</t>
        </is>
      </c>
      <c r="D798" s="29" t="inlineStr">
        <is>
          <t>Bamboiselle</t>
        </is>
      </c>
      <c r="E798" s="29" t="inlineStr">
        <is>
          <t>Kaguron</t>
        </is>
      </c>
      <c r="F798" s="29">
        <f>B798</f>
        <v/>
      </c>
      <c r="G798" s="29">
        <f>B798</f>
        <v/>
      </c>
      <c r="H798" s="29" t="inlineStr">
        <is>
          <t>철화구야</t>
        </is>
      </c>
      <c r="I798" s="29" t="inlineStr">
        <is>
          <t>鐵火輝夜</t>
        </is>
      </c>
      <c r="J798" s="29">
        <f>IFERROR(__xludf.DUMMYFUNCTION("GOOGLETRANSLATE(I798,""zh_HANT"",""zh_HANS"")"),"铁火辉夜")</f>
        <v/>
      </c>
      <c r="K798" s="29">
        <f>F798</f>
        <v/>
      </c>
    </row>
    <row r="799">
      <c r="A799" s="29">
        <f>CONCATENATE("NAME_PkMn_", UPPER(B799))</f>
        <v/>
      </c>
      <c r="B799" s="29" t="inlineStr">
        <is>
          <t>Kartana</t>
        </is>
      </c>
      <c r="C799" s="29" t="inlineStr">
        <is>
          <t>カミツルギ</t>
        </is>
      </c>
      <c r="D799" s="29" t="inlineStr">
        <is>
          <t>Katagami</t>
        </is>
      </c>
      <c r="E799" s="29" t="inlineStr">
        <is>
          <t>Katagami</t>
        </is>
      </c>
      <c r="F799" s="29">
        <f>B799</f>
        <v/>
      </c>
      <c r="G799" s="29">
        <f>B799</f>
        <v/>
      </c>
      <c r="H799" s="29" t="inlineStr">
        <is>
          <t>종이신도</t>
        </is>
      </c>
      <c r="I799" s="29" t="inlineStr">
        <is>
          <t>紙御劍</t>
        </is>
      </c>
      <c r="J799" s="29">
        <f>IFERROR(__xludf.DUMMYFUNCTION("GOOGLETRANSLATE(I799,""zh_HANT"",""zh_HANS"")"),"纸御剑")</f>
        <v/>
      </c>
      <c r="K799" s="29">
        <f>F799</f>
        <v/>
      </c>
    </row>
    <row r="800">
      <c r="A800" s="29">
        <f>CONCATENATE("NAME_PkMn_", UPPER(B800))</f>
        <v/>
      </c>
      <c r="B800" s="29" t="inlineStr">
        <is>
          <t>Guzzlord</t>
        </is>
      </c>
      <c r="C800" s="29" t="inlineStr">
        <is>
          <t>アクジキング</t>
        </is>
      </c>
      <c r="D800" s="29" t="inlineStr">
        <is>
          <t>Engloutyran</t>
        </is>
      </c>
      <c r="E800" s="29" t="inlineStr">
        <is>
          <t>Schlingking</t>
        </is>
      </c>
      <c r="F800" s="29">
        <f>B800</f>
        <v/>
      </c>
      <c r="G800" s="29">
        <f>B800</f>
        <v/>
      </c>
      <c r="H800" s="29" t="inlineStr">
        <is>
          <t>악식킹</t>
        </is>
      </c>
      <c r="I800" s="29" t="inlineStr">
        <is>
          <t>惡食大王</t>
        </is>
      </c>
      <c r="J800" s="29">
        <f>IFERROR(__xludf.DUMMYFUNCTION("GOOGLETRANSLATE(I800,""zh_HANT"",""zh_HANS"")"),"恶食大王")</f>
        <v/>
      </c>
      <c r="K800" s="29">
        <f>F800</f>
        <v/>
      </c>
    </row>
    <row r="801">
      <c r="A801" s="29">
        <f>CONCATENATE("NAME_PkMn_", UPPER(B801))</f>
        <v/>
      </c>
      <c r="B801" s="29" t="inlineStr">
        <is>
          <t>Necrozma</t>
        </is>
      </c>
      <c r="C801" s="29" t="inlineStr">
        <is>
          <t>ネクロスマ</t>
        </is>
      </c>
      <c r="D801" s="29">
        <f>B801</f>
        <v/>
      </c>
      <c r="E801" s="29">
        <f>B801</f>
        <v/>
      </c>
      <c r="F801" s="29">
        <f>B801</f>
        <v/>
      </c>
      <c r="G801" s="29">
        <f>B801</f>
        <v/>
      </c>
      <c r="H801" s="29" t="inlineStr">
        <is>
          <t>네크로즈마</t>
        </is>
      </c>
      <c r="I801" s="29" t="inlineStr">
        <is>
          <t>奈克洛茲瑪</t>
        </is>
      </c>
      <c r="J801" s="29">
        <f>IFERROR(__xludf.DUMMYFUNCTION("GOOGLETRANSLATE(I801,""zh_HANT"",""zh_HANS"")"),"奈克洛兹玛")</f>
        <v/>
      </c>
      <c r="K801" s="29">
        <f>F801</f>
        <v/>
      </c>
    </row>
    <row r="802">
      <c r="A802" s="29">
        <f>CONCATENATE("NAME_PkMn_", UPPER(B802))</f>
        <v/>
      </c>
      <c r="B802" s="29" t="inlineStr">
        <is>
          <t>Magearna</t>
        </is>
      </c>
      <c r="C802" s="29" t="inlineStr">
        <is>
          <t>マギアナ</t>
        </is>
      </c>
      <c r="D802" s="29">
        <f>B802</f>
        <v/>
      </c>
      <c r="E802" s="29">
        <f>B802</f>
        <v/>
      </c>
      <c r="F802" s="29">
        <f>B802</f>
        <v/>
      </c>
      <c r="G802" s="29">
        <f>B802</f>
        <v/>
      </c>
      <c r="H802" s="29" t="inlineStr">
        <is>
          <t>마기아나</t>
        </is>
      </c>
      <c r="I802" s="29" t="inlineStr">
        <is>
          <t>瑪機雅娜</t>
        </is>
      </c>
      <c r="J802" s="29">
        <f>IFERROR(__xludf.DUMMYFUNCTION("GOOGLETRANSLATE(I802,""zh_HANT"",""zh_HANS"")"),"玛机雅娜")</f>
        <v/>
      </c>
      <c r="K802" s="29">
        <f>F802</f>
        <v/>
      </c>
    </row>
    <row r="803">
      <c r="A803" s="29">
        <f>CONCATENATE("NAME_PkMn_", UPPER(B803))</f>
        <v/>
      </c>
      <c r="B803" s="29" t="inlineStr">
        <is>
          <t>Marshadow</t>
        </is>
      </c>
      <c r="C803" s="29" t="inlineStr">
        <is>
          <t>マーシャドー</t>
        </is>
      </c>
      <c r="D803" s="29">
        <f>B803</f>
        <v/>
      </c>
      <c r="E803" s="29">
        <f>B803</f>
        <v/>
      </c>
      <c r="F803" s="29">
        <f>B803</f>
        <v/>
      </c>
      <c r="G803" s="29">
        <f>B803</f>
        <v/>
      </c>
      <c r="H803" s="29" t="inlineStr">
        <is>
          <t>마샤도</t>
        </is>
      </c>
      <c r="I803" s="29">
        <f>IFERROR(__xludf.DUMMYFUNCTION("GOOGLETRANSLATE(J803,""zh_HANS"",""zh_HANT"")"),"瑪夏多")</f>
        <v/>
      </c>
      <c r="J803" s="29" t="inlineStr">
        <is>
          <t>玛夏多</t>
        </is>
      </c>
      <c r="K803" s="29">
        <f>F803</f>
        <v/>
      </c>
    </row>
    <row r="804">
      <c r="A804" s="29">
        <f>CONCATENATE("NAME_PkMn_", UPPER(B804))</f>
        <v/>
      </c>
      <c r="B804" s="29" t="inlineStr">
        <is>
          <t>Poipole</t>
        </is>
      </c>
      <c r="C804" s="29" t="inlineStr">
        <is>
          <t>ベベノム</t>
        </is>
      </c>
      <c r="D804" s="29" t="inlineStr">
        <is>
          <t>Vémini</t>
        </is>
      </c>
      <c r="E804" s="29" t="inlineStr">
        <is>
          <t>Venicro</t>
        </is>
      </c>
      <c r="F804" s="29">
        <f>B804</f>
        <v/>
      </c>
      <c r="G804" s="29">
        <f>B804</f>
        <v/>
      </c>
      <c r="H804" s="29" t="inlineStr">
        <is>
          <t>베베놈</t>
        </is>
      </c>
      <c r="I804" s="29" t="inlineStr">
        <is>
          <t>毒貝比</t>
        </is>
      </c>
      <c r="J804" s="29">
        <f>IFERROR(__xludf.DUMMYFUNCTION("GOOGLETRANSLATE(I804,""zh_HANT"",""zh_HANS"")"),"毒贝比")</f>
        <v/>
      </c>
      <c r="K804" s="29">
        <f>F804</f>
        <v/>
      </c>
    </row>
    <row r="805">
      <c r="A805" s="29">
        <f>CONCATENATE("NAME_PkMn_", UPPER(B805))</f>
        <v/>
      </c>
      <c r="B805" s="29" t="inlineStr">
        <is>
          <t>Naganadel</t>
        </is>
      </c>
      <c r="C805" s="29" t="inlineStr">
        <is>
          <t>アーゴヨン</t>
        </is>
      </c>
      <c r="D805" s="29" t="inlineStr">
        <is>
          <t>Mandrillon</t>
        </is>
      </c>
      <c r="E805" s="29" t="inlineStr">
        <is>
          <t>Agoyon</t>
        </is>
      </c>
      <c r="F805" s="29">
        <f>B805</f>
        <v/>
      </c>
      <c r="G805" s="29">
        <f>B805</f>
        <v/>
      </c>
      <c r="H805" s="29" t="inlineStr">
        <is>
          <t>아고용</t>
        </is>
      </c>
      <c r="I805" s="29" t="inlineStr">
        <is>
          <t>四顎針龍</t>
        </is>
      </c>
      <c r="J805" s="29">
        <f>IFERROR(__xludf.DUMMYFUNCTION("GOOGLETRANSLATE(I805,""zh_HANT"",""zh_HANS"")"),"四颚针龙")</f>
        <v/>
      </c>
      <c r="K805" s="29">
        <f>F805</f>
        <v/>
      </c>
    </row>
    <row r="806">
      <c r="A806" s="29">
        <f>CONCATENATE("NAME_PkMn_", UPPER(B806))</f>
        <v/>
      </c>
      <c r="B806" s="29" t="inlineStr">
        <is>
          <t>Stakataka</t>
        </is>
      </c>
      <c r="C806" s="29" t="inlineStr">
        <is>
          <t>ツンデツンデ</t>
        </is>
      </c>
      <c r="D806" s="29" t="inlineStr">
        <is>
          <t>Ama-Ama</t>
        </is>
      </c>
      <c r="E806" s="29" t="inlineStr">
        <is>
          <t>Muramura</t>
        </is>
      </c>
      <c r="F806" s="29">
        <f>B806</f>
        <v/>
      </c>
      <c r="G806" s="29">
        <f>B806</f>
        <v/>
      </c>
      <c r="H806" s="29" t="inlineStr">
        <is>
          <t>차곡차곡</t>
        </is>
      </c>
      <c r="I806" s="29" t="inlineStr">
        <is>
          <t>壘磊石</t>
        </is>
      </c>
      <c r="J806" s="29">
        <f>IFERROR(__xludf.DUMMYFUNCTION("GOOGLETRANSLATE(I806,""zh_HANT"",""zh_HANS"")"),"垒磊石")</f>
        <v/>
      </c>
      <c r="K806" s="29">
        <f>F806</f>
        <v/>
      </c>
    </row>
    <row r="807">
      <c r="A807" s="29">
        <f>CONCATENATE("NAME_PkMn_", UPPER(B807))</f>
        <v/>
      </c>
      <c r="B807" s="29" t="inlineStr">
        <is>
          <t>Blacephalon</t>
        </is>
      </c>
      <c r="C807" s="29" t="inlineStr">
        <is>
          <t>ズガドーン</t>
        </is>
      </c>
      <c r="D807" s="29" t="inlineStr">
        <is>
          <t>Pierroteknik</t>
        </is>
      </c>
      <c r="E807" s="29" t="inlineStr">
        <is>
          <t>Kopplosio</t>
        </is>
      </c>
      <c r="F807" s="29">
        <f>B807</f>
        <v/>
      </c>
      <c r="G807" s="29">
        <f>B807</f>
        <v/>
      </c>
      <c r="H807" s="29" t="inlineStr">
        <is>
          <t>두파팡</t>
        </is>
      </c>
      <c r="I807" s="29" t="inlineStr">
        <is>
          <t>砰頭小丑</t>
        </is>
      </c>
      <c r="J807" s="29">
        <f>IFERROR(__xludf.DUMMYFUNCTION("GOOGLETRANSLATE(I807,""zh_HANT"",""zh_HANS"")"),"砰头小丑")</f>
        <v/>
      </c>
      <c r="K807" s="29">
        <f>F807</f>
        <v/>
      </c>
    </row>
    <row r="808">
      <c r="A808" s="29">
        <f>CONCATENATE("NAME_PkMn_", UPPER(B808))</f>
        <v/>
      </c>
      <c r="B808" s="29" t="inlineStr">
        <is>
          <t>Zeraora</t>
        </is>
      </c>
      <c r="C808" s="29" t="inlineStr">
        <is>
          <t>ゼラオラ</t>
        </is>
      </c>
      <c r="D808" s="29">
        <f>B808</f>
        <v/>
      </c>
      <c r="E808" s="29">
        <f>B808</f>
        <v/>
      </c>
      <c r="F808" s="29">
        <f>B808</f>
        <v/>
      </c>
      <c r="G808" s="29">
        <f>B808</f>
        <v/>
      </c>
      <c r="H808" s="29" t="inlineStr">
        <is>
          <t>제라오라</t>
        </is>
      </c>
      <c r="I808" s="29" t="inlineStr">
        <is>
          <t>捷拉奧拉</t>
        </is>
      </c>
      <c r="J808" s="29">
        <f>IFERROR(__xludf.DUMMYFUNCTION("GOOGLETRANSLATE(I808,""zh_HANT"",""zh_HANS"")"),"捷拉奥拉")</f>
        <v/>
      </c>
      <c r="K808" s="29">
        <f>F808</f>
        <v/>
      </c>
    </row>
    <row r="809">
      <c r="A809" s="29">
        <f>CONCATENATE("NAME_PkMn_", UPPER(B809))</f>
        <v/>
      </c>
      <c r="B809" s="29" t="inlineStr">
        <is>
          <t>Meltan</t>
        </is>
      </c>
      <c r="C809" s="29" t="inlineStr">
        <is>
          <t>メルタン</t>
        </is>
      </c>
      <c r="D809" s="29">
        <f>B809</f>
        <v/>
      </c>
      <c r="E809" s="29">
        <f>B809</f>
        <v/>
      </c>
      <c r="F809" s="29">
        <f>B809</f>
        <v/>
      </c>
      <c r="G809" s="29">
        <f>B809</f>
        <v/>
      </c>
      <c r="H809" s="29" t="inlineStr">
        <is>
          <t>멜탄</t>
        </is>
      </c>
      <c r="I809" s="29" t="inlineStr">
        <is>
          <t>美錄坦</t>
        </is>
      </c>
      <c r="J809" s="29">
        <f>IFERROR(__xludf.DUMMYFUNCTION("GOOGLETRANSLATE(I809,""zh_HANT"",""zh_HANS"")"),"美录坦")</f>
        <v/>
      </c>
      <c r="K809" s="29">
        <f>F809</f>
        <v/>
      </c>
    </row>
    <row r="810">
      <c r="A810" s="29">
        <f>CONCATENATE("NAME_PkMn_", UPPER(B810))</f>
        <v/>
      </c>
      <c r="B810" s="29" t="inlineStr">
        <is>
          <t>Melmetal</t>
        </is>
      </c>
      <c r="C810" s="29" t="inlineStr">
        <is>
          <t>メルメタル</t>
        </is>
      </c>
      <c r="D810" s="29">
        <f>B810</f>
        <v/>
      </c>
      <c r="E810" s="29">
        <f>B810</f>
        <v/>
      </c>
      <c r="F810" s="29">
        <f>B810</f>
        <v/>
      </c>
      <c r="G810" s="29">
        <f>B810</f>
        <v/>
      </c>
      <c r="H810" s="29" t="inlineStr">
        <is>
          <t>멜메탈</t>
        </is>
      </c>
      <c r="I810" s="29" t="inlineStr">
        <is>
          <t>美錄梅塔</t>
        </is>
      </c>
      <c r="J810" s="29">
        <f>IFERROR(__xludf.DUMMYFUNCTION("GOOGLETRANSLATE(I810,""zh_HANT"",""zh_HANS"")"),"美录梅塔")</f>
        <v/>
      </c>
      <c r="K810" s="29">
        <f>F810</f>
        <v/>
      </c>
    </row>
    <row r="811">
      <c r="A811" s="29">
        <f>CONCATENATE("NAME_PkMn_", UPPER(B811))</f>
        <v/>
      </c>
      <c r="B811" s="29" t="inlineStr">
        <is>
          <t>Grookey</t>
        </is>
      </c>
      <c r="C811" s="29" t="inlineStr">
        <is>
          <t>サルノリ</t>
        </is>
      </c>
      <c r="D811" s="29" t="inlineStr">
        <is>
          <t>Ouistempo</t>
        </is>
      </c>
      <c r="E811" s="29" t="inlineStr">
        <is>
          <t>Chimpep</t>
        </is>
      </c>
      <c r="F811" s="29">
        <f>B811</f>
        <v/>
      </c>
      <c r="G811" s="29">
        <f>B811</f>
        <v/>
      </c>
      <c r="H811" s="29" t="inlineStr">
        <is>
          <t>흥나숭</t>
        </is>
      </c>
      <c r="I811" s="29" t="inlineStr">
        <is>
          <t>敲音猴</t>
        </is>
      </c>
      <c r="J811" s="29">
        <f>I811</f>
        <v/>
      </c>
      <c r="K811" s="29">
        <f>F811</f>
        <v/>
      </c>
    </row>
    <row r="812">
      <c r="A812" s="29">
        <f>CONCATENATE("NAME_PkMn_", UPPER(B812))</f>
        <v/>
      </c>
      <c r="B812" s="29" t="inlineStr">
        <is>
          <t>Thwakey</t>
        </is>
      </c>
      <c r="C812" s="29" t="inlineStr">
        <is>
          <t>バチンキー</t>
        </is>
      </c>
      <c r="D812" s="29" t="inlineStr">
        <is>
          <t>Badabouin</t>
        </is>
      </c>
      <c r="E812" s="29" t="inlineStr">
        <is>
          <t>Chimstix</t>
        </is>
      </c>
      <c r="F812" s="29">
        <f>B812</f>
        <v/>
      </c>
      <c r="G812" s="29">
        <f>B812</f>
        <v/>
      </c>
      <c r="H812" s="29" t="inlineStr">
        <is>
          <t>채키몽</t>
        </is>
      </c>
      <c r="I812" s="29" t="inlineStr">
        <is>
          <t>啪咚猴</t>
        </is>
      </c>
      <c r="J812" s="29">
        <f>I812</f>
        <v/>
      </c>
      <c r="K812" s="29">
        <f>F812</f>
        <v/>
      </c>
    </row>
    <row r="813">
      <c r="A813" s="29">
        <f>CONCATENATE("NAME_PkMn_", UPPER(B813))</f>
        <v/>
      </c>
      <c r="B813" s="29" t="inlineStr">
        <is>
          <t>Rillaboom</t>
        </is>
      </c>
      <c r="C813" s="29" t="inlineStr">
        <is>
          <t>ゴリランダー</t>
        </is>
      </c>
      <c r="D813" s="29" t="inlineStr">
        <is>
          <t>Gorythmic</t>
        </is>
      </c>
      <c r="E813" s="29" t="inlineStr">
        <is>
          <t>Gortrom</t>
        </is>
      </c>
      <c r="F813" s="29">
        <f>B813</f>
        <v/>
      </c>
      <c r="G813" s="29">
        <f>B813</f>
        <v/>
      </c>
      <c r="H813" s="29" t="inlineStr">
        <is>
          <t>고릴타</t>
        </is>
      </c>
      <c r="I813" s="29" t="inlineStr">
        <is>
          <t>轟擂金剛猩</t>
        </is>
      </c>
      <c r="J813" s="29">
        <f>IFERROR(__xludf.DUMMYFUNCTION("GOOGLETRANSLATE(I813,""zh_HANT"",""zh_HANS"")"),"轰擂金刚猩")</f>
        <v/>
      </c>
      <c r="K813" s="29">
        <f>F813</f>
        <v/>
      </c>
    </row>
    <row r="814">
      <c r="A814" s="29">
        <f>CONCATENATE("NAME_PkMn_", UPPER(B814))</f>
        <v/>
      </c>
      <c r="B814" s="29" t="inlineStr">
        <is>
          <t>Scorbunny</t>
        </is>
      </c>
      <c r="C814" s="29" t="inlineStr">
        <is>
          <t>ヒバニー</t>
        </is>
      </c>
      <c r="D814" s="29" t="inlineStr">
        <is>
          <t>Flambino</t>
        </is>
      </c>
      <c r="E814" s="29" t="inlineStr">
        <is>
          <t>Hopplo</t>
        </is>
      </c>
      <c r="F814" s="29">
        <f>B814</f>
        <v/>
      </c>
      <c r="G814" s="29">
        <f>B814</f>
        <v/>
      </c>
      <c r="H814" s="29" t="inlineStr">
        <is>
          <t>염버니</t>
        </is>
      </c>
      <c r="I814" s="29" t="inlineStr">
        <is>
          <t>炎兔兒</t>
        </is>
      </c>
      <c r="J814" s="29">
        <f>IFERROR(__xludf.DUMMYFUNCTION("GOOGLETRANSLATE(I814,""zh_HANT"",""zh_HANS"")"),"炎兔儿")</f>
        <v/>
      </c>
      <c r="K814" s="29">
        <f>F814</f>
        <v/>
      </c>
    </row>
    <row r="815">
      <c r="A815" s="29">
        <f>CONCATENATE("NAME_PkMn_", UPPER(B815))</f>
        <v/>
      </c>
      <c r="B815" s="29" t="inlineStr">
        <is>
          <t>Raboot</t>
        </is>
      </c>
      <c r="C815" s="29" t="inlineStr">
        <is>
          <t>ラビフット</t>
        </is>
      </c>
      <c r="D815" s="29" t="inlineStr">
        <is>
          <t>Lapyro</t>
        </is>
      </c>
      <c r="E815" s="29" t="inlineStr">
        <is>
          <t>Kickerlo</t>
        </is>
      </c>
      <c r="F815" s="29">
        <f>B815</f>
        <v/>
      </c>
      <c r="G815" s="29">
        <f>B815</f>
        <v/>
      </c>
      <c r="H815" s="29" t="inlineStr">
        <is>
          <t>래비풋</t>
        </is>
      </c>
      <c r="I815" s="29" t="inlineStr">
        <is>
          <t>騰蹴小將</t>
        </is>
      </c>
      <c r="J815" s="29">
        <f>IFERROR(__xludf.DUMMYFUNCTION("GOOGLETRANSLATE(I815,""zh_HANT"",""zh_HANS"")"),"腾蹴小将")</f>
        <v/>
      </c>
      <c r="K815" s="29">
        <f>F815</f>
        <v/>
      </c>
    </row>
    <row r="816">
      <c r="A816" s="29">
        <f>CONCATENATE("NAME_PkMn_", UPPER(B816))</f>
        <v/>
      </c>
      <c r="B816" s="29" t="inlineStr">
        <is>
          <t>Cinderace</t>
        </is>
      </c>
      <c r="C816" s="29" t="inlineStr">
        <is>
          <t>エースバーン</t>
        </is>
      </c>
      <c r="D816" s="29" t="inlineStr">
        <is>
          <t>Pyrobut</t>
        </is>
      </c>
      <c r="E816" s="29" t="inlineStr">
        <is>
          <t>Liberlo</t>
        </is>
      </c>
      <c r="F816" s="29">
        <f>B816</f>
        <v/>
      </c>
      <c r="G816" s="29">
        <f>B816</f>
        <v/>
      </c>
      <c r="H816" s="29" t="inlineStr">
        <is>
          <t>에이스번</t>
        </is>
      </c>
      <c r="I816" s="29" t="inlineStr">
        <is>
          <t>閃焰王牌</t>
        </is>
      </c>
      <c r="J816" s="29">
        <f>IFERROR(__xludf.DUMMYFUNCTION("GOOGLETRANSLATE(I816,""zh_HANT"",""zh_HANS"")"),"闪焰王牌")</f>
        <v/>
      </c>
      <c r="K816" s="29">
        <f>F816</f>
        <v/>
      </c>
    </row>
    <row r="817">
      <c r="A817" s="29">
        <f>CONCATENATE("NAME_PkMn_", UPPER(B817))</f>
        <v/>
      </c>
      <c r="B817" s="29" t="inlineStr">
        <is>
          <t>Sobble</t>
        </is>
      </c>
      <c r="C817" s="29" t="inlineStr">
        <is>
          <t>メッソン</t>
        </is>
      </c>
      <c r="D817" s="29" t="inlineStr">
        <is>
          <t>Larméléon</t>
        </is>
      </c>
      <c r="E817" s="29" t="inlineStr">
        <is>
          <t>Memmeon</t>
        </is>
      </c>
      <c r="F817" s="29">
        <f>B817</f>
        <v/>
      </c>
      <c r="G817" s="29">
        <f>B817</f>
        <v/>
      </c>
      <c r="H817" s="29" t="inlineStr">
        <is>
          <t>울머기</t>
        </is>
      </c>
      <c r="I817" s="29" t="inlineStr">
        <is>
          <t>淚眼蜥</t>
        </is>
      </c>
      <c r="J817" s="29">
        <f>IFERROR(__xludf.DUMMYFUNCTION("GOOGLETRANSLATE(I817,""zh_HANT"",""zh_HANS"")"),"泪眼蜥")</f>
        <v/>
      </c>
      <c r="K817" s="29">
        <f>F817</f>
        <v/>
      </c>
    </row>
    <row r="818">
      <c r="A818" s="29">
        <f>CONCATENATE("NAME_PkMn_", UPPER(B818))</f>
        <v/>
      </c>
      <c r="B818" s="29" t="inlineStr">
        <is>
          <t>Drizzile</t>
        </is>
      </c>
      <c r="C818" s="29" t="inlineStr">
        <is>
          <t>ジメレオン</t>
        </is>
      </c>
      <c r="D818" s="29" t="inlineStr">
        <is>
          <t>Arrozard</t>
        </is>
      </c>
      <c r="E818" s="29" t="inlineStr">
        <is>
          <t>Phlegleon</t>
        </is>
      </c>
      <c r="F818" s="29">
        <f>B818</f>
        <v/>
      </c>
      <c r="G818" s="29">
        <f>B818</f>
        <v/>
      </c>
      <c r="H818" s="29" t="inlineStr">
        <is>
          <t>누겔레온</t>
        </is>
      </c>
      <c r="I818" s="29" t="inlineStr">
        <is>
          <t>變澀蜥</t>
        </is>
      </c>
      <c r="J818" s="29">
        <f>IFERROR(__xludf.DUMMYFUNCTION("GOOGLETRANSLATE(I818,""zh_HANT"",""zh_HANS"")"),"变涩蜥")</f>
        <v/>
      </c>
      <c r="K818" s="29">
        <f>F818</f>
        <v/>
      </c>
    </row>
    <row r="819">
      <c r="A819" s="29">
        <f>CONCATENATE("NAME_PkMn_", UPPER(B819))</f>
        <v/>
      </c>
      <c r="B819" s="29" t="inlineStr">
        <is>
          <t>Inteleon</t>
        </is>
      </c>
      <c r="C819" s="29" t="inlineStr">
        <is>
          <t>インテレオン</t>
        </is>
      </c>
      <c r="D819" s="29" t="inlineStr">
        <is>
          <t>Lézargus</t>
        </is>
      </c>
      <c r="E819" s="29" t="inlineStr">
        <is>
          <t>Intelleon</t>
        </is>
      </c>
      <c r="F819" s="29">
        <f>B819</f>
        <v/>
      </c>
      <c r="G819" s="29">
        <f>B819</f>
        <v/>
      </c>
      <c r="H819" s="29" t="inlineStr">
        <is>
          <t>인텔리레온</t>
        </is>
      </c>
      <c r="I819" s="29" t="inlineStr">
        <is>
          <t>千面避役</t>
        </is>
      </c>
      <c r="J819" s="29">
        <f>I819</f>
        <v/>
      </c>
      <c r="K819" s="29">
        <f>F819</f>
        <v/>
      </c>
    </row>
    <row r="820">
      <c r="A820" s="29">
        <f>CONCATENATE("NAME_PkMn_", UPPER(B820))</f>
        <v/>
      </c>
      <c r="B820" s="29" t="inlineStr">
        <is>
          <t>Skowvet</t>
        </is>
      </c>
      <c r="C820" s="29" t="inlineStr">
        <is>
          <t>ホシガリス</t>
        </is>
      </c>
      <c r="D820" s="29" t="inlineStr">
        <is>
          <t>Rongourmand</t>
        </is>
      </c>
      <c r="E820" s="29" t="inlineStr">
        <is>
          <t>Raffel</t>
        </is>
      </c>
      <c r="F820" s="29">
        <f>B820</f>
        <v/>
      </c>
      <c r="G820" s="29">
        <f>B820</f>
        <v/>
      </c>
      <c r="H820" s="29" t="inlineStr">
        <is>
          <t>탐리스</t>
        </is>
      </c>
      <c r="I820" s="29" t="inlineStr">
        <is>
          <t>貪心栗鼠</t>
        </is>
      </c>
      <c r="J820" s="29">
        <f>IFERROR(__xludf.DUMMYFUNCTION("GOOGLETRANSLATE(I820,""zh_HANT"",""zh_HANS"")"),"贪心栗鼠")</f>
        <v/>
      </c>
      <c r="K820" s="29">
        <f>F820</f>
        <v/>
      </c>
    </row>
    <row r="821">
      <c r="A821" s="29">
        <f>CONCATENATE("NAME_PkMn_", UPPER(B821))</f>
        <v/>
      </c>
      <c r="B821" s="29" t="inlineStr">
        <is>
          <t>Greedent</t>
        </is>
      </c>
      <c r="C821" s="29" t="inlineStr">
        <is>
          <t>ヨクバリス</t>
        </is>
      </c>
      <c r="D821" s="29" t="inlineStr">
        <is>
          <t>Rongrigou</t>
        </is>
      </c>
      <c r="E821" s="29" t="inlineStr">
        <is>
          <t>Schlaraffel</t>
        </is>
      </c>
      <c r="F821" s="29">
        <f>B821</f>
        <v/>
      </c>
      <c r="G821" s="29">
        <f>B821</f>
        <v/>
      </c>
      <c r="H821" s="29" t="inlineStr">
        <is>
          <t>요씽리스</t>
        </is>
      </c>
      <c r="I821" s="29" t="inlineStr">
        <is>
          <t>藏飽栗鼠</t>
        </is>
      </c>
      <c r="J821" s="29">
        <f>IFERROR(__xludf.DUMMYFUNCTION("GOOGLETRANSLATE(I821,""zh_HANT"",""zh_HANS"")"),"藏饱栗鼠")</f>
        <v/>
      </c>
      <c r="K821" s="29">
        <f>F821</f>
        <v/>
      </c>
    </row>
    <row r="822">
      <c r="A822" s="29">
        <f>CONCATENATE("NAME_PkMn_", UPPER(B822))</f>
        <v/>
      </c>
      <c r="B822" s="29" t="inlineStr">
        <is>
          <t>Rookidee</t>
        </is>
      </c>
      <c r="C822" s="29" t="inlineStr">
        <is>
          <t>ココガラ</t>
        </is>
      </c>
      <c r="D822" s="29" t="inlineStr">
        <is>
          <t>Minisange</t>
        </is>
      </c>
      <c r="E822" s="29" t="inlineStr">
        <is>
          <t>Meikro</t>
        </is>
      </c>
      <c r="F822" s="29">
        <f>B822</f>
        <v/>
      </c>
      <c r="G822" s="29">
        <f>B822</f>
        <v/>
      </c>
      <c r="H822" s="29" t="inlineStr">
        <is>
          <t>파라꼬</t>
        </is>
      </c>
      <c r="I822" s="29" t="inlineStr">
        <is>
          <t>稚山雀</t>
        </is>
      </c>
      <c r="J822" s="29">
        <f>I822</f>
        <v/>
      </c>
      <c r="K822" s="29">
        <f>F822</f>
        <v/>
      </c>
    </row>
    <row r="823">
      <c r="A823" s="29">
        <f>CONCATENATE("NAME_PkMn_", UPPER(B823))</f>
        <v/>
      </c>
      <c r="B823" s="29" t="inlineStr">
        <is>
          <t>Corvisquire</t>
        </is>
      </c>
      <c r="C823" s="29" t="inlineStr">
        <is>
          <t>アオガラス</t>
        </is>
      </c>
      <c r="D823" s="29" t="inlineStr">
        <is>
          <t>Bleuseille</t>
        </is>
      </c>
      <c r="E823" s="29" t="inlineStr">
        <is>
          <t>Kranoviz</t>
        </is>
      </c>
      <c r="F823" s="29">
        <f>B823</f>
        <v/>
      </c>
      <c r="G823" s="29">
        <f>B823</f>
        <v/>
      </c>
      <c r="H823" s="29" t="inlineStr">
        <is>
          <t>파크로우</t>
        </is>
      </c>
      <c r="I823" s="29" t="inlineStr">
        <is>
          <t>藍鴉</t>
        </is>
      </c>
      <c r="J823" s="29">
        <f>IFERROR(__xludf.DUMMYFUNCTION("GOOGLETRANSLATE(I823,""zh_HANT"",""zh_HANS"")"),"蓝鸦")</f>
        <v/>
      </c>
      <c r="K823" s="29">
        <f>F823</f>
        <v/>
      </c>
    </row>
    <row r="824">
      <c r="A824" s="29">
        <f>CONCATENATE("NAME_PkMn_", UPPER(B824))</f>
        <v/>
      </c>
      <c r="B824" s="29" t="inlineStr">
        <is>
          <t>Corviknight</t>
        </is>
      </c>
      <c r="C824" s="29" t="inlineStr">
        <is>
          <t>アーマーガア</t>
        </is>
      </c>
      <c r="D824" s="29" t="inlineStr">
        <is>
          <t>Corvaillus</t>
        </is>
      </c>
      <c r="E824" s="29" t="inlineStr">
        <is>
          <t>Krarmor</t>
        </is>
      </c>
      <c r="F824" s="29">
        <f>B824</f>
        <v/>
      </c>
      <c r="G824" s="29">
        <f>B824</f>
        <v/>
      </c>
      <c r="H824" s="29" t="inlineStr">
        <is>
          <t>아머까오</t>
        </is>
      </c>
      <c r="I824" s="29" t="inlineStr">
        <is>
          <t>鋼鎧鴉</t>
        </is>
      </c>
      <c r="J824" s="29">
        <f>IFERROR(__xludf.DUMMYFUNCTION("GOOGLETRANSLATE(I824,""zh_HANT"",""zh_HANS"")"),"钢铠鸦")</f>
        <v/>
      </c>
      <c r="K824" s="29">
        <f>F824</f>
        <v/>
      </c>
    </row>
    <row r="825">
      <c r="A825" s="29">
        <f>CONCATENATE("NAME_PkMn_", UPPER(B825))</f>
        <v/>
      </c>
      <c r="B825" s="29" t="inlineStr">
        <is>
          <t>Blipbug</t>
        </is>
      </c>
      <c r="C825" s="29" t="inlineStr">
        <is>
          <t>サッチミシ</t>
        </is>
      </c>
      <c r="D825" s="29" t="inlineStr">
        <is>
          <t>Larvadar</t>
        </is>
      </c>
      <c r="E825" s="29" t="inlineStr">
        <is>
          <t>Sensect</t>
        </is>
      </c>
      <c r="F825" s="29">
        <f>B825</f>
        <v/>
      </c>
      <c r="G825" s="29">
        <f>B825</f>
        <v/>
      </c>
      <c r="H825" s="29" t="inlineStr">
        <is>
          <t>두루지벌레</t>
        </is>
      </c>
      <c r="I825" s="29" t="inlineStr">
        <is>
          <t>索偵蟲</t>
        </is>
      </c>
      <c r="J825" s="29">
        <f>IFERROR(__xludf.DUMMYFUNCTION("GOOGLETRANSLATE(I825,""zh_HANT"",""zh_HANS"")"),"索侦虫")</f>
        <v/>
      </c>
      <c r="K825" s="29">
        <f>F825</f>
        <v/>
      </c>
    </row>
    <row r="826">
      <c r="A826" s="29">
        <f>CONCATENATE("NAME_PkMn_", UPPER(B826))</f>
        <v/>
      </c>
      <c r="B826" s="29" t="inlineStr">
        <is>
          <t>Dottler</t>
        </is>
      </c>
      <c r="C826" s="29" t="inlineStr">
        <is>
          <t>レドームシ</t>
        </is>
      </c>
      <c r="D826" s="29" t="inlineStr">
        <is>
          <t>Coléodôme</t>
        </is>
      </c>
      <c r="E826" s="29" t="inlineStr">
        <is>
          <t>Keradar</t>
        </is>
      </c>
      <c r="F826" s="29">
        <f>B826</f>
        <v/>
      </c>
      <c r="G826" s="29">
        <f>B826</f>
        <v/>
      </c>
      <c r="H826" s="29" t="inlineStr">
        <is>
          <t>레돔벌레</t>
        </is>
      </c>
      <c r="I826" s="29" t="inlineStr">
        <is>
          <t>天罩蟲</t>
        </is>
      </c>
      <c r="J826" s="29">
        <f>IFERROR(__xludf.DUMMYFUNCTION("GOOGLETRANSLATE(I826,""zh_HANT"",""zh_HANS"")"),"天罩虫")</f>
        <v/>
      </c>
      <c r="K826" s="29">
        <f>F826</f>
        <v/>
      </c>
    </row>
    <row r="827">
      <c r="A827" s="29">
        <f>CONCATENATE("NAME_PkMn_", UPPER(B827))</f>
        <v/>
      </c>
      <c r="B827" s="29" t="inlineStr">
        <is>
          <t>Orbeetle</t>
        </is>
      </c>
      <c r="C827" s="29" t="inlineStr">
        <is>
          <t>イオルブ</t>
        </is>
      </c>
      <c r="D827" s="29" t="inlineStr">
        <is>
          <t>Astronelle</t>
        </is>
      </c>
      <c r="E827" s="29" t="inlineStr">
        <is>
          <t>Maritellit</t>
        </is>
      </c>
      <c r="F827" s="29">
        <f>B827</f>
        <v/>
      </c>
      <c r="G827" s="29">
        <f>B827</f>
        <v/>
      </c>
      <c r="H827" s="29" t="inlineStr">
        <is>
          <t>이올브</t>
        </is>
      </c>
      <c r="I827" s="29" t="inlineStr">
        <is>
          <t>以歐路普</t>
        </is>
      </c>
      <c r="J827" s="29">
        <f>IFERROR(__xludf.DUMMYFUNCTION("GOOGLETRANSLATE(I827,""zh_HANT"",""zh_HANS"")"),"以欧路普")</f>
        <v/>
      </c>
      <c r="K827" s="29">
        <f>F827</f>
        <v/>
      </c>
    </row>
    <row r="828">
      <c r="A828" s="29">
        <f>CONCATENATE("NAME_PkMn_", UPPER(B828))</f>
        <v/>
      </c>
      <c r="B828" s="29" t="inlineStr">
        <is>
          <t>Nickit</t>
        </is>
      </c>
      <c r="C828" s="29" t="inlineStr">
        <is>
          <t>クスネ</t>
        </is>
      </c>
      <c r="D828" s="29" t="inlineStr">
        <is>
          <t>Goupilou</t>
        </is>
      </c>
      <c r="E828" s="29" t="inlineStr">
        <is>
          <t>Kleptifux</t>
        </is>
      </c>
      <c r="F828" s="29">
        <f>B828</f>
        <v/>
      </c>
      <c r="G828" s="29">
        <f>B828</f>
        <v/>
      </c>
      <c r="H828" s="29" t="inlineStr">
        <is>
          <t>훔처우</t>
        </is>
      </c>
      <c r="I828" s="29" t="inlineStr">
        <is>
          <t>偷兒狐</t>
        </is>
      </c>
      <c r="J828" s="29" t="inlineStr">
        <is>
          <t>狡小狐</t>
        </is>
      </c>
      <c r="K828" s="29">
        <f>F828</f>
        <v/>
      </c>
    </row>
    <row r="829">
      <c r="A829" s="29">
        <f>CONCATENATE("NAME_PkMn_", UPPER(B829))</f>
        <v/>
      </c>
      <c r="B829" s="29" t="inlineStr">
        <is>
          <t>Thievul</t>
        </is>
      </c>
      <c r="C829" s="29" t="inlineStr">
        <is>
          <t>フォクスライ</t>
        </is>
      </c>
      <c r="D829" s="29" t="inlineStr">
        <is>
          <t>Roublenard</t>
        </is>
      </c>
      <c r="E829" s="29" t="inlineStr">
        <is>
          <t>Gaunux</t>
        </is>
      </c>
      <c r="F829" s="29">
        <f>B829</f>
        <v/>
      </c>
      <c r="G829" s="29">
        <f>B829</f>
        <v/>
      </c>
      <c r="H829" s="29" t="inlineStr">
        <is>
          <t>폭슬라이</t>
        </is>
      </c>
      <c r="I829" s="29" t="inlineStr">
        <is>
          <t>狐大盜</t>
        </is>
      </c>
      <c r="J829" s="29" t="inlineStr">
        <is>
          <t>猾大狐</t>
        </is>
      </c>
      <c r="K829" s="29">
        <f>F829</f>
        <v/>
      </c>
    </row>
    <row r="830">
      <c r="A830" s="29">
        <f>CONCATENATE("NAME_PkMn_", UPPER(B830))</f>
        <v/>
      </c>
      <c r="B830" s="29" t="inlineStr">
        <is>
          <t>Gossifleur</t>
        </is>
      </c>
      <c r="C830" s="29" t="inlineStr">
        <is>
          <t>ヒメンカ</t>
        </is>
      </c>
      <c r="D830" s="29" t="inlineStr">
        <is>
          <t>Tournicoton</t>
        </is>
      </c>
      <c r="E830" s="29" t="inlineStr">
        <is>
          <t>Cottini</t>
        </is>
      </c>
      <c r="F830" s="29">
        <f>B830</f>
        <v/>
      </c>
      <c r="G830" s="29">
        <f>B830</f>
        <v/>
      </c>
      <c r="H830" s="29" t="inlineStr">
        <is>
          <t>꼬모카</t>
        </is>
      </c>
      <c r="I830" s="29" t="inlineStr">
        <is>
          <t>幼棉棉</t>
        </is>
      </c>
      <c r="J830" s="29">
        <f>I830</f>
        <v/>
      </c>
      <c r="K830" s="29">
        <f>F830</f>
        <v/>
      </c>
    </row>
    <row r="831">
      <c r="A831" s="29">
        <f>CONCATENATE("NAME_PkMn_", UPPER(B831))</f>
        <v/>
      </c>
      <c r="B831" s="29" t="inlineStr">
        <is>
          <t>Eldegoss</t>
        </is>
      </c>
      <c r="C831" s="29" t="inlineStr">
        <is>
          <t>ワタシラガ</t>
        </is>
      </c>
      <c r="D831" s="29" t="inlineStr">
        <is>
          <t>Blancoton</t>
        </is>
      </c>
      <c r="E831" s="29" t="inlineStr">
        <is>
          <t>Cottomi</t>
        </is>
      </c>
      <c r="F831" s="29">
        <f>B831</f>
        <v/>
      </c>
      <c r="G831" s="29">
        <f>B831</f>
        <v/>
      </c>
      <c r="H831" s="29" t="inlineStr">
        <is>
          <t>백솜모카</t>
        </is>
      </c>
      <c r="I831" s="29" t="inlineStr">
        <is>
          <t>白蓬蓬</t>
        </is>
      </c>
      <c r="J831" s="29">
        <f>I831</f>
        <v/>
      </c>
      <c r="K831" s="29">
        <f>F831</f>
        <v/>
      </c>
    </row>
    <row r="832">
      <c r="A832" s="29">
        <f>CONCATENATE("NAME_PkMn_", UPPER(B832))</f>
        <v/>
      </c>
      <c r="B832" s="29" t="inlineStr">
        <is>
          <t>Wooloo</t>
        </is>
      </c>
      <c r="C832" s="29" t="inlineStr">
        <is>
          <t>ウールー</t>
        </is>
      </c>
      <c r="D832" s="29" t="inlineStr">
        <is>
          <t>Moumouton</t>
        </is>
      </c>
      <c r="E832" s="29" t="inlineStr">
        <is>
          <t>Wolly</t>
        </is>
      </c>
      <c r="F832" s="29">
        <f>B832</f>
        <v/>
      </c>
      <c r="G832" s="29">
        <f>B832</f>
        <v/>
      </c>
      <c r="H832" s="29" t="inlineStr">
        <is>
          <t>우르</t>
        </is>
      </c>
      <c r="I832" s="29" t="inlineStr">
        <is>
          <t>毛辮羊</t>
        </is>
      </c>
      <c r="J832" s="29">
        <f>IFERROR(__xludf.DUMMYFUNCTION("GOOGLETRANSLATE(I832,""zh_HANT"",""zh_HANS"")"),"毛辫羊")</f>
        <v/>
      </c>
      <c r="K832" s="29">
        <f>F832</f>
        <v/>
      </c>
    </row>
    <row r="833">
      <c r="A833" s="29">
        <f>CONCATENATE("NAME_PkMn_", UPPER(B833))</f>
        <v/>
      </c>
      <c r="B833" s="29" t="inlineStr">
        <is>
          <t>Dubwool</t>
        </is>
      </c>
      <c r="C833" s="29" t="inlineStr">
        <is>
          <t>バイウールー</t>
        </is>
      </c>
      <c r="D833" s="29" t="inlineStr">
        <is>
          <t>Moumouflon</t>
        </is>
      </c>
      <c r="E833" s="29" t="inlineStr">
        <is>
          <t>Zwollock</t>
        </is>
      </c>
      <c r="F833" s="29">
        <f>B833</f>
        <v/>
      </c>
      <c r="G833" s="29">
        <f>B833</f>
        <v/>
      </c>
      <c r="H833" s="29" t="inlineStr">
        <is>
          <t>배우르</t>
        </is>
      </c>
      <c r="I833" s="29" t="inlineStr">
        <is>
          <t>毛毛角羊</t>
        </is>
      </c>
      <c r="J833" s="29">
        <f>I833</f>
        <v/>
      </c>
      <c r="K833" s="29">
        <f>F833</f>
        <v/>
      </c>
    </row>
    <row r="834">
      <c r="A834" s="29">
        <f>CONCATENATE("NAME_PkMn_", UPPER(B834))</f>
        <v/>
      </c>
      <c r="B834" s="29" t="inlineStr">
        <is>
          <t>Chewtle</t>
        </is>
      </c>
      <c r="C834" s="29" t="inlineStr">
        <is>
          <t>カムカメ</t>
        </is>
      </c>
      <c r="D834" s="29" t="inlineStr">
        <is>
          <t>Khélocrok</t>
        </is>
      </c>
      <c r="E834" s="29" t="inlineStr">
        <is>
          <t>Kamehaps</t>
        </is>
      </c>
      <c r="F834" s="29">
        <f>B834</f>
        <v/>
      </c>
      <c r="G834" s="29">
        <f>B834</f>
        <v/>
      </c>
      <c r="H834" s="29" t="inlineStr">
        <is>
          <t>깨물부기</t>
        </is>
      </c>
      <c r="I834" s="29" t="inlineStr">
        <is>
          <t>咬咬龜</t>
        </is>
      </c>
      <c r="J834" s="29">
        <f>IFERROR(__xludf.DUMMYFUNCTION("GOOGLETRANSLATE(I834,""zh_HANT"",""zh_HANS"")"),"咬咬龟")</f>
        <v/>
      </c>
      <c r="K834" s="29">
        <f>F834</f>
        <v/>
      </c>
    </row>
    <row r="835">
      <c r="A835" s="29">
        <f>CONCATENATE("NAME_PkMn_", UPPER(B835))</f>
        <v/>
      </c>
      <c r="B835" s="29" t="inlineStr">
        <is>
          <t>Drednaw</t>
        </is>
      </c>
      <c r="C835" s="29" t="inlineStr">
        <is>
          <t>カジリガメ</t>
        </is>
      </c>
      <c r="D835" s="29" t="inlineStr">
        <is>
          <t>Torgamord</t>
        </is>
      </c>
      <c r="E835" s="29" t="inlineStr">
        <is>
          <t>Kamalm</t>
        </is>
      </c>
      <c r="F835" s="29">
        <f>B835</f>
        <v/>
      </c>
      <c r="G835" s="29">
        <f>B835</f>
        <v/>
      </c>
      <c r="H835" s="29" t="inlineStr">
        <is>
          <t>갈가부기</t>
        </is>
      </c>
      <c r="I835" s="29" t="inlineStr">
        <is>
          <t>暴噬龜</t>
        </is>
      </c>
      <c r="J835" s="29">
        <f>IFERROR(__xludf.DUMMYFUNCTION("GOOGLETRANSLATE(I835,""zh_HANT"",""zh_HANS"")"),"暴噬龟")</f>
        <v/>
      </c>
      <c r="K835" s="29">
        <f>F835</f>
        <v/>
      </c>
    </row>
    <row r="836">
      <c r="A836" s="29">
        <f>CONCATENATE("NAME_PkMn_", UPPER(B836))</f>
        <v/>
      </c>
      <c r="B836" s="29" t="inlineStr">
        <is>
          <t>Yamper</t>
        </is>
      </c>
      <c r="C836" s="29" t="inlineStr">
        <is>
          <t>ワンパチ</t>
        </is>
      </c>
      <c r="D836" s="29" t="inlineStr">
        <is>
          <t>Voltoutou</t>
        </is>
      </c>
      <c r="E836" s="29" t="inlineStr">
        <is>
          <t>Voldi</t>
        </is>
      </c>
      <c r="F836" s="29">
        <f>B836</f>
        <v/>
      </c>
      <c r="G836" s="29">
        <f>B836</f>
        <v/>
      </c>
      <c r="H836" s="29" t="inlineStr">
        <is>
          <t>멍파치</t>
        </is>
      </c>
      <c r="I836" s="29" t="inlineStr">
        <is>
          <t>來電汪</t>
        </is>
      </c>
      <c r="J836" s="29">
        <f>IFERROR(__xludf.DUMMYFUNCTION("GOOGLETRANSLATE(I836,""zh_HANT"",""zh_HANS"")"),"来电汪")</f>
        <v/>
      </c>
      <c r="K836" s="29">
        <f>F836</f>
        <v/>
      </c>
    </row>
    <row r="837">
      <c r="A837" s="29">
        <f>CONCATENATE("NAME_PkMn_", UPPER(B837))</f>
        <v/>
      </c>
      <c r="B837" s="29" t="inlineStr">
        <is>
          <t>Boltund</t>
        </is>
      </c>
      <c r="C837" s="29" t="inlineStr">
        <is>
          <t>パルスワン</t>
        </is>
      </c>
      <c r="D837" s="29" t="inlineStr">
        <is>
          <t>Fulgudog</t>
        </is>
      </c>
      <c r="E837" s="29" t="inlineStr">
        <is>
          <t>Bellektro</t>
        </is>
      </c>
      <c r="F837" s="29">
        <f>B837</f>
        <v/>
      </c>
      <c r="G837" s="29">
        <f>B837</f>
        <v/>
      </c>
      <c r="H837" s="29" t="inlineStr">
        <is>
          <t>펄스멍</t>
        </is>
      </c>
      <c r="I837" s="29" t="inlineStr">
        <is>
          <t>逐電犬</t>
        </is>
      </c>
      <c r="J837" s="29">
        <f>IFERROR(__xludf.DUMMYFUNCTION("GOOGLETRANSLATE(I837,""zh_HANT"",""zh_HANS"")"),"逐电犬")</f>
        <v/>
      </c>
      <c r="K837" s="29">
        <f>F837</f>
        <v/>
      </c>
    </row>
    <row r="838">
      <c r="A838" s="29">
        <f>CONCATENATE("NAME_PkMn_", UPPER(B838))</f>
        <v/>
      </c>
      <c r="B838" s="29" t="inlineStr">
        <is>
          <t>Rolycoly</t>
        </is>
      </c>
      <c r="C838" s="29" t="inlineStr">
        <is>
          <t>タンドン</t>
        </is>
      </c>
      <c r="D838" s="29" t="inlineStr">
        <is>
          <t>Charbi</t>
        </is>
      </c>
      <c r="E838" s="29" t="inlineStr">
        <is>
          <t>Klonkette</t>
        </is>
      </c>
      <c r="F838" s="29">
        <f>B838</f>
        <v/>
      </c>
      <c r="G838" s="29">
        <f>B838</f>
        <v/>
      </c>
      <c r="H838" s="29" t="inlineStr">
        <is>
          <t>탄동</t>
        </is>
      </c>
      <c r="I838" s="29" t="inlineStr">
        <is>
          <t>小炭仔</t>
        </is>
      </c>
      <c r="J838" s="29">
        <f>I838</f>
        <v/>
      </c>
      <c r="K838" s="29">
        <f>F838</f>
        <v/>
      </c>
    </row>
    <row r="839">
      <c r="A839" s="29">
        <f>CONCATENATE("NAME_PkMn_", UPPER(B839))</f>
        <v/>
      </c>
      <c r="B839" s="29" t="inlineStr">
        <is>
          <t>Carkol</t>
        </is>
      </c>
      <c r="C839" s="29" t="inlineStr">
        <is>
          <t>トロッゴン</t>
        </is>
      </c>
      <c r="D839" s="29" t="inlineStr">
        <is>
          <t>Wagomine</t>
        </is>
      </c>
      <c r="E839" s="29" t="inlineStr">
        <is>
          <t>Wagong</t>
        </is>
      </c>
      <c r="F839" s="29">
        <f>B839</f>
        <v/>
      </c>
      <c r="G839" s="29">
        <f>B839</f>
        <v/>
      </c>
      <c r="H839" s="29" t="inlineStr">
        <is>
          <t>탄차곤</t>
        </is>
      </c>
      <c r="I839" s="29" t="inlineStr">
        <is>
          <t>大炭車</t>
        </is>
      </c>
      <c r="J839" s="29">
        <f>IFERROR(__xludf.DUMMYFUNCTION("GOOGLETRANSLATE(I839,""zh_HANT"",""zh_HANS"")"),"大炭车")</f>
        <v/>
      </c>
      <c r="K839" s="29">
        <f>F839</f>
        <v/>
      </c>
    </row>
    <row r="840">
      <c r="A840" s="29">
        <f>CONCATENATE("NAME_PkMn_", UPPER(B840))</f>
        <v/>
      </c>
      <c r="B840" s="29" t="inlineStr">
        <is>
          <t>Coalossal</t>
        </is>
      </c>
      <c r="C840" s="29" t="inlineStr">
        <is>
          <t>セキタンザン</t>
        </is>
      </c>
      <c r="D840" s="29" t="inlineStr">
        <is>
          <t>Monthracite</t>
        </is>
      </c>
      <c r="E840" s="29" t="inlineStr">
        <is>
          <t>Montecarbo</t>
        </is>
      </c>
      <c r="F840" s="29">
        <f>B840</f>
        <v/>
      </c>
      <c r="G840" s="29">
        <f>B840</f>
        <v/>
      </c>
      <c r="H840" s="29" t="inlineStr">
        <is>
          <t>석탄산</t>
        </is>
      </c>
      <c r="I840" s="29" t="inlineStr">
        <is>
          <t>巨炭山</t>
        </is>
      </c>
      <c r="J840" s="29">
        <f>I840</f>
        <v/>
      </c>
      <c r="K840" s="29">
        <f>F840</f>
        <v/>
      </c>
    </row>
    <row r="841">
      <c r="A841" s="29">
        <f>CONCATENATE("NAME_PkMn_", UPPER(B841))</f>
        <v/>
      </c>
      <c r="B841" s="29" t="inlineStr">
        <is>
          <t>Applin</t>
        </is>
      </c>
      <c r="C841" s="29" t="inlineStr">
        <is>
          <t>カジッチュ</t>
        </is>
      </c>
      <c r="D841" s="29" t="inlineStr">
        <is>
          <t>Verpom</t>
        </is>
      </c>
      <c r="E841" s="29" t="inlineStr">
        <is>
          <t>Knapfel</t>
        </is>
      </c>
      <c r="F841" s="29">
        <f>B841</f>
        <v/>
      </c>
      <c r="G841" s="29">
        <f>B841</f>
        <v/>
      </c>
      <c r="H841" s="29" t="inlineStr">
        <is>
          <t>과사삭벌레</t>
        </is>
      </c>
      <c r="I841" s="29" t="inlineStr">
        <is>
          <t>啃果蟲</t>
        </is>
      </c>
      <c r="J841" s="29">
        <f>IFERROR(__xludf.DUMMYFUNCTION("GOOGLETRANSLATE(I841,""zh_HANT"",""zh_HANS"")"),"啃果虫")</f>
        <v/>
      </c>
      <c r="K841" s="29">
        <f>F841</f>
        <v/>
      </c>
    </row>
    <row r="842">
      <c r="A842" s="29">
        <f>CONCATENATE("NAME_PkMn_", UPPER(B842))</f>
        <v/>
      </c>
      <c r="B842" s="29" t="inlineStr">
        <is>
          <t>Flapple</t>
        </is>
      </c>
      <c r="C842" s="29" t="inlineStr">
        <is>
          <t>アップリュー</t>
        </is>
      </c>
      <c r="D842" s="29" t="inlineStr">
        <is>
          <t>Pomdrapi</t>
        </is>
      </c>
      <c r="E842" s="29" t="inlineStr">
        <is>
          <t>Drapfel</t>
        </is>
      </c>
      <c r="F842" s="29">
        <f>B842</f>
        <v/>
      </c>
      <c r="G842" s="29">
        <f>B842</f>
        <v/>
      </c>
      <c r="H842" s="29" t="inlineStr">
        <is>
          <t>애프룡</t>
        </is>
      </c>
      <c r="I842" s="29" t="inlineStr">
        <is>
          <t>蘋裹龍</t>
        </is>
      </c>
      <c r="J842" s="29">
        <f>IFERROR(__xludf.DUMMYFUNCTION("GOOGLETRANSLATE(I842,""zh_HANT"",""zh_HANS"")"),"苹裹龙")</f>
        <v/>
      </c>
      <c r="K842" s="29">
        <f>F842</f>
        <v/>
      </c>
    </row>
    <row r="843">
      <c r="A843" s="29">
        <f>CONCATENATE("NAME_PkMn_", UPPER(B843))</f>
        <v/>
      </c>
      <c r="B843" s="29" t="inlineStr">
        <is>
          <t>Appletun</t>
        </is>
      </c>
      <c r="C843" s="29" t="inlineStr">
        <is>
          <t>タルップル</t>
        </is>
      </c>
      <c r="D843" s="29" t="inlineStr">
        <is>
          <t>Dratatin</t>
        </is>
      </c>
      <c r="E843" s="29" t="inlineStr">
        <is>
          <t>Schlapfel</t>
        </is>
      </c>
      <c r="F843" s="29">
        <f>B843</f>
        <v/>
      </c>
      <c r="G843" s="29">
        <f>B843</f>
        <v/>
      </c>
      <c r="H843" s="29" t="inlineStr">
        <is>
          <t>단지래플</t>
        </is>
      </c>
      <c r="I843" s="29" t="inlineStr">
        <is>
          <t>豐蜜龍</t>
        </is>
      </c>
      <c r="J843" s="29">
        <f>IFERROR(__xludf.DUMMYFUNCTION("GOOGLETRANSLATE(I843,""zh_HANT"",""zh_HANS"")"),"丰蜜龙")</f>
        <v/>
      </c>
      <c r="K843" s="29">
        <f>F843</f>
        <v/>
      </c>
    </row>
    <row r="844">
      <c r="A844" s="29">
        <f>CONCATENATE("NAME_PkMn_", UPPER(B844))</f>
        <v/>
      </c>
      <c r="B844" s="29" t="inlineStr">
        <is>
          <t>Silicobra</t>
        </is>
      </c>
      <c r="C844" s="29" t="inlineStr">
        <is>
          <t>スナヘビ</t>
        </is>
      </c>
      <c r="D844" s="29" t="inlineStr">
        <is>
          <t>Dunaja</t>
        </is>
      </c>
      <c r="E844" s="29" t="inlineStr">
        <is>
          <t>Salanga</t>
        </is>
      </c>
      <c r="F844" s="29">
        <f>B844</f>
        <v/>
      </c>
      <c r="G844" s="29">
        <f>B844</f>
        <v/>
      </c>
      <c r="H844" s="29" t="inlineStr">
        <is>
          <t>모래뱀</t>
        </is>
      </c>
      <c r="I844" s="29" t="inlineStr">
        <is>
          <t>沙包蛇</t>
        </is>
      </c>
      <c r="J844" s="29">
        <f>I844</f>
        <v/>
      </c>
      <c r="K844" s="29">
        <f>F844</f>
        <v/>
      </c>
    </row>
    <row r="845">
      <c r="A845" s="29">
        <f>CONCATENATE("NAME_PkMn_", UPPER(B845))</f>
        <v/>
      </c>
      <c r="B845" s="29" t="inlineStr">
        <is>
          <t>Sandaconda</t>
        </is>
      </c>
      <c r="C845" s="29" t="inlineStr">
        <is>
          <t>サダイジャ</t>
        </is>
      </c>
      <c r="D845" s="29" t="inlineStr">
        <is>
          <t>Dunaconda</t>
        </is>
      </c>
      <c r="E845" s="29" t="inlineStr">
        <is>
          <t>Sanaconda</t>
        </is>
      </c>
      <c r="F845" s="29">
        <f>B845</f>
        <v/>
      </c>
      <c r="G845" s="29">
        <f>B845</f>
        <v/>
      </c>
      <c r="H845" s="29" t="inlineStr">
        <is>
          <t>사다이사</t>
        </is>
      </c>
      <c r="I845" s="29" t="inlineStr">
        <is>
          <t>沙螺蟒</t>
        </is>
      </c>
      <c r="J845" s="29">
        <f>I845</f>
        <v/>
      </c>
      <c r="K845" s="29">
        <f>F845</f>
        <v/>
      </c>
    </row>
    <row r="846">
      <c r="A846" s="29">
        <f>CONCATENATE("NAME_PkMn_", UPPER(B846))</f>
        <v/>
      </c>
      <c r="B846" s="29" t="inlineStr">
        <is>
          <t>Cramorant</t>
        </is>
      </c>
      <c r="C846" s="29" t="inlineStr">
        <is>
          <t>ウッウ</t>
        </is>
      </c>
      <c r="D846" s="29" t="inlineStr">
        <is>
          <t>Nigosier</t>
        </is>
      </c>
      <c r="E846" s="29" t="inlineStr">
        <is>
          <t>Urgl</t>
        </is>
      </c>
      <c r="F846" s="29">
        <f>B846</f>
        <v/>
      </c>
      <c r="G846" s="29">
        <f>B846</f>
        <v/>
      </c>
      <c r="H846" s="29" t="inlineStr">
        <is>
          <t>윽우지</t>
        </is>
      </c>
      <c r="I846" s="29" t="inlineStr">
        <is>
          <t>古月鳥</t>
        </is>
      </c>
      <c r="J846" s="29">
        <f>IFERROR(__xludf.DUMMYFUNCTION("GOOGLETRANSLATE(I846,""zh_HANT"",""zh_HANS"")"),"古月鸟")</f>
        <v/>
      </c>
      <c r="K846" s="29">
        <f>F846</f>
        <v/>
      </c>
    </row>
    <row r="847">
      <c r="A847" s="29">
        <f>CONCATENATE("NAME_PkMn_", UPPER(B847))</f>
        <v/>
      </c>
      <c r="B847" s="29" t="inlineStr">
        <is>
          <t>Arrokuda</t>
        </is>
      </c>
      <c r="C847" s="29" t="inlineStr">
        <is>
          <t>サシカマス</t>
        </is>
      </c>
      <c r="D847" s="29" t="inlineStr">
        <is>
          <t>Embrochet</t>
        </is>
      </c>
      <c r="E847" s="29" t="inlineStr">
        <is>
          <t>Pikuda</t>
        </is>
      </c>
      <c r="F847" s="29">
        <f>B847</f>
        <v/>
      </c>
      <c r="G847" s="29">
        <f>B847</f>
        <v/>
      </c>
      <c r="H847" s="29" t="inlineStr">
        <is>
          <t>찌로꼬치</t>
        </is>
      </c>
      <c r="I847" s="29" t="inlineStr">
        <is>
          <t>刺梭魚</t>
        </is>
      </c>
      <c r="J847" s="29">
        <f>IFERROR(__xludf.DUMMYFUNCTION("GOOGLETRANSLATE(I847,""zh_HANT"",""zh_HANS"")"),"刺梭鱼")</f>
        <v/>
      </c>
      <c r="K847" s="29">
        <f>F847</f>
        <v/>
      </c>
    </row>
    <row r="848">
      <c r="A848" s="29">
        <f>CONCATENATE("NAME_PkMn_", UPPER(B848))</f>
        <v/>
      </c>
      <c r="B848" s="29" t="inlineStr">
        <is>
          <t>Barraskewda</t>
        </is>
      </c>
      <c r="C848" s="29" t="inlineStr">
        <is>
          <t>カマスジョー</t>
        </is>
      </c>
      <c r="D848" s="29" t="inlineStr">
        <is>
          <t>Hastacuda</t>
        </is>
      </c>
      <c r="E848" s="29" t="inlineStr">
        <is>
          <t>Barrakiefa</t>
        </is>
      </c>
      <c r="F848" s="29">
        <f>B848</f>
        <v/>
      </c>
      <c r="G848" s="29">
        <f>B848</f>
        <v/>
      </c>
      <c r="H848" s="29" t="inlineStr">
        <is>
          <t>꼬치조</t>
        </is>
      </c>
      <c r="I848" s="29" t="inlineStr">
        <is>
          <t>戽斗尖梭</t>
        </is>
      </c>
      <c r="J848" s="29">
        <f>I848</f>
        <v/>
      </c>
      <c r="K848" s="29">
        <f>F848</f>
        <v/>
      </c>
    </row>
    <row r="849">
      <c r="A849" s="29">
        <f>CONCATENATE("NAME_PkMn_", UPPER(B849))</f>
        <v/>
      </c>
      <c r="B849" s="29" t="inlineStr">
        <is>
          <t>Toxel</t>
        </is>
      </c>
      <c r="C849" s="29" t="inlineStr">
        <is>
          <t>エレゼン</t>
        </is>
      </c>
      <c r="D849" s="29" t="inlineStr">
        <is>
          <t>Toxizap</t>
        </is>
      </c>
      <c r="E849" s="29">
        <f>B849</f>
        <v/>
      </c>
      <c r="F849" s="29">
        <f>B849</f>
        <v/>
      </c>
      <c r="G849" s="29">
        <f>B849</f>
        <v/>
      </c>
      <c r="H849" s="29" t="inlineStr">
        <is>
          <t>일레즌</t>
        </is>
      </c>
      <c r="I849" s="29" t="inlineStr">
        <is>
          <t>毒電嬰</t>
        </is>
      </c>
      <c r="J849" s="10" t="inlineStr">
        <is>
          <t>电音婴</t>
        </is>
      </c>
      <c r="K849" s="29">
        <f>F849</f>
        <v/>
      </c>
    </row>
    <row r="850">
      <c r="A850" s="29">
        <f>CONCATENATE("NAME_PkMn_", UPPER(B850))</f>
        <v/>
      </c>
      <c r="B850" s="29" t="inlineStr">
        <is>
          <t>Toxtricity</t>
        </is>
      </c>
      <c r="C850" s="29" t="inlineStr">
        <is>
          <t>ストリンダー</t>
        </is>
      </c>
      <c r="D850" s="29" t="inlineStr">
        <is>
          <t>Salarsen</t>
        </is>
      </c>
      <c r="E850" s="29" t="inlineStr">
        <is>
          <t>Riffex</t>
        </is>
      </c>
      <c r="F850" s="29">
        <f>B850</f>
        <v/>
      </c>
      <c r="G850" s="29">
        <f>B850</f>
        <v/>
      </c>
      <c r="H850" s="29" t="inlineStr">
        <is>
          <t>스트린더</t>
        </is>
      </c>
      <c r="I850" s="29" t="inlineStr">
        <is>
          <t>顫弦蠑螈</t>
        </is>
      </c>
      <c r="J850" s="29">
        <f>IFERROR(__xludf.DUMMYFUNCTION("GOOGLETRANSLATE(I850,""zh_HANT"",""zh_HANS"")"),"颤弦蝾螈")</f>
        <v/>
      </c>
      <c r="K850" s="29">
        <f>F850</f>
        <v/>
      </c>
    </row>
    <row r="851">
      <c r="A851" s="29">
        <f>CONCATENATE("NAME_PkMn_", UPPER(B851))</f>
        <v/>
      </c>
      <c r="B851" s="29" t="inlineStr">
        <is>
          <t>Sizzlipede</t>
        </is>
      </c>
      <c r="C851" s="29" t="inlineStr">
        <is>
          <t>ヤクデ</t>
        </is>
      </c>
      <c r="D851" s="29" t="inlineStr">
        <is>
          <t>Grillepattes</t>
        </is>
      </c>
      <c r="E851" s="29" t="inlineStr">
        <is>
          <t>Thermopod</t>
        </is>
      </c>
      <c r="F851" s="29">
        <f>B851</f>
        <v/>
      </c>
      <c r="G851" s="29">
        <f>B851</f>
        <v/>
      </c>
      <c r="H851" s="29" t="inlineStr">
        <is>
          <t>태우지네</t>
        </is>
      </c>
      <c r="I851" s="29" t="inlineStr">
        <is>
          <t>燒火蚣</t>
        </is>
      </c>
      <c r="J851" s="29">
        <f>IFERROR(__xludf.DUMMYFUNCTION("GOOGLETRANSLATE(I851,""zh_HANT"",""zh_HANS"")"),"烧火蚣")</f>
        <v/>
      </c>
      <c r="K851" s="29">
        <f>F851</f>
        <v/>
      </c>
    </row>
    <row r="852">
      <c r="A852" s="29">
        <f>CONCATENATE("NAME_PkMn_", UPPER(B852))</f>
        <v/>
      </c>
      <c r="B852" s="29" t="inlineStr">
        <is>
          <t>Centiskorch</t>
        </is>
      </c>
      <c r="C852" s="29" t="inlineStr">
        <is>
          <t>マルヤクデ</t>
        </is>
      </c>
      <c r="D852" s="29" t="inlineStr">
        <is>
          <t>Scolocendre</t>
        </is>
      </c>
      <c r="E852" s="29" t="inlineStr">
        <is>
          <t>Infernopod</t>
        </is>
      </c>
      <c r="F852" s="29">
        <f>B852</f>
        <v/>
      </c>
      <c r="G852" s="29">
        <f>B852</f>
        <v/>
      </c>
      <c r="H852" s="29" t="inlineStr">
        <is>
          <t>다태우지네</t>
        </is>
      </c>
      <c r="I852" s="29" t="inlineStr">
        <is>
          <t>焚焰蚣</t>
        </is>
      </c>
      <c r="J852" s="29">
        <f>I852</f>
        <v/>
      </c>
      <c r="K852" s="29">
        <f>F852</f>
        <v/>
      </c>
    </row>
    <row r="853">
      <c r="A853" s="29">
        <f>CONCATENATE("NAME_PkMn_", UPPER(B853))</f>
        <v/>
      </c>
      <c r="B853" s="29" t="inlineStr">
        <is>
          <t>Clobbopus</t>
        </is>
      </c>
      <c r="C853" s="29" t="inlineStr">
        <is>
          <t>タタッコ</t>
        </is>
      </c>
      <c r="D853" s="29" t="inlineStr">
        <is>
          <t>Poulpaf</t>
        </is>
      </c>
      <c r="E853" s="29" t="inlineStr">
        <is>
          <t>Klopptopus</t>
        </is>
      </c>
      <c r="F853" s="29">
        <f>B853</f>
        <v/>
      </c>
      <c r="G853" s="29">
        <f>B853</f>
        <v/>
      </c>
      <c r="H853" s="29" t="inlineStr">
        <is>
          <t>때때무노</t>
        </is>
      </c>
      <c r="I853" s="29" t="inlineStr">
        <is>
          <t>拳拳蛸</t>
        </is>
      </c>
      <c r="J853" s="29">
        <f>I853</f>
        <v/>
      </c>
      <c r="K853" s="29">
        <f>F853</f>
        <v/>
      </c>
    </row>
    <row r="854">
      <c r="A854" s="29">
        <f>CONCATENATE("NAME_PkMn_", UPPER(B854))</f>
        <v/>
      </c>
      <c r="B854" s="29" t="inlineStr">
        <is>
          <t>Grapploct</t>
        </is>
      </c>
      <c r="C854" s="29" t="inlineStr">
        <is>
          <t>オトスパス</t>
        </is>
      </c>
      <c r="D854" s="29" t="inlineStr">
        <is>
          <t>Krakos</t>
        </is>
      </c>
      <c r="E854" s="29" t="inlineStr">
        <is>
          <t>Kaocto</t>
        </is>
      </c>
      <c r="F854" s="29">
        <f>B854</f>
        <v/>
      </c>
      <c r="G854" s="29">
        <f>B854</f>
        <v/>
      </c>
      <c r="H854" s="29" t="inlineStr">
        <is>
          <t>케오퍼스</t>
        </is>
      </c>
      <c r="I854" s="29" t="inlineStr">
        <is>
          <t>八爪武師</t>
        </is>
      </c>
      <c r="J854" s="29">
        <f>IFERROR(__xludf.DUMMYFUNCTION("GOOGLETRANSLATE(I854,""zh_HANT"",""zh_HANS"")"),"八爪武师")</f>
        <v/>
      </c>
      <c r="K854" s="29">
        <f>F854</f>
        <v/>
      </c>
    </row>
    <row r="855">
      <c r="A855" s="29">
        <f>CONCATENATE("NAME_PkMn_", UPPER(B855))</f>
        <v/>
      </c>
      <c r="B855" s="29" t="inlineStr">
        <is>
          <t>Sinistea</t>
        </is>
      </c>
      <c r="C855" s="29" t="inlineStr">
        <is>
          <t>ヤバチャ</t>
        </is>
      </c>
      <c r="D855" s="29" t="inlineStr">
        <is>
          <t>Théffroi</t>
        </is>
      </c>
      <c r="E855" s="29" t="inlineStr">
        <is>
          <t>Fatalitee</t>
        </is>
      </c>
      <c r="F855" s="29">
        <f>B855</f>
        <v/>
      </c>
      <c r="G855" s="29">
        <f>B855</f>
        <v/>
      </c>
      <c r="H855" s="29" t="inlineStr">
        <is>
          <t>데인차</t>
        </is>
      </c>
      <c r="I855" s="29" t="inlineStr">
        <is>
          <t>來悲茶</t>
        </is>
      </c>
      <c r="J855" s="29">
        <f>I855</f>
        <v/>
      </c>
      <c r="K855" s="29">
        <f>F855</f>
        <v/>
      </c>
    </row>
    <row r="856">
      <c r="A856" s="29">
        <f>CONCATENATE("NAME_PkMn_", UPPER(B856))</f>
        <v/>
      </c>
      <c r="B856" s="29" t="inlineStr">
        <is>
          <t>Polteageist</t>
        </is>
      </c>
      <c r="C856" s="29" t="inlineStr">
        <is>
          <t>ポットデス</t>
        </is>
      </c>
      <c r="D856" s="29" t="inlineStr">
        <is>
          <t>Polthégeist</t>
        </is>
      </c>
      <c r="E856" s="29" t="inlineStr">
        <is>
          <t>Mortipot</t>
        </is>
      </c>
      <c r="F856" s="29">
        <f>B856</f>
        <v/>
      </c>
      <c r="G856" s="29">
        <f>B856</f>
        <v/>
      </c>
      <c r="H856" s="29" t="inlineStr">
        <is>
          <t>포트데스</t>
        </is>
      </c>
      <c r="I856" s="29" t="inlineStr">
        <is>
          <t>怖思壺</t>
        </is>
      </c>
      <c r="J856" s="29">
        <f>IFERROR(__xludf.DUMMYFUNCTION("GOOGLETRANSLATE(I856,""zh_HANT"",""zh_HANS"")"),"怖思壶")</f>
        <v/>
      </c>
      <c r="K856" s="29">
        <f>F856</f>
        <v/>
      </c>
    </row>
    <row r="857">
      <c r="A857" s="29">
        <f>CONCATENATE("NAME_PkMn_", UPPER(B857))</f>
        <v/>
      </c>
      <c r="B857" s="29" t="inlineStr">
        <is>
          <t>Hatenna</t>
        </is>
      </c>
      <c r="C857" s="29" t="inlineStr">
        <is>
          <t>ミブリム</t>
        </is>
      </c>
      <c r="D857" s="29" t="inlineStr">
        <is>
          <t>Bibichut</t>
        </is>
      </c>
      <c r="E857" s="29" t="inlineStr">
        <is>
          <t>Brimova</t>
        </is>
      </c>
      <c r="F857" s="29">
        <f>B857</f>
        <v/>
      </c>
      <c r="G857" s="29">
        <f>B857</f>
        <v/>
      </c>
      <c r="H857" s="29" t="inlineStr">
        <is>
          <t>몸지브림</t>
        </is>
      </c>
      <c r="I857" s="29" t="inlineStr">
        <is>
          <t>迷布莉姆</t>
        </is>
      </c>
      <c r="J857" s="29">
        <f>I857</f>
        <v/>
      </c>
      <c r="K857" s="29">
        <f>F857</f>
        <v/>
      </c>
    </row>
    <row r="858">
      <c r="A858" s="29">
        <f>CONCATENATE("NAME_PkMn_", UPPER(B858))</f>
        <v/>
      </c>
      <c r="B858" s="29" t="inlineStr">
        <is>
          <t>Hattrem</t>
        </is>
      </c>
      <c r="C858" s="29" t="inlineStr">
        <is>
          <t>テブリム</t>
        </is>
      </c>
      <c r="D858" s="29" t="inlineStr">
        <is>
          <t>Chapotus</t>
        </is>
      </c>
      <c r="E858" s="29" t="inlineStr">
        <is>
          <t>Brimano</t>
        </is>
      </c>
      <c r="F858" s="29">
        <f>B858</f>
        <v/>
      </c>
      <c r="G858" s="29">
        <f>B858</f>
        <v/>
      </c>
      <c r="H858" s="29" t="inlineStr">
        <is>
          <t>손지브림</t>
        </is>
      </c>
      <c r="I858" s="29" t="inlineStr">
        <is>
          <t>提布莉姆</t>
        </is>
      </c>
      <c r="J858" s="29">
        <f>I858</f>
        <v/>
      </c>
      <c r="K858" s="29">
        <f>F858</f>
        <v/>
      </c>
    </row>
    <row r="859">
      <c r="A859" s="29">
        <f>CONCATENATE("NAME_PkMn_", UPPER(B859))</f>
        <v/>
      </c>
      <c r="B859" s="29" t="inlineStr">
        <is>
          <t>Hatterene</t>
        </is>
      </c>
      <c r="C859" s="29" t="inlineStr">
        <is>
          <t>ブリムオン</t>
        </is>
      </c>
      <c r="D859" s="29" t="inlineStr">
        <is>
          <t>Sorcilence</t>
        </is>
      </c>
      <c r="E859" s="29" t="inlineStr">
        <is>
          <t>Silembrim</t>
        </is>
      </c>
      <c r="F859" s="29">
        <f>B859</f>
        <v/>
      </c>
      <c r="G859" s="29">
        <f>B859</f>
        <v/>
      </c>
      <c r="H859" s="29" t="inlineStr">
        <is>
          <t>브리무음</t>
        </is>
      </c>
      <c r="I859" s="29" t="inlineStr">
        <is>
          <t>布莉姆溫</t>
        </is>
      </c>
      <c r="J859" s="29">
        <f>IFERROR(__xludf.DUMMYFUNCTION("GOOGLETRANSLATE(I859,""zh_HANT"",""zh_HANS"")"),"布莉姆温")</f>
        <v/>
      </c>
      <c r="K859" s="29">
        <f>F859</f>
        <v/>
      </c>
    </row>
    <row r="860">
      <c r="A860" s="29">
        <f>CONCATENATE("NAME_PkMn_", UPPER(B860))</f>
        <v/>
      </c>
      <c r="B860" s="29" t="inlineStr">
        <is>
          <t>Impidimp</t>
        </is>
      </c>
      <c r="C860" s="29" t="inlineStr">
        <is>
          <t>ベロバー</t>
        </is>
      </c>
      <c r="D860" s="29" t="inlineStr">
        <is>
          <t>Grimalin</t>
        </is>
      </c>
      <c r="E860" s="29" t="inlineStr">
        <is>
          <t>Bähmon</t>
        </is>
      </c>
      <c r="F860" s="29">
        <f>B860</f>
        <v/>
      </c>
      <c r="G860" s="29">
        <f>B860</f>
        <v/>
      </c>
      <c r="H860" s="29" t="inlineStr">
        <is>
          <t>메롱꿍</t>
        </is>
      </c>
      <c r="I860" s="29" t="inlineStr">
        <is>
          <t>搗蛋小妖</t>
        </is>
      </c>
      <c r="J860" s="29">
        <f>IFERROR(__xludf.DUMMYFUNCTION("GOOGLETRANSLATE(I860,""zh_HANT"",""zh_HANS"")"),"捣蛋小妖")</f>
        <v/>
      </c>
      <c r="K860" s="29">
        <f>F860</f>
        <v/>
      </c>
    </row>
    <row r="861">
      <c r="A861" s="29">
        <f>CONCATENATE("NAME_PkMn_", UPPER(B861))</f>
        <v/>
      </c>
      <c r="B861" s="29" t="inlineStr">
        <is>
          <t>Morgrem</t>
        </is>
      </c>
      <c r="C861" s="29" t="inlineStr">
        <is>
          <t>ギモー</t>
        </is>
      </c>
      <c r="D861" s="29" t="inlineStr">
        <is>
          <t>Fourbelin</t>
        </is>
      </c>
      <c r="E861" s="29" t="inlineStr">
        <is>
          <t>Pelzebub</t>
        </is>
      </c>
      <c r="F861" s="29">
        <f>B861</f>
        <v/>
      </c>
      <c r="G861" s="29">
        <f>B861</f>
        <v/>
      </c>
      <c r="H861" s="29" t="inlineStr">
        <is>
          <t>쏘겨모</t>
        </is>
      </c>
      <c r="I861" s="29" t="inlineStr">
        <is>
          <t>詐唬魔</t>
        </is>
      </c>
      <c r="J861" s="29">
        <f>IFERROR(__xludf.DUMMYFUNCTION("GOOGLETRANSLATE(I861,""zh_HANT"",""zh_HANS"")"),"诈唬魔")</f>
        <v/>
      </c>
      <c r="K861" s="29">
        <f>F861</f>
        <v/>
      </c>
    </row>
    <row r="862">
      <c r="A862" s="29">
        <f>CONCATENATE("NAME_PkMn_", UPPER(B862))</f>
        <v/>
      </c>
      <c r="B862" s="29" t="inlineStr">
        <is>
          <t>Grimmsnarl</t>
        </is>
      </c>
      <c r="C862" s="29" t="inlineStr">
        <is>
          <t>オーロンゲ</t>
        </is>
      </c>
      <c r="D862" s="29" t="inlineStr">
        <is>
          <t>Angoliath</t>
        </is>
      </c>
      <c r="E862" s="29" t="inlineStr">
        <is>
          <t>Olangaar</t>
        </is>
      </c>
      <c r="F862" s="29">
        <f>B862</f>
        <v/>
      </c>
      <c r="G862" s="29">
        <f>B862</f>
        <v/>
      </c>
      <c r="H862" s="29" t="inlineStr">
        <is>
          <t>오롱털</t>
        </is>
      </c>
      <c r="I862" s="29" t="inlineStr">
        <is>
          <t>長毛巨魔</t>
        </is>
      </c>
      <c r="J862" s="29">
        <f>IFERROR(__xludf.DUMMYFUNCTION("GOOGLETRANSLATE(I862,""zh_HANT"",""zh_HANS"")"),"长毛巨魔")</f>
        <v/>
      </c>
      <c r="K862" s="29">
        <f>F862</f>
        <v/>
      </c>
    </row>
    <row r="863">
      <c r="A863" s="29">
        <f>CONCATENATE("NAME_PkMn_", UPPER(B863))</f>
        <v/>
      </c>
      <c r="B863" s="29" t="inlineStr">
        <is>
          <t>Obstagoon</t>
        </is>
      </c>
      <c r="C863" s="29" t="inlineStr">
        <is>
          <t>タチフサグマ</t>
        </is>
      </c>
      <c r="D863" s="29" t="inlineStr">
        <is>
          <t>Ixon</t>
        </is>
      </c>
      <c r="E863" s="29" t="inlineStr">
        <is>
          <t>Barrikadax</t>
        </is>
      </c>
      <c r="F863" s="29">
        <f>B863</f>
        <v/>
      </c>
      <c r="G863" s="29">
        <f>B863</f>
        <v/>
      </c>
      <c r="H863" s="29" t="inlineStr">
        <is>
          <t>가로막구리</t>
        </is>
      </c>
      <c r="I863" s="29" t="inlineStr">
        <is>
          <t>堵攔熊</t>
        </is>
      </c>
      <c r="J863" s="29">
        <f>IFERROR(__xludf.DUMMYFUNCTION("GOOGLETRANSLATE(I863,""zh_HANT"",""zh_HANS"")"),"堵拦熊")</f>
        <v/>
      </c>
      <c r="K863" s="29">
        <f>F863</f>
        <v/>
      </c>
    </row>
    <row r="864">
      <c r="A864" s="29">
        <f>CONCATENATE("NAME_PkMn_", UPPER(B864))</f>
        <v/>
      </c>
      <c r="B864" s="29" t="inlineStr">
        <is>
          <t>Perrserker</t>
        </is>
      </c>
      <c r="C864" s="29" t="inlineStr">
        <is>
          <t>ニャイキング</t>
        </is>
      </c>
      <c r="D864" s="29" t="inlineStr">
        <is>
          <t>Berserkatt</t>
        </is>
      </c>
      <c r="E864" s="29" t="inlineStr">
        <is>
          <t>Mauzinger</t>
        </is>
      </c>
      <c r="F864" s="29">
        <f>B864</f>
        <v/>
      </c>
      <c r="G864" s="29">
        <f>B864</f>
        <v/>
      </c>
      <c r="H864" s="29" t="inlineStr">
        <is>
          <t>나이킹</t>
        </is>
      </c>
      <c r="I864" s="29" t="inlineStr">
        <is>
          <t>喵頭目</t>
        </is>
      </c>
      <c r="J864" s="29">
        <f>IFERROR(__xludf.DUMMYFUNCTION("GOOGLETRANSLATE(I864,""zh_HANT"",""zh_HANS"")"),"喵头目")</f>
        <v/>
      </c>
      <c r="K864" s="29">
        <f>F864</f>
        <v/>
      </c>
    </row>
    <row r="865">
      <c r="A865" s="29">
        <f>CONCATENATE("NAME_PkMn_", UPPER(B865))</f>
        <v/>
      </c>
      <c r="B865" s="29" t="inlineStr">
        <is>
          <t>Cursola</t>
        </is>
      </c>
      <c r="C865" s="29" t="inlineStr">
        <is>
          <t>サニゴーン</t>
        </is>
      </c>
      <c r="D865" s="29" t="inlineStr">
        <is>
          <t>Corayôme</t>
        </is>
      </c>
      <c r="E865" s="29" t="inlineStr">
        <is>
          <t>Gorgasonn</t>
        </is>
      </c>
      <c r="F865" s="29">
        <f>B865</f>
        <v/>
      </c>
      <c r="G865" s="29">
        <f>B865</f>
        <v/>
      </c>
      <c r="H865" s="29" t="inlineStr">
        <is>
          <t>산호르곤</t>
        </is>
      </c>
      <c r="I865" s="29" t="inlineStr">
        <is>
          <t>魔靈珊瑚</t>
        </is>
      </c>
      <c r="J865" s="29">
        <f>IFERROR(__xludf.DUMMYFUNCTION("GOOGLETRANSLATE(I865,""zh_HANT"",""zh_HANS"")"),"魔灵珊瑚")</f>
        <v/>
      </c>
      <c r="K865" s="29">
        <f>F865</f>
        <v/>
      </c>
    </row>
    <row r="866">
      <c r="A866" s="29" t="inlineStr">
        <is>
          <t>NAME_PkMn_SIRFETCHD</t>
        </is>
      </c>
      <c r="B866" s="29" t="inlineStr">
        <is>
          <t>Sirfetch'd</t>
        </is>
      </c>
      <c r="C866" s="29" t="inlineStr">
        <is>
          <t>ネギガナイト</t>
        </is>
      </c>
      <c r="D866" s="29" t="inlineStr">
        <is>
          <t>Palarticho</t>
        </is>
      </c>
      <c r="E866" s="29" t="inlineStr">
        <is>
          <t>Lauchzelot</t>
        </is>
      </c>
      <c r="F866" s="29">
        <f>B866</f>
        <v/>
      </c>
      <c r="G866" s="29">
        <f>B866</f>
        <v/>
      </c>
      <c r="H866" s="29" t="inlineStr">
        <is>
          <t>창파나이트</t>
        </is>
      </c>
      <c r="I866" s="29" t="inlineStr">
        <is>
          <t>蔥遊兵</t>
        </is>
      </c>
      <c r="J866" s="29">
        <f>IFERROR(__xludf.DUMMYFUNCTION("GOOGLETRANSLATE(I866,""zh_HANT"",""zh_HANS"")"),"葱游兵")</f>
        <v/>
      </c>
      <c r="K866" s="29">
        <f>F866</f>
        <v/>
      </c>
    </row>
    <row r="867">
      <c r="A867" s="29" t="inlineStr">
        <is>
          <t>NAME_PkMn_MRRIME</t>
        </is>
      </c>
      <c r="B867" s="29" t="inlineStr">
        <is>
          <t>Mr. Rime</t>
        </is>
      </c>
      <c r="C867" s="29" t="inlineStr">
        <is>
          <t>バリコオル</t>
        </is>
      </c>
      <c r="D867" s="29" t="inlineStr">
        <is>
          <t>M. Glaquette</t>
        </is>
      </c>
      <c r="E867" s="29" t="inlineStr">
        <is>
          <t>Pantifrost</t>
        </is>
      </c>
      <c r="F867" s="29">
        <f>B867</f>
        <v/>
      </c>
      <c r="G867" s="29">
        <f>B867</f>
        <v/>
      </c>
      <c r="H867" s="29" t="inlineStr">
        <is>
          <t>마임꽁꽁</t>
        </is>
      </c>
      <c r="I867" s="29" t="inlineStr">
        <is>
          <t>踏冰人偶</t>
        </is>
      </c>
      <c r="J867" s="29">
        <f>I867</f>
        <v/>
      </c>
      <c r="K867" s="29">
        <f>F867</f>
        <v/>
      </c>
    </row>
    <row r="868">
      <c r="A868" s="29">
        <f>CONCATENATE("NAME_PkMn_", UPPER(B868))</f>
        <v/>
      </c>
      <c r="B868" s="29" t="inlineStr">
        <is>
          <t>Runerigus</t>
        </is>
      </c>
      <c r="C868" s="29" t="inlineStr">
        <is>
          <t>デスバーン</t>
        </is>
      </c>
      <c r="D868" s="29" t="inlineStr">
        <is>
          <t>Tutétékri</t>
        </is>
      </c>
      <c r="E868" s="29" t="inlineStr">
        <is>
          <t>Oghnatoll</t>
        </is>
      </c>
      <c r="F868" s="29">
        <f>B868</f>
        <v/>
      </c>
      <c r="G868" s="29">
        <f>B868</f>
        <v/>
      </c>
      <c r="H868" s="29" t="inlineStr">
        <is>
          <t>데스판</t>
        </is>
      </c>
      <c r="I868" s="29" t="inlineStr">
        <is>
          <t>死神板</t>
        </is>
      </c>
      <c r="J868" s="29" t="inlineStr">
        <is>
          <t>迭失板</t>
        </is>
      </c>
      <c r="K868" s="29">
        <f>F868</f>
        <v/>
      </c>
    </row>
    <row r="869">
      <c r="A869" s="29">
        <f>CONCATENATE("NAME_PkMn_", UPPER(B869))</f>
        <v/>
      </c>
      <c r="B869" s="29" t="inlineStr">
        <is>
          <t>Milcery</t>
        </is>
      </c>
      <c r="C869" s="29" t="inlineStr">
        <is>
          <t>マホミル</t>
        </is>
      </c>
      <c r="D869" s="29" t="inlineStr">
        <is>
          <t>Crèmy</t>
        </is>
      </c>
      <c r="E869" s="29" t="inlineStr">
        <is>
          <t>Hokumil</t>
        </is>
      </c>
      <c r="F869" s="29">
        <f>B869</f>
        <v/>
      </c>
      <c r="G869" s="29">
        <f>B869</f>
        <v/>
      </c>
      <c r="H869" s="29" t="inlineStr">
        <is>
          <t>마빌크</t>
        </is>
      </c>
      <c r="I869" s="29" t="inlineStr">
        <is>
          <t>小仙奶</t>
        </is>
      </c>
      <c r="J869" s="29">
        <f>I869</f>
        <v/>
      </c>
      <c r="K869" s="29">
        <f>F869</f>
        <v/>
      </c>
    </row>
    <row r="870">
      <c r="A870" s="29">
        <f>CONCATENATE("NAME_PkMn_", UPPER(B870))</f>
        <v/>
      </c>
      <c r="B870" s="29" t="inlineStr">
        <is>
          <t>Alcremie</t>
        </is>
      </c>
      <c r="C870" s="29" t="inlineStr">
        <is>
          <t>マホイップ</t>
        </is>
      </c>
      <c r="D870" s="29" t="inlineStr">
        <is>
          <t>Charmilly</t>
        </is>
      </c>
      <c r="E870" s="29" t="inlineStr">
        <is>
          <t>Pokusan</t>
        </is>
      </c>
      <c r="F870" s="29">
        <f>B870</f>
        <v/>
      </c>
      <c r="G870" s="29">
        <f>B870</f>
        <v/>
      </c>
      <c r="H870" s="29" t="inlineStr">
        <is>
          <t>마휘핑</t>
        </is>
      </c>
      <c r="I870" s="29" t="inlineStr">
        <is>
          <t>霜奶仙</t>
        </is>
      </c>
      <c r="J870" s="29">
        <f>I870</f>
        <v/>
      </c>
      <c r="K870" s="29">
        <f>F870</f>
        <v/>
      </c>
    </row>
    <row r="871">
      <c r="A871" s="29">
        <f>CONCATENATE("NAME_PkMn_", UPPER(B871))</f>
        <v/>
      </c>
      <c r="B871" s="29" t="inlineStr">
        <is>
          <t>Falinks</t>
        </is>
      </c>
      <c r="C871" s="29" t="inlineStr">
        <is>
          <t>タイレーツ</t>
        </is>
      </c>
      <c r="D871" s="29" t="inlineStr">
        <is>
          <t>Hexadron</t>
        </is>
      </c>
      <c r="E871" s="29" t="inlineStr">
        <is>
          <t>Legios</t>
        </is>
      </c>
      <c r="F871" s="29">
        <f>B871</f>
        <v/>
      </c>
      <c r="G871" s="29">
        <f>B871</f>
        <v/>
      </c>
      <c r="H871" s="29" t="inlineStr">
        <is>
          <t>대여르</t>
        </is>
      </c>
      <c r="I871" s="29" t="inlineStr">
        <is>
          <t>列陣兵</t>
        </is>
      </c>
      <c r="J871" s="29">
        <f>IFERROR(__xludf.DUMMYFUNCTION("GOOGLETRANSLATE(I871,""zh_HANT"",""zh_HANS"")"),"列阵兵")</f>
        <v/>
      </c>
      <c r="K871" s="29">
        <f>F871</f>
        <v/>
      </c>
    </row>
    <row r="872">
      <c r="A872" s="29">
        <f>CONCATENATE("NAME_PkMn_", UPPER(B872))</f>
        <v/>
      </c>
      <c r="B872" s="29" t="inlineStr">
        <is>
          <t>Pincurchin</t>
        </is>
      </c>
      <c r="C872" s="29" t="inlineStr">
        <is>
          <t>バチンウニ</t>
        </is>
      </c>
      <c r="D872" s="29" t="inlineStr">
        <is>
          <t>Wattapik</t>
        </is>
      </c>
      <c r="E872" s="29" t="inlineStr">
        <is>
          <t>Britzigel</t>
        </is>
      </c>
      <c r="F872" s="29">
        <f>B872</f>
        <v/>
      </c>
      <c r="G872" s="29">
        <f>B872</f>
        <v/>
      </c>
      <c r="H872" s="29" t="inlineStr">
        <is>
          <t>찌르성게</t>
        </is>
      </c>
      <c r="I872" s="29" t="inlineStr">
        <is>
          <t>啪嚓海膽</t>
        </is>
      </c>
      <c r="J872" s="29">
        <f>IFERROR(__xludf.DUMMYFUNCTION("GOOGLETRANSLATE(I872,""zh_HANT"",""zh_HANS"")"),"啪嚓海胆")</f>
        <v/>
      </c>
      <c r="K872" s="29">
        <f>F872</f>
        <v/>
      </c>
    </row>
    <row r="873">
      <c r="A873" s="29">
        <f>CONCATENATE("NAME_PkMn_", UPPER(B873))</f>
        <v/>
      </c>
      <c r="B873" s="29" t="inlineStr">
        <is>
          <t>Snom</t>
        </is>
      </c>
      <c r="C873" s="29" t="inlineStr">
        <is>
          <t>ユキハミ</t>
        </is>
      </c>
      <c r="D873" s="29" t="inlineStr">
        <is>
          <t>Frissonille</t>
        </is>
      </c>
      <c r="E873" s="29">
        <f>CONCATENATE(B873,"nom")</f>
        <v/>
      </c>
      <c r="F873" s="29">
        <f>B873</f>
        <v/>
      </c>
      <c r="G873" s="29">
        <f>B873</f>
        <v/>
      </c>
      <c r="H873" s="29" t="inlineStr">
        <is>
          <t>누니머기</t>
        </is>
      </c>
      <c r="I873" s="29" t="inlineStr">
        <is>
          <t>雪吞蟲</t>
        </is>
      </c>
      <c r="J873" s="29">
        <f>IFERROR(__xludf.DUMMYFUNCTION("GOOGLETRANSLATE(I873,""zh_HANT"",""zh_HANS"")"),"雪吞虫")</f>
        <v/>
      </c>
      <c r="K873" s="29">
        <f>F873</f>
        <v/>
      </c>
    </row>
    <row r="874">
      <c r="A874" s="29">
        <f>CONCATENATE("NAME_PkMn_", UPPER(B874))</f>
        <v/>
      </c>
      <c r="B874" s="29" t="inlineStr">
        <is>
          <t>Frosmoth</t>
        </is>
      </c>
      <c r="C874" s="29" t="inlineStr">
        <is>
          <t>モスノウ</t>
        </is>
      </c>
      <c r="D874" s="29" t="inlineStr">
        <is>
          <t>Beldeneige</t>
        </is>
      </c>
      <c r="E874" s="29" t="inlineStr">
        <is>
          <t>Mottineva</t>
        </is>
      </c>
      <c r="F874" s="29">
        <f>B874</f>
        <v/>
      </c>
      <c r="G874" s="29">
        <f>B874</f>
        <v/>
      </c>
      <c r="H874" s="29" t="inlineStr">
        <is>
          <t>모스노우</t>
        </is>
      </c>
      <c r="I874" s="29" t="inlineStr">
        <is>
          <t>雪絨蛾</t>
        </is>
      </c>
      <c r="J874" s="29">
        <f>IFERROR(__xludf.DUMMYFUNCTION("GOOGLETRANSLATE(I874,""zh_HANT"",""zh_HANS"")"),"雪绒蛾")</f>
        <v/>
      </c>
      <c r="K874" s="29">
        <f>F874</f>
        <v/>
      </c>
    </row>
    <row r="875">
      <c r="A875" s="29">
        <f>CONCATENATE("NAME_PkMn_", UPPER(B875))</f>
        <v/>
      </c>
      <c r="B875" s="29" t="inlineStr">
        <is>
          <t>Stonjourner</t>
        </is>
      </c>
      <c r="C875" s="29" t="inlineStr">
        <is>
          <t>イシヘンジン</t>
        </is>
      </c>
      <c r="D875" s="29" t="inlineStr">
        <is>
          <t>Dolman</t>
        </is>
      </c>
      <c r="E875" s="29" t="inlineStr">
        <is>
          <t>Humanolith</t>
        </is>
      </c>
      <c r="F875" s="29">
        <f>B875</f>
        <v/>
      </c>
      <c r="G875" s="29">
        <f>B875</f>
        <v/>
      </c>
      <c r="H875" s="29" t="inlineStr">
        <is>
          <t>돌헨진</t>
        </is>
      </c>
      <c r="I875" s="29" t="inlineStr">
        <is>
          <t>巨石丁</t>
        </is>
      </c>
      <c r="J875" s="29">
        <f>I875</f>
        <v/>
      </c>
      <c r="K875" s="29">
        <f>F875</f>
        <v/>
      </c>
    </row>
    <row r="876">
      <c r="A876" s="29">
        <f>CONCATENATE("NAME_PkMn_", UPPER(B876))</f>
        <v/>
      </c>
      <c r="B876" s="29" t="inlineStr">
        <is>
          <t>Eiscue</t>
        </is>
      </c>
      <c r="C876" s="29" t="inlineStr">
        <is>
          <t>コオリッポ</t>
        </is>
      </c>
      <c r="D876" s="29" t="inlineStr">
        <is>
          <t>Bekaglaçon</t>
        </is>
      </c>
      <c r="E876" s="29" t="inlineStr">
        <is>
          <t>Kubuin</t>
        </is>
      </c>
      <c r="F876" s="29">
        <f>B876</f>
        <v/>
      </c>
      <c r="G876" s="29">
        <f>B876</f>
        <v/>
      </c>
      <c r="H876" s="29" t="inlineStr">
        <is>
          <t>빙큐보</t>
        </is>
      </c>
      <c r="I876" s="29" t="inlineStr">
        <is>
          <t>冰砌鵝</t>
        </is>
      </c>
      <c r="J876" s="29">
        <f>IFERROR(__xludf.DUMMYFUNCTION("GOOGLETRANSLATE(I876,""zh_HANT"",""zh_HANS"")"),"冰砌鹅")</f>
        <v/>
      </c>
      <c r="K876" s="29">
        <f>F876</f>
        <v/>
      </c>
    </row>
    <row r="877">
      <c r="A877" s="29">
        <f>CONCATENATE("NAME_PkMn_", UPPER(B877))</f>
        <v/>
      </c>
      <c r="B877" s="29" t="inlineStr">
        <is>
          <t>Indeedee</t>
        </is>
      </c>
      <c r="C877" s="29" t="inlineStr">
        <is>
          <t>イエッサン</t>
        </is>
      </c>
      <c r="D877" s="29" t="inlineStr">
        <is>
          <t>Wimessir</t>
        </is>
      </c>
      <c r="E877" s="29" t="inlineStr">
        <is>
          <t>Servol</t>
        </is>
      </c>
      <c r="F877" s="29">
        <f>B877</f>
        <v/>
      </c>
      <c r="G877" s="29">
        <f>B877</f>
        <v/>
      </c>
      <c r="H877" s="29" t="inlineStr">
        <is>
          <t>에써르</t>
        </is>
      </c>
      <c r="I877" s="29" t="inlineStr">
        <is>
          <t>愛管侍</t>
        </is>
      </c>
      <c r="J877" s="29">
        <f>IFERROR(__xludf.DUMMYFUNCTION("GOOGLETRANSLATE(I877,""zh_HANT"",""zh_HANS"")"),"爱管侍")</f>
        <v/>
      </c>
      <c r="K877" s="29">
        <f>F877</f>
        <v/>
      </c>
    </row>
    <row r="878">
      <c r="A878" s="29">
        <f>CONCATENATE("NAME_PkMn_", UPPER(B878))</f>
        <v/>
      </c>
      <c r="B878" s="29" t="inlineStr">
        <is>
          <t>Morpeko</t>
        </is>
      </c>
      <c r="C878" s="29" t="inlineStr">
        <is>
          <t>モモルペコ</t>
        </is>
      </c>
      <c r="D878" s="29">
        <f>B878</f>
        <v/>
      </c>
      <c r="E878" s="29">
        <f>B878</f>
        <v/>
      </c>
      <c r="F878" s="29">
        <f>B878</f>
        <v/>
      </c>
      <c r="G878" s="29">
        <f>B878</f>
        <v/>
      </c>
      <c r="H878" s="29" t="inlineStr">
        <is>
          <t>모르페코</t>
        </is>
      </c>
      <c r="I878" s="29" t="inlineStr">
        <is>
          <t>莫魯貝可</t>
        </is>
      </c>
      <c r="J878" s="29">
        <f>IFERROR(__xludf.DUMMYFUNCTION("GOOGLETRANSLATE(I878,""zh_HANT"",""zh_HANS"")"),"莫鲁贝可")</f>
        <v/>
      </c>
      <c r="K878" s="29">
        <f>F878</f>
        <v/>
      </c>
    </row>
    <row r="879">
      <c r="A879" s="29">
        <f>CONCATENATE("NAME_PkMn_", UPPER(B879))</f>
        <v/>
      </c>
      <c r="B879" s="29" t="inlineStr">
        <is>
          <t>Cufant</t>
        </is>
      </c>
      <c r="C879" s="29" t="inlineStr">
        <is>
          <t>ゾウドウ</t>
        </is>
      </c>
      <c r="D879" s="29" t="inlineStr">
        <is>
          <t>Charibari</t>
        </is>
      </c>
      <c r="E879" s="29" t="inlineStr">
        <is>
          <t>Kupfanti</t>
        </is>
      </c>
      <c r="F879" s="29">
        <f>B879</f>
        <v/>
      </c>
      <c r="G879" s="29">
        <f>B879</f>
        <v/>
      </c>
      <c r="H879" s="29" t="inlineStr">
        <is>
          <t>끼리동</t>
        </is>
      </c>
      <c r="I879" s="29" t="inlineStr">
        <is>
          <t>銅象</t>
        </is>
      </c>
      <c r="J879" s="29">
        <f>IFERROR(__xludf.DUMMYFUNCTION("GOOGLETRANSLATE(I879,""zh_HANT"",""zh_HANS"")"),"铜象")</f>
        <v/>
      </c>
      <c r="K879" s="29">
        <f>F879</f>
        <v/>
      </c>
    </row>
    <row r="880">
      <c r="A880" s="29">
        <f>CONCATENATE("NAME_PkMn_", UPPER(B880))</f>
        <v/>
      </c>
      <c r="B880" s="29" t="inlineStr">
        <is>
          <t>Copperajah</t>
        </is>
      </c>
      <c r="C880" s="29" t="inlineStr">
        <is>
          <t>ダイオウドウ</t>
        </is>
      </c>
      <c r="D880" s="29" t="inlineStr">
        <is>
          <t>Pachyradjah</t>
        </is>
      </c>
      <c r="E880" s="29" t="inlineStr">
        <is>
          <t>Patinaraja</t>
        </is>
      </c>
      <c r="F880" s="29">
        <f>B880</f>
        <v/>
      </c>
      <c r="G880" s="29">
        <f>B880</f>
        <v/>
      </c>
      <c r="H880" s="29" t="inlineStr">
        <is>
          <t>대왕끼리동</t>
        </is>
      </c>
      <c r="I880" s="29" t="inlineStr">
        <is>
          <t>大王銅象</t>
        </is>
      </c>
      <c r="J880" s="29">
        <f>IFERROR(__xludf.DUMMYFUNCTION("GOOGLETRANSLATE(I880,""zh_HANT"",""zh_HANS"")"),"大王铜象")</f>
        <v/>
      </c>
      <c r="K880" s="29">
        <f>F880</f>
        <v/>
      </c>
    </row>
    <row r="881">
      <c r="A881" s="29">
        <f>CONCATENATE("NAME_PkMn_", UPPER(B881))</f>
        <v/>
      </c>
      <c r="B881" s="29" t="inlineStr">
        <is>
          <t>Dracozolt</t>
        </is>
      </c>
      <c r="C881" s="29" t="inlineStr">
        <is>
          <t>パッチラゴン</t>
        </is>
      </c>
      <c r="D881" s="29" t="inlineStr">
        <is>
          <t>Galvagon</t>
        </is>
      </c>
      <c r="E881" s="29" t="inlineStr">
        <is>
          <t>Lectragon</t>
        </is>
      </c>
      <c r="F881" s="29">
        <f>B881</f>
        <v/>
      </c>
      <c r="G881" s="29">
        <f>B881</f>
        <v/>
      </c>
      <c r="H881" s="29" t="inlineStr">
        <is>
          <t>파치래곤</t>
        </is>
      </c>
      <c r="I881" s="29" t="inlineStr">
        <is>
          <t>雷鳥龍</t>
        </is>
      </c>
      <c r="J881" s="29">
        <f>IFERROR(__xludf.DUMMYFUNCTION("GOOGLETRANSLATE(I881,""zh_HANT"",""zh_HANS"")"),"雷鸟龙")</f>
        <v/>
      </c>
      <c r="K881" s="29">
        <f>F881</f>
        <v/>
      </c>
    </row>
    <row r="882">
      <c r="A882" s="29">
        <f>CONCATENATE("NAME_PkMn_", UPPER(B882))</f>
        <v/>
      </c>
      <c r="B882" s="29" t="inlineStr">
        <is>
          <t>Arctozolt</t>
        </is>
      </c>
      <c r="C882" s="29" t="inlineStr">
        <is>
          <t>パッチルドン</t>
        </is>
      </c>
      <c r="D882" s="29" t="inlineStr">
        <is>
          <t>Galvagla</t>
        </is>
      </c>
      <c r="E882" s="29" t="inlineStr">
        <is>
          <t>Lecryodon</t>
        </is>
      </c>
      <c r="F882" s="29">
        <f>B882</f>
        <v/>
      </c>
      <c r="G882" s="29">
        <f>B882</f>
        <v/>
      </c>
      <c r="H882" s="29" t="inlineStr">
        <is>
          <t>파치르돈</t>
        </is>
      </c>
      <c r="I882" s="29" t="inlineStr">
        <is>
          <t>雷鳥海獸</t>
        </is>
      </c>
      <c r="J882" s="29">
        <f>IFERROR(__xludf.DUMMYFUNCTION("GOOGLETRANSLATE(I882,""zh_HANT"",""zh_HANS"")"),"雷鸟海兽")</f>
        <v/>
      </c>
      <c r="K882" s="29">
        <f>F882</f>
        <v/>
      </c>
    </row>
    <row r="883">
      <c r="A883" s="29">
        <f>CONCATENATE("NAME_PkMn_", UPPER(B883))</f>
        <v/>
      </c>
      <c r="B883" s="29" t="inlineStr">
        <is>
          <t>Dracovish</t>
        </is>
      </c>
      <c r="C883" s="29" t="inlineStr">
        <is>
          <t>ウオノラゴン</t>
        </is>
      </c>
      <c r="D883" s="29" t="inlineStr">
        <is>
          <t>Hydragon</t>
        </is>
      </c>
      <c r="E883" s="29" t="inlineStr">
        <is>
          <t>Pescragon</t>
        </is>
      </c>
      <c r="F883" s="29">
        <f>B883</f>
        <v/>
      </c>
      <c r="G883" s="29">
        <f>B883</f>
        <v/>
      </c>
      <c r="H883" s="29" t="inlineStr">
        <is>
          <t>어래곤</t>
        </is>
      </c>
      <c r="I883" s="29" t="inlineStr">
        <is>
          <t>鰓魚龍</t>
        </is>
      </c>
      <c r="J883" s="29">
        <f>IFERROR(__xludf.DUMMYFUNCTION("GOOGLETRANSLATE(I883,""zh_HANT"",""zh_HANS"")"),"鳃鱼龙")</f>
        <v/>
      </c>
      <c r="K883" s="29">
        <f>F883</f>
        <v/>
      </c>
    </row>
    <row r="884">
      <c r="A884" s="29">
        <f>CONCATENATE("NAME_PkMn_", UPPER(B884))</f>
        <v/>
      </c>
      <c r="B884" s="29" t="inlineStr">
        <is>
          <t>Arctovish</t>
        </is>
      </c>
      <c r="C884" s="29" t="inlineStr">
        <is>
          <t>ウオノルドン</t>
        </is>
      </c>
      <c r="D884" s="29" t="inlineStr">
        <is>
          <t>Hydragla</t>
        </is>
      </c>
      <c r="E884" s="29" t="inlineStr">
        <is>
          <t>Pescryodon</t>
        </is>
      </c>
      <c r="F884" s="29">
        <f>B884</f>
        <v/>
      </c>
      <c r="G884" s="29">
        <f>B884</f>
        <v/>
      </c>
      <c r="H884" s="29" t="inlineStr">
        <is>
          <t>어치르돈</t>
        </is>
      </c>
      <c r="I884" s="29" t="inlineStr">
        <is>
          <t>鰓魚海獸</t>
        </is>
      </c>
      <c r="J884" s="29">
        <f>IFERROR(__xludf.DUMMYFUNCTION("GOOGLETRANSLATE(I884,""zh_HANT"",""zh_HANS"")"),"鳃鱼海兽")</f>
        <v/>
      </c>
      <c r="K884" s="29">
        <f>F884</f>
        <v/>
      </c>
    </row>
    <row r="885">
      <c r="A885" s="29">
        <f>CONCATENATE("NAME_PkMn_", UPPER(B885))</f>
        <v/>
      </c>
      <c r="B885" s="29" t="inlineStr">
        <is>
          <t>Duraludon</t>
        </is>
      </c>
      <c r="C885" s="29" t="inlineStr">
        <is>
          <t>ジュラルドン</t>
        </is>
      </c>
      <c r="D885" s="29" t="inlineStr">
        <is>
          <t>Duralugon</t>
        </is>
      </c>
      <c r="E885" s="29">
        <f>B885</f>
        <v/>
      </c>
      <c r="F885" s="29">
        <f>B885</f>
        <v/>
      </c>
      <c r="G885" s="29">
        <f>B885</f>
        <v/>
      </c>
      <c r="H885" s="29" t="inlineStr">
        <is>
          <t>두랄루돈</t>
        </is>
      </c>
      <c r="I885" s="29" t="inlineStr">
        <is>
          <t>鋁鋼龍</t>
        </is>
      </c>
      <c r="J885" s="29">
        <f>IFERROR(__xludf.DUMMYFUNCTION("GOOGLETRANSLATE(I885,""zh_HANT"",""zh_HANS"")"),"铝钢龙")</f>
        <v/>
      </c>
      <c r="K885" s="29">
        <f>F885</f>
        <v/>
      </c>
    </row>
    <row r="886">
      <c r="A886" s="29">
        <f>CONCATENATE("NAME_PkMn_", UPPER(B886))</f>
        <v/>
      </c>
      <c r="B886" s="29" t="inlineStr">
        <is>
          <t>Dreepy</t>
        </is>
      </c>
      <c r="C886" s="29" t="inlineStr">
        <is>
          <t>ドラメシヤ</t>
        </is>
      </c>
      <c r="D886" s="29" t="inlineStr">
        <is>
          <t>Fantyrm</t>
        </is>
      </c>
      <c r="E886" s="29" t="inlineStr">
        <is>
          <t>Grolldra</t>
        </is>
      </c>
      <c r="F886" s="29">
        <f>B886</f>
        <v/>
      </c>
      <c r="G886" s="29">
        <f>B886</f>
        <v/>
      </c>
      <c r="H886" s="29" t="inlineStr">
        <is>
          <t>드라꼰</t>
        </is>
      </c>
      <c r="I886" s="29" t="inlineStr">
        <is>
          <t>多龍梅西亞</t>
        </is>
      </c>
      <c r="J886" s="29">
        <f>IFERROR(__xludf.DUMMYFUNCTION("GOOGLETRANSLATE(I886,""zh_HANT"",""zh_HANS"")"),"多龙梅西亚")</f>
        <v/>
      </c>
      <c r="K886" s="29">
        <f>F886</f>
        <v/>
      </c>
    </row>
    <row r="887">
      <c r="A887" s="29">
        <f>CONCATENATE("NAME_PkMn_", UPPER(B887))</f>
        <v/>
      </c>
      <c r="B887" s="29" t="inlineStr">
        <is>
          <t>Drakloak</t>
        </is>
      </c>
      <c r="C887" s="29" t="inlineStr">
        <is>
          <t>ドロンチ</t>
        </is>
      </c>
      <c r="D887" s="29" t="inlineStr">
        <is>
          <t>Dispareptil</t>
        </is>
      </c>
      <c r="E887" s="29" t="inlineStr">
        <is>
          <t>Phandra</t>
        </is>
      </c>
      <c r="F887" s="29">
        <f>B887</f>
        <v/>
      </c>
      <c r="G887" s="29">
        <f>B887</f>
        <v/>
      </c>
      <c r="H887" s="29" t="inlineStr">
        <is>
          <t>드래런치</t>
        </is>
      </c>
      <c r="I887" s="29" t="inlineStr">
        <is>
          <t>多龍奇</t>
        </is>
      </c>
      <c r="J887" s="29">
        <f>IFERROR(__xludf.DUMMYFUNCTION("GOOGLETRANSLATE(I887,""zh_HANT"",""zh_HANS"")"),"多龙奇")</f>
        <v/>
      </c>
      <c r="K887" s="29">
        <f>F887</f>
        <v/>
      </c>
    </row>
    <row r="888">
      <c r="A888" s="29">
        <f>CONCATENATE("NAME_PkMn_", UPPER(B888))</f>
        <v/>
      </c>
      <c r="B888" s="29" t="inlineStr">
        <is>
          <t>Dragapult</t>
        </is>
      </c>
      <c r="C888" s="29" t="inlineStr">
        <is>
          <t>ドラパルト</t>
        </is>
      </c>
      <c r="D888" s="29" t="inlineStr">
        <is>
          <t>Lanssorien</t>
        </is>
      </c>
      <c r="E888" s="29" t="inlineStr">
        <is>
          <t>Katapuldra</t>
        </is>
      </c>
      <c r="F888" s="29">
        <f>B888</f>
        <v/>
      </c>
      <c r="G888" s="29">
        <f>B888</f>
        <v/>
      </c>
      <c r="H888" s="29" t="inlineStr">
        <is>
          <t>드래펄트</t>
        </is>
      </c>
      <c r="I888" s="29" t="inlineStr">
        <is>
          <t>多龍巴魯托</t>
        </is>
      </c>
      <c r="J888" s="29">
        <f>IFERROR(__xludf.DUMMYFUNCTION("GOOGLETRANSLATE(I888,""zh_HANT"",""zh_HANS"")"),"多龙巴鲁托")</f>
        <v/>
      </c>
      <c r="K888" s="29">
        <f>F888</f>
        <v/>
      </c>
    </row>
    <row r="889">
      <c r="A889" s="29">
        <f>CONCATENATE("NAME_PkMn_", UPPER(B889))</f>
        <v/>
      </c>
      <c r="B889" s="29" t="inlineStr">
        <is>
          <t>Zacian</t>
        </is>
      </c>
      <c r="C889" s="29" t="inlineStr">
        <is>
          <t>ザシアン</t>
        </is>
      </c>
      <c r="D889" s="29">
        <f>B889</f>
        <v/>
      </c>
      <c r="E889" s="29">
        <f>B889</f>
        <v/>
      </c>
      <c r="F889" s="29">
        <f>B889</f>
        <v/>
      </c>
      <c r="G889" s="29">
        <f>B889</f>
        <v/>
      </c>
      <c r="H889" s="29" t="inlineStr">
        <is>
          <t>자시안</t>
        </is>
      </c>
      <c r="I889" s="29" t="inlineStr">
        <is>
          <t>蒼響</t>
        </is>
      </c>
      <c r="J889" s="29">
        <f>IFERROR(__xludf.DUMMYFUNCTION("GOOGLETRANSLATE(I889,""zh_HANT"",""zh_HANS"")"),"苍响")</f>
        <v/>
      </c>
      <c r="K889" s="29">
        <f>F889</f>
        <v/>
      </c>
    </row>
    <row r="890">
      <c r="A890" s="29">
        <f>CONCATENATE("NAME_PkMn_", UPPER(B890))</f>
        <v/>
      </c>
      <c r="B890" s="29" t="inlineStr">
        <is>
          <t>Zamazanta</t>
        </is>
      </c>
      <c r="C890" s="29" t="inlineStr">
        <is>
          <t>ザマゼンタ</t>
        </is>
      </c>
      <c r="D890" s="29">
        <f>B890</f>
        <v/>
      </c>
      <c r="E890" s="29" t="inlineStr">
        <is>
          <t>Zamazenta</t>
        </is>
      </c>
      <c r="F890" s="29">
        <f>B890</f>
        <v/>
      </c>
      <c r="G890" s="29">
        <f>B890</f>
        <v/>
      </c>
      <c r="H890" s="29" t="inlineStr">
        <is>
          <t>자마젠타</t>
        </is>
      </c>
      <c r="I890" s="29" t="inlineStr">
        <is>
          <t>藏瑪然特</t>
        </is>
      </c>
      <c r="J890" s="29">
        <f>IFERROR(__xludf.DUMMYFUNCTION("GOOGLETRANSLATE(I890,""zh_HANT"",""zh_HANS"")"),"藏玛然特")</f>
        <v/>
      </c>
      <c r="K890" s="29">
        <f>F890</f>
        <v/>
      </c>
    </row>
    <row r="891">
      <c r="A891" s="29">
        <f>CONCATENATE("NAME_PkMn_", UPPER(B891))</f>
        <v/>
      </c>
      <c r="B891" s="29" t="inlineStr">
        <is>
          <t>Eternatus</t>
        </is>
      </c>
      <c r="C891" s="29" t="inlineStr">
        <is>
          <t>ムゲンダイナ</t>
        </is>
      </c>
      <c r="D891" s="29" t="inlineStr">
        <is>
          <t>Éthernatos</t>
        </is>
      </c>
      <c r="E891" s="29" t="inlineStr">
        <is>
          <t>Endynalos</t>
        </is>
      </c>
      <c r="F891" s="29">
        <f>B891</f>
        <v/>
      </c>
      <c r="G891" s="29">
        <f>B891</f>
        <v/>
      </c>
      <c r="H891" s="29" t="inlineStr">
        <is>
          <t>무한다이노</t>
        </is>
      </c>
      <c r="I891" s="29" t="inlineStr">
        <is>
          <t>無極汰那</t>
        </is>
      </c>
      <c r="J891" s="29">
        <f>IFERROR(__xludf.DUMMYFUNCTION("GOOGLETRANSLATE(I891,""zh_HANT"",""zh_HANS"")"),"无极汰那")</f>
        <v/>
      </c>
      <c r="K891" s="29">
        <f>F891</f>
        <v/>
      </c>
    </row>
    <row r="892">
      <c r="A892" s="29">
        <f>CONCATENATE("NAME_PkMn_", UPPER(B892))</f>
        <v/>
      </c>
      <c r="B892" s="29" t="inlineStr">
        <is>
          <t>Kubfu</t>
        </is>
      </c>
      <c r="C892" s="29" t="inlineStr">
        <is>
          <t>ダクマ</t>
        </is>
      </c>
      <c r="D892" s="29" t="inlineStr">
        <is>
          <t>Wushours</t>
        </is>
      </c>
      <c r="E892" s="29" t="inlineStr">
        <is>
          <t>Dakuma</t>
        </is>
      </c>
      <c r="F892" s="29">
        <f>B892</f>
        <v/>
      </c>
      <c r="G892" s="29">
        <f>B892</f>
        <v/>
      </c>
      <c r="H892" s="29" t="inlineStr">
        <is>
          <t>치고마</t>
        </is>
      </c>
      <c r="I892" s="29" t="inlineStr">
        <is>
          <t>熊徒弟</t>
        </is>
      </c>
      <c r="J892" s="29">
        <f>I892</f>
        <v/>
      </c>
      <c r="K892" s="29">
        <f>F892</f>
        <v/>
      </c>
    </row>
    <row r="893">
      <c r="A893" s="29">
        <f>CONCATENATE("NAME_PkMn_", UPPER(B893))</f>
        <v/>
      </c>
      <c r="B893" s="29" t="inlineStr">
        <is>
          <t>Urshifu</t>
        </is>
      </c>
      <c r="C893" s="29" t="inlineStr">
        <is>
          <t>ウーラオス</t>
        </is>
      </c>
      <c r="D893" s="29" t="inlineStr">
        <is>
          <t>Shifours</t>
        </is>
      </c>
      <c r="E893" s="29" t="inlineStr">
        <is>
          <t>Wulaosu</t>
        </is>
      </c>
      <c r="F893" s="29">
        <f>B893</f>
        <v/>
      </c>
      <c r="G893" s="29">
        <f>B893</f>
        <v/>
      </c>
      <c r="H893" s="29" t="inlineStr">
        <is>
          <t>우라오스</t>
        </is>
      </c>
      <c r="I893" s="29" t="inlineStr">
        <is>
          <t>武道熊師</t>
        </is>
      </c>
      <c r="J893" s="29">
        <f>IFERROR(__xludf.DUMMYFUNCTION("GOOGLETRANSLATE(I893,""zh_HANT"",""zh_HANS"")"),"武道熊师")</f>
        <v/>
      </c>
      <c r="K893" s="29">
        <f>F893</f>
        <v/>
      </c>
    </row>
    <row r="894">
      <c r="A894" s="29">
        <f>CONCATENATE("NAME_PkMn_", UPPER(B894))</f>
        <v/>
      </c>
      <c r="B894" s="29" t="inlineStr">
        <is>
          <t>Zarude</t>
        </is>
      </c>
      <c r="C894" s="29" t="inlineStr">
        <is>
          <t>ザルード</t>
        </is>
      </c>
      <c r="D894" s="29">
        <f>B894</f>
        <v/>
      </c>
      <c r="E894" s="29">
        <f>B894</f>
        <v/>
      </c>
      <c r="F894" s="29">
        <f>B894</f>
        <v/>
      </c>
      <c r="G894" s="29">
        <f>B894</f>
        <v/>
      </c>
      <c r="H894" s="29" t="inlineStr">
        <is>
          <t>자루도</t>
        </is>
      </c>
      <c r="I894" s="29" t="inlineStr">
        <is>
          <t>薩戮德</t>
        </is>
      </c>
      <c r="J894" s="29">
        <f>IFERROR(__xludf.DUMMYFUNCTION("GOOGLETRANSLATE(I894,""zh_HANT"",""zh_HANS"")"),"萨戮德")</f>
        <v/>
      </c>
      <c r="K894" s="29">
        <f>F894</f>
        <v/>
      </c>
    </row>
    <row r="895">
      <c r="A895" s="29">
        <f>CONCATENATE("NAME_PkMn_", UPPER(B895))</f>
        <v/>
      </c>
      <c r="B895" s="29" t="inlineStr">
        <is>
          <t>Regieleki</t>
        </is>
      </c>
      <c r="C895" s="29" t="inlineStr">
        <is>
          <t>レジイレキ</t>
        </is>
      </c>
      <c r="D895" s="29">
        <f>B895</f>
        <v/>
      </c>
      <c r="E895" s="29">
        <f>B895</f>
        <v/>
      </c>
      <c r="F895" s="29">
        <f>B895</f>
        <v/>
      </c>
      <c r="G895" s="29">
        <f>B895</f>
        <v/>
      </c>
      <c r="H895" s="29" t="inlineStr">
        <is>
          <t>레지에레키</t>
        </is>
      </c>
      <c r="I895" s="29" t="inlineStr">
        <is>
          <t>雷吉艾勒奇</t>
        </is>
      </c>
      <c r="J895" s="29">
        <f>I895</f>
        <v/>
      </c>
      <c r="K895" s="29">
        <f>F895</f>
        <v/>
      </c>
    </row>
    <row r="896">
      <c r="A896" s="29">
        <f>CONCATENATE("NAME_PkMn_", UPPER(B896))</f>
        <v/>
      </c>
      <c r="B896" s="29" t="inlineStr">
        <is>
          <t>Regidrago</t>
        </is>
      </c>
      <c r="C896" s="29" t="inlineStr">
        <is>
          <t>レジドラゴ</t>
        </is>
      </c>
      <c r="D896" s="29">
        <f>B896</f>
        <v/>
      </c>
      <c r="E896" s="29">
        <f>B896</f>
        <v/>
      </c>
      <c r="F896" s="29">
        <f>B896</f>
        <v/>
      </c>
      <c r="G896" s="29">
        <f>B896</f>
        <v/>
      </c>
      <c r="H896" s="29" t="inlineStr">
        <is>
          <t>레지드래고</t>
        </is>
      </c>
      <c r="I896" s="29" t="inlineStr">
        <is>
          <t>雷吉鐸拉戈</t>
        </is>
      </c>
      <c r="J896" s="29">
        <f>IFERROR(__xludf.DUMMYFUNCTION("GOOGLETRANSLATE(I896,""zh_HANT"",""zh_HANS"")"),"雷吉铎拉戈")</f>
        <v/>
      </c>
      <c r="K896" s="29">
        <f>F896</f>
        <v/>
      </c>
    </row>
    <row r="897">
      <c r="A897" s="29">
        <f>CONCATENATE("NAME_PkMn_", UPPER(B897))</f>
        <v/>
      </c>
      <c r="B897" s="29" t="inlineStr">
        <is>
          <t>Glastrier</t>
        </is>
      </c>
      <c r="C897" s="29" t="inlineStr">
        <is>
          <t>ブラザポス</t>
        </is>
      </c>
      <c r="D897" s="29" t="inlineStr">
        <is>
          <t>Blizzeval</t>
        </is>
      </c>
      <c r="E897" s="29" t="inlineStr">
        <is>
          <t>Polaross</t>
        </is>
      </c>
      <c r="F897" s="29">
        <f>B897</f>
        <v/>
      </c>
      <c r="G897" s="29">
        <f>B897</f>
        <v/>
      </c>
      <c r="H897" s="29" t="inlineStr">
        <is>
          <t>블리자포스</t>
        </is>
      </c>
      <c r="I897" s="29" t="inlineStr">
        <is>
          <t>雪暴馬</t>
        </is>
      </c>
      <c r="J897" s="29">
        <f>IFERROR(__xludf.DUMMYFUNCTION("GOOGLETRANSLATE(I897,""zh_HANT"",""zh_HANS"")"),"雪暴马")</f>
        <v/>
      </c>
      <c r="K897" s="29">
        <f>F897</f>
        <v/>
      </c>
    </row>
    <row r="898">
      <c r="A898" s="29">
        <f>CONCATENATE("NAME_PkMn_", UPPER(B898))</f>
        <v/>
      </c>
      <c r="B898" s="29" t="inlineStr">
        <is>
          <t>Spectrier</t>
        </is>
      </c>
      <c r="C898" s="29" t="inlineStr">
        <is>
          <t>ライスポス</t>
        </is>
      </c>
      <c r="D898" s="29" t="inlineStr">
        <is>
          <t>Spectreval</t>
        </is>
      </c>
      <c r="E898" s="29" t="inlineStr">
        <is>
          <t>Phantoross</t>
        </is>
      </c>
      <c r="F898" s="29">
        <f>B898</f>
        <v/>
      </c>
      <c r="G898" s="29">
        <f>B898</f>
        <v/>
      </c>
      <c r="H898" s="29" t="inlineStr">
        <is>
          <t>레이스포스</t>
        </is>
      </c>
      <c r="I898" s="29" t="inlineStr">
        <is>
          <t>靈幽馬</t>
        </is>
      </c>
      <c r="J898" s="29">
        <f>IFERROR(__xludf.DUMMYFUNCTION("GOOGLETRANSLATE(I898,""zh_HANT"",""zh_HANS"")"),"灵幽马")</f>
        <v/>
      </c>
      <c r="K898" s="29">
        <f>F898</f>
        <v/>
      </c>
    </row>
    <row r="899">
      <c r="A899" s="29">
        <f>CONCATENATE("NAME_PkMn_", UPPER(B899))</f>
        <v/>
      </c>
      <c r="B899" s="29" t="inlineStr">
        <is>
          <t>Calyrex</t>
        </is>
      </c>
      <c r="C899" s="29" t="inlineStr">
        <is>
          <t>バドレックス</t>
        </is>
      </c>
      <c r="D899" s="29" t="inlineStr">
        <is>
          <t>Sylveroy</t>
        </is>
      </c>
      <c r="E899" s="29" t="inlineStr">
        <is>
          <t>Coronospa</t>
        </is>
      </c>
      <c r="F899" s="29">
        <f>B899</f>
        <v/>
      </c>
      <c r="G899" s="29">
        <f>B899</f>
        <v/>
      </c>
      <c r="H899" s="29" t="inlineStr">
        <is>
          <t>버드렉스</t>
        </is>
      </c>
      <c r="I899" s="29" t="inlineStr">
        <is>
          <t>蕾冠王</t>
        </is>
      </c>
      <c r="J899" s="29">
        <f>I899</f>
        <v/>
      </c>
      <c r="K899" s="29">
        <f>F899</f>
        <v/>
      </c>
    </row>
    <row r="900">
      <c r="A900" s="29">
        <f>CONCATENATE("NAME_PkMn_", UPPER(B900))</f>
        <v/>
      </c>
      <c r="B900" s="29" t="inlineStr">
        <is>
          <t>Wyrdeer</t>
        </is>
      </c>
      <c r="C900" s="29" t="inlineStr">
        <is>
          <t>アヤシシ</t>
        </is>
      </c>
      <c r="D900" s="29" t="inlineStr">
        <is>
          <t>Cerbyllin</t>
        </is>
      </c>
      <c r="E900" s="29" t="inlineStr">
        <is>
          <t>Damythir</t>
        </is>
      </c>
      <c r="F900" s="29">
        <f>B900</f>
        <v/>
      </c>
      <c r="G900" s="29">
        <f>B900</f>
        <v/>
      </c>
      <c r="H900" s="29" t="inlineStr">
        <is>
          <t>신비록</t>
        </is>
      </c>
      <c r="I900" s="29" t="inlineStr">
        <is>
          <t>詭角鹿</t>
        </is>
      </c>
      <c r="J900" s="29">
        <f>IFERROR(__xludf.DUMMYFUNCTION("GOOGLETRANSLATE(I900,""zh_HANT"",""zh_HANS"")"),"诡角鹿")</f>
        <v/>
      </c>
      <c r="K900" s="29">
        <f>F900</f>
        <v/>
      </c>
    </row>
    <row r="901">
      <c r="A901" s="29">
        <f>CONCATENATE("NAME_PkMn_", UPPER(B901))</f>
        <v/>
      </c>
      <c r="B901" s="29" t="inlineStr">
        <is>
          <t>Kleavor</t>
        </is>
      </c>
      <c r="C901" s="29" t="inlineStr">
        <is>
          <t>バサギリ</t>
        </is>
      </c>
      <c r="D901" s="29" t="inlineStr">
        <is>
          <t>Hachécateur</t>
        </is>
      </c>
      <c r="E901" s="29" t="inlineStr">
        <is>
          <t>Axantor</t>
        </is>
      </c>
      <c r="F901" s="29">
        <f>B901</f>
        <v/>
      </c>
      <c r="G901" s="29">
        <f>B901</f>
        <v/>
      </c>
      <c r="H901" s="29" t="inlineStr">
        <is>
          <t>사마자르</t>
        </is>
      </c>
      <c r="I901" s="29" t="inlineStr">
        <is>
          <t>劈斧螳螂</t>
        </is>
      </c>
      <c r="J901" s="29">
        <f>I901</f>
        <v/>
      </c>
      <c r="K901" s="29">
        <f>F901</f>
        <v/>
      </c>
    </row>
    <row r="902">
      <c r="A902" s="29">
        <f>CONCATENATE("NAME_PkMn_", UPPER(B902))</f>
        <v/>
      </c>
      <c r="B902" s="29" t="inlineStr">
        <is>
          <t>Ursaluna</t>
        </is>
      </c>
      <c r="C902" s="29" t="inlineStr">
        <is>
          <t>ガチグマ</t>
        </is>
      </c>
      <c r="D902" s="29" t="inlineStr">
        <is>
          <t>Ursaking</t>
        </is>
      </c>
      <c r="E902" s="29">
        <f>B902</f>
        <v/>
      </c>
      <c r="F902" s="29">
        <f>B902</f>
        <v/>
      </c>
      <c r="G902" s="29">
        <f>B902</f>
        <v/>
      </c>
      <c r="H902" s="6" t="inlineStr">
        <is>
          <t>다투곰</t>
        </is>
      </c>
      <c r="I902" s="29" t="inlineStr">
        <is>
          <t>月月熊</t>
        </is>
      </c>
      <c r="J902" s="29">
        <f>I902</f>
        <v/>
      </c>
      <c r="K902" s="29">
        <f>F902</f>
        <v/>
      </c>
    </row>
    <row r="903">
      <c r="A903" s="29">
        <f>CONCATENATE("NAME_PkMn_", UPPER(B903))</f>
        <v/>
      </c>
      <c r="B903" s="29" t="inlineStr">
        <is>
          <t>Basculegion</t>
        </is>
      </c>
      <c r="C903" s="29" t="inlineStr">
        <is>
          <t>イヤイトウ</t>
        </is>
      </c>
      <c r="D903" s="29" t="inlineStr">
        <is>
          <t>Paragruel</t>
        </is>
      </c>
      <c r="E903" s="29" t="inlineStr">
        <is>
          <t>Salmagnis</t>
        </is>
      </c>
      <c r="F903" s="29">
        <f>B903</f>
        <v/>
      </c>
      <c r="G903" s="29">
        <f>B903</f>
        <v/>
      </c>
      <c r="H903" s="29" t="inlineStr">
        <is>
          <t>대쓰여너</t>
        </is>
      </c>
      <c r="I903" s="29" t="inlineStr">
        <is>
          <t>幽尾玄魚</t>
        </is>
      </c>
      <c r="J903" s="29">
        <f>IFERROR(__xludf.DUMMYFUNCTION("GOOGLETRANSLATE(I903,""zh_HANT"",""zh_HANS"")"),"幽尾玄鱼")</f>
        <v/>
      </c>
      <c r="K903" s="29">
        <f>F903</f>
        <v/>
      </c>
    </row>
    <row r="904">
      <c r="A904" s="29">
        <f>CONCATENATE("NAME_PkMn_", UPPER(B904))</f>
        <v/>
      </c>
      <c r="B904" s="29" t="inlineStr">
        <is>
          <t>Sneasler</t>
        </is>
      </c>
      <c r="C904" s="29" t="inlineStr">
        <is>
          <t>オオニューラ</t>
        </is>
      </c>
      <c r="D904" s="29" t="inlineStr">
        <is>
          <t>Farfurex</t>
        </is>
      </c>
      <c r="E904" s="29" t="inlineStr">
        <is>
          <t>Snieboss</t>
        </is>
      </c>
      <c r="F904" s="29">
        <f>B904</f>
        <v/>
      </c>
      <c r="G904" s="29">
        <f>B904</f>
        <v/>
      </c>
      <c r="H904" s="6" t="inlineStr">
        <is>
          <t>포푸니크</t>
        </is>
      </c>
      <c r="I904" s="29">
        <f>J904</f>
        <v/>
      </c>
      <c r="J904" s="29" t="inlineStr">
        <is>
          <t>大狃拉</t>
        </is>
      </c>
      <c r="K904" s="29">
        <f>F904</f>
        <v/>
      </c>
    </row>
    <row r="905">
      <c r="A905" s="29">
        <f>CONCATENATE("NAME_PkMn_", UPPER(B905))</f>
        <v/>
      </c>
      <c r="B905" s="29" t="inlineStr">
        <is>
          <t>Overqwil</t>
        </is>
      </c>
      <c r="C905" s="29" t="inlineStr">
        <is>
          <t>ハリーマン</t>
        </is>
      </c>
      <c r="D905" s="29" t="inlineStr">
        <is>
          <t>Qwilpik</t>
        </is>
      </c>
      <c r="E905" s="29" t="inlineStr">
        <is>
          <t>Myriador</t>
        </is>
      </c>
      <c r="F905" s="29">
        <f>B905</f>
        <v/>
      </c>
      <c r="G905" s="29">
        <f>B905</f>
        <v/>
      </c>
      <c r="H905" s="6" t="inlineStr">
        <is>
          <t>장침바루</t>
        </is>
      </c>
      <c r="I905" s="29">
        <f>IFERROR(__xludf.DUMMYFUNCTION("GOOGLETRANSLATE(J905,""zh_HANS"",""zh_HANT"")"),"萬針魚")</f>
        <v/>
      </c>
      <c r="J905" s="29" t="inlineStr">
        <is>
          <t>万针鱼</t>
        </is>
      </c>
      <c r="K905" s="29">
        <f>F905</f>
        <v/>
      </c>
    </row>
    <row r="906">
      <c r="A906" s="29">
        <f>CONCATENATE("NAME_PkMn_", UPPER(B906))</f>
        <v/>
      </c>
      <c r="B906" s="29" t="inlineStr">
        <is>
          <t>Enamorus</t>
        </is>
      </c>
      <c r="C906" s="29" t="inlineStr">
        <is>
          <t>ラブトロス</t>
        </is>
      </c>
      <c r="D906" s="29" t="inlineStr">
        <is>
          <t>Amovénus</t>
        </is>
      </c>
      <c r="E906" s="29" t="inlineStr">
        <is>
          <t>Cupidos</t>
        </is>
      </c>
      <c r="F906" s="29">
        <f>B906</f>
        <v/>
      </c>
      <c r="G906" s="29">
        <f>B906</f>
        <v/>
      </c>
      <c r="H906" s="6" t="inlineStr">
        <is>
          <t>러브로스</t>
        </is>
      </c>
      <c r="I906" s="29">
        <f>IFERROR(__xludf.DUMMYFUNCTION("GOOGLETRANSLATE(J906,""zh_HANS"",""zh_HANT"")"),"眷戀雲")</f>
        <v/>
      </c>
      <c r="J906" s="29" t="inlineStr">
        <is>
          <t>眷恋云</t>
        </is>
      </c>
      <c r="K906" s="29">
        <f>F906</f>
        <v/>
      </c>
    </row>
    <row r="907">
      <c r="A907" s="29">
        <f>CONCATENATE("NAME_PkMn_", UPPER(B907))</f>
        <v/>
      </c>
      <c r="B907" s="29" t="inlineStr">
        <is>
          <t>Sprigatito</t>
        </is>
      </c>
      <c r="C907" s="29" t="inlineStr">
        <is>
          <t>ニャオハ</t>
        </is>
      </c>
      <c r="D907" s="29" t="inlineStr">
        <is>
          <t>Poussacha</t>
        </is>
      </c>
      <c r="E907" s="29" t="inlineStr">
        <is>
          <t>Felori</t>
        </is>
      </c>
      <c r="F907" s="29">
        <f>B907</f>
        <v/>
      </c>
      <c r="G907" s="29">
        <f>B907</f>
        <v/>
      </c>
      <c r="H907" s="4" t="inlineStr">
        <is>
          <t>나오하</t>
        </is>
      </c>
      <c r="I907" s="29">
        <f>IFERROR(__xludf.DUMMYFUNCTION("GOOGLETRANSLATE(J907,""zh_HANS"",""zh_HANT"")"),"新葉喵")</f>
        <v/>
      </c>
      <c r="J907" s="29" t="inlineStr">
        <is>
          <t>新叶喵</t>
        </is>
      </c>
      <c r="K907" s="29">
        <f>F907</f>
        <v/>
      </c>
    </row>
    <row r="908">
      <c r="A908" s="29">
        <f>CONCATENATE("NAME_PkMn_", UPPER(B908))</f>
        <v/>
      </c>
      <c r="B908" s="29" t="inlineStr">
        <is>
          <t>Floragato</t>
        </is>
      </c>
      <c r="C908" s="29" t="inlineStr">
        <is>
          <t>ニャローテ</t>
        </is>
      </c>
      <c r="D908" s="29" t="inlineStr">
        <is>
          <t>Matourgeon</t>
        </is>
      </c>
      <c r="E908" s="29" t="inlineStr">
        <is>
          <t>Feliospa</t>
        </is>
      </c>
      <c r="F908" s="29">
        <f>B908</f>
        <v/>
      </c>
      <c r="G908" s="29">
        <f>B908</f>
        <v/>
      </c>
      <c r="H908" s="4" t="inlineStr">
        <is>
          <t>나로테</t>
        </is>
      </c>
      <c r="I908" s="29">
        <f>J908</f>
        <v/>
      </c>
      <c r="J908" s="29" t="inlineStr">
        <is>
          <t>蒂蕾喵</t>
        </is>
      </c>
      <c r="K908" s="29">
        <f>F908</f>
        <v/>
      </c>
    </row>
    <row r="909">
      <c r="A909" s="29">
        <f>CONCATENATE("NAME_PkMn_", UPPER(B909))</f>
        <v/>
      </c>
      <c r="B909" s="29" t="inlineStr">
        <is>
          <t>Meowscarda</t>
        </is>
      </c>
      <c r="C909" s="29" t="inlineStr">
        <is>
          <t>マスカーニャ</t>
        </is>
      </c>
      <c r="D909" s="29" t="inlineStr">
        <is>
          <t>Miascarade</t>
        </is>
      </c>
      <c r="E909" s="29" t="inlineStr">
        <is>
          <t>Maskagato</t>
        </is>
      </c>
      <c r="F909" s="29">
        <f>B909</f>
        <v/>
      </c>
      <c r="G909" s="29">
        <f>B909</f>
        <v/>
      </c>
      <c r="H909" s="4" t="inlineStr">
        <is>
          <t>마스카나</t>
        </is>
      </c>
      <c r="I909" s="29">
        <f>J909</f>
        <v/>
      </c>
      <c r="J909" s="29" t="inlineStr">
        <is>
          <t>魔幻假面喵</t>
        </is>
      </c>
      <c r="K909" s="29">
        <f>F909</f>
        <v/>
      </c>
    </row>
    <row r="910">
      <c r="A910" s="29">
        <f>CONCATENATE("NAME_PkMn_", UPPER(B910))</f>
        <v/>
      </c>
      <c r="B910" s="29" t="inlineStr">
        <is>
          <t>Fuecoco</t>
        </is>
      </c>
      <c r="C910" s="29" t="inlineStr">
        <is>
          <t>ホゲータ</t>
        </is>
      </c>
      <c r="D910" s="29" t="inlineStr">
        <is>
          <t>Chochodile</t>
        </is>
      </c>
      <c r="E910" s="29" t="inlineStr">
        <is>
          <t>Krokel</t>
        </is>
      </c>
      <c r="F910" s="29">
        <f>B910</f>
        <v/>
      </c>
      <c r="G910" s="29">
        <f>B910</f>
        <v/>
      </c>
      <c r="H910" s="4" t="inlineStr">
        <is>
          <t>뜨아거</t>
        </is>
      </c>
      <c r="I910" s="29">
        <f>IFERROR(__xludf.DUMMYFUNCTION("GOOGLETRANSLATE(J910,""zh_HANS"",""zh_HANT"")"),"呆火鱷")</f>
        <v/>
      </c>
      <c r="J910" s="29" t="inlineStr">
        <is>
          <t>呆火鳄</t>
        </is>
      </c>
      <c r="K910" s="29">
        <f>F910</f>
        <v/>
      </c>
    </row>
    <row r="911">
      <c r="A911" s="29">
        <f>CONCATENATE("NAME_PkMn_", UPPER(B911))</f>
        <v/>
      </c>
      <c r="B911" s="29" t="inlineStr">
        <is>
          <t>Crocalor</t>
        </is>
      </c>
      <c r="C911" s="29" t="inlineStr">
        <is>
          <t>アチゲータ</t>
        </is>
      </c>
      <c r="D911" s="29" t="inlineStr">
        <is>
          <t>Crocogril</t>
        </is>
      </c>
      <c r="E911" s="29" t="inlineStr">
        <is>
          <t>Lokroko</t>
        </is>
      </c>
      <c r="F911" s="29">
        <f>B911</f>
        <v/>
      </c>
      <c r="G911" s="29">
        <f>B911</f>
        <v/>
      </c>
      <c r="H911" s="4" t="inlineStr">
        <is>
          <t>악뜨거</t>
        </is>
      </c>
      <c r="I911" s="29">
        <f>IFERROR(__xludf.DUMMYFUNCTION("GOOGLETRANSLATE(J911,""zh_HANS"",""zh_HANT"")"),"炙燙鱷")</f>
        <v/>
      </c>
      <c r="J911" s="29" t="inlineStr">
        <is>
          <t>炙烫鳄</t>
        </is>
      </c>
      <c r="K911" s="29">
        <f>F911</f>
        <v/>
      </c>
    </row>
    <row r="912">
      <c r="A912" s="29">
        <f>CONCATENATE("NAME_PkMn_", UPPER(B912))</f>
        <v/>
      </c>
      <c r="B912" s="29" t="inlineStr">
        <is>
          <t>Skeledirge</t>
        </is>
      </c>
      <c r="C912" s="29" t="inlineStr">
        <is>
          <t>ラウドボーン</t>
        </is>
      </c>
      <c r="D912" s="29" t="inlineStr">
        <is>
          <t>Flâmigator</t>
        </is>
      </c>
      <c r="E912" s="29" t="inlineStr">
        <is>
          <t>Skelokrok</t>
        </is>
      </c>
      <c r="F912" s="29">
        <f>B912</f>
        <v/>
      </c>
      <c r="G912" s="29">
        <f>B912</f>
        <v/>
      </c>
      <c r="H912" s="4" t="inlineStr">
        <is>
          <t>라우드본</t>
        </is>
      </c>
      <c r="I912" s="29">
        <f>IFERROR(__xludf.DUMMYFUNCTION("GOOGLETRANSLATE(J912,""zh_HANS"",""zh_HANT"")"),"骨紋巨聲鱷")</f>
        <v/>
      </c>
      <c r="J912" s="29" t="inlineStr">
        <is>
          <t>骨纹巨声鳄</t>
        </is>
      </c>
      <c r="K912" s="29">
        <f>F912</f>
        <v/>
      </c>
    </row>
    <row r="913">
      <c r="A913" s="29">
        <f>CONCATENATE("NAME_PkMn_", UPPER(B913))</f>
        <v/>
      </c>
      <c r="B913" s="29" t="inlineStr">
        <is>
          <t>Quaxly</t>
        </is>
      </c>
      <c r="C913" s="29" t="inlineStr">
        <is>
          <t>クワッス</t>
        </is>
      </c>
      <c r="D913" s="29" t="inlineStr">
        <is>
          <t>Coiffeton</t>
        </is>
      </c>
      <c r="E913" s="29" t="inlineStr">
        <is>
          <t>Kwaks</t>
        </is>
      </c>
      <c r="F913" s="29">
        <f>B913</f>
        <v/>
      </c>
      <c r="G913" s="29">
        <f>B913</f>
        <v/>
      </c>
      <c r="H913" s="4" t="inlineStr">
        <is>
          <t>꾸왁스</t>
        </is>
      </c>
      <c r="I913" s="29">
        <f>IFERROR(__xludf.DUMMYFUNCTION("GOOGLETRANSLATE(J913,""zh_HANS"",""zh_HANT"")"),"潤水鴨")</f>
        <v/>
      </c>
      <c r="J913" s="29" t="inlineStr">
        <is>
          <t>润水鸭</t>
        </is>
      </c>
      <c r="K913" s="29">
        <f>F913</f>
        <v/>
      </c>
    </row>
    <row r="914">
      <c r="A914" s="29">
        <f>CONCATENATE("NAME_PkMn_", UPPER(B914))</f>
        <v/>
      </c>
      <c r="B914" s="29" t="inlineStr">
        <is>
          <t>Quaxwell</t>
        </is>
      </c>
      <c r="C914" s="29" t="inlineStr">
        <is>
          <t>ウェルカモ</t>
        </is>
      </c>
      <c r="D914" s="29" t="inlineStr">
        <is>
          <t>Canarbello</t>
        </is>
      </c>
      <c r="E914" s="29" t="inlineStr">
        <is>
          <t>Fuentente</t>
        </is>
      </c>
      <c r="F914" s="29">
        <f>B914</f>
        <v/>
      </c>
      <c r="G914" s="29">
        <f>B914</f>
        <v/>
      </c>
      <c r="H914" s="4" t="inlineStr">
        <is>
          <t>아꾸왁</t>
        </is>
      </c>
      <c r="I914" s="29">
        <f>IFERROR(__xludf.DUMMYFUNCTION("GOOGLETRANSLATE(J914,""zh_HANS"",""zh_HANT"")"),"湧躍鴨")</f>
        <v/>
      </c>
      <c r="J914" s="29" t="inlineStr">
        <is>
          <t>涌跃鸭</t>
        </is>
      </c>
      <c r="K914" s="29">
        <f>F914</f>
        <v/>
      </c>
    </row>
    <row r="915">
      <c r="A915" s="29">
        <f>CONCATENATE("NAME_PkMn_", UPPER(B915))</f>
        <v/>
      </c>
      <c r="B915" s="29" t="inlineStr">
        <is>
          <t>Quaquaval</t>
        </is>
      </c>
      <c r="C915" s="29" t="inlineStr">
        <is>
          <t>ウェーニバル</t>
        </is>
      </c>
      <c r="D915" s="29" t="inlineStr">
        <is>
          <t>Palmaval</t>
        </is>
      </c>
      <c r="E915" s="29" t="inlineStr">
        <is>
          <t>Bailonda</t>
        </is>
      </c>
      <c r="F915" s="29">
        <f>B915</f>
        <v/>
      </c>
      <c r="G915" s="29">
        <f>B915</f>
        <v/>
      </c>
      <c r="H915" s="4" t="inlineStr">
        <is>
          <t>웨이니발</t>
        </is>
      </c>
      <c r="I915" s="29">
        <f>IFERROR(__xludf.DUMMYFUNCTION("GOOGLETRANSLATE(J915,""zh_HANS"",""zh_HANT"")"),"狂歡浪舞鴨")</f>
        <v/>
      </c>
      <c r="J915" s="29" t="inlineStr">
        <is>
          <t>狂欢浪舞鸭</t>
        </is>
      </c>
      <c r="K915" s="29">
        <f>F915</f>
        <v/>
      </c>
    </row>
    <row r="916">
      <c r="A916" s="29">
        <f>CONCATENATE("NAME_PkMn_", UPPER(B916))</f>
        <v/>
      </c>
      <c r="B916" s="29" t="inlineStr">
        <is>
          <t>Lechonk</t>
        </is>
      </c>
      <c r="C916" s="29" t="inlineStr">
        <is>
          <t>グルトン</t>
        </is>
      </c>
      <c r="D916" s="29" t="inlineStr">
        <is>
          <t>Gourmelet</t>
        </is>
      </c>
      <c r="E916" s="29" t="inlineStr">
        <is>
          <t>Ferkuli</t>
        </is>
      </c>
      <c r="F916" s="29">
        <f>B916</f>
        <v/>
      </c>
      <c r="G916" s="29">
        <f>B916</f>
        <v/>
      </c>
      <c r="H916" s="4" t="inlineStr">
        <is>
          <t>맛보돈</t>
        </is>
      </c>
      <c r="I916" s="29">
        <f>IFERROR(__xludf.DUMMYFUNCTION("GOOGLETRANSLATE(J916,""zh_HANS"",""zh_HANT"")"),"愛吃豚")</f>
        <v/>
      </c>
      <c r="J916" s="29" t="inlineStr">
        <is>
          <t>爱吃豚</t>
        </is>
      </c>
      <c r="K916" s="29">
        <f>F916</f>
        <v/>
      </c>
    </row>
    <row r="917">
      <c r="A917" s="29">
        <f>CONCATENATE("NAME_PkMn_", UPPER(B917))</f>
        <v/>
      </c>
      <c r="B917" s="29" t="inlineStr">
        <is>
          <t>Oinkologne</t>
        </is>
      </c>
      <c r="C917" s="29" t="inlineStr">
        <is>
          <t>パフュートン</t>
        </is>
      </c>
      <c r="D917" s="29" t="inlineStr">
        <is>
          <t>Fragroin</t>
        </is>
      </c>
      <c r="E917" s="29" t="inlineStr">
        <is>
          <t>Fragrunz</t>
        </is>
      </c>
      <c r="F917" s="29">
        <f>B917</f>
        <v/>
      </c>
      <c r="G917" s="29">
        <f>B917</f>
        <v/>
      </c>
      <c r="H917" s="4" t="inlineStr">
        <is>
          <t>퍼퓨돈</t>
        </is>
      </c>
      <c r="I917" s="29">
        <f>IFERROR(__xludf.DUMMYFUNCTION("GOOGLETRANSLATE(J917,""zh_HANS"",""zh_HANT"")"),"飄香豚")</f>
        <v/>
      </c>
      <c r="J917" s="29" t="inlineStr">
        <is>
          <t>飘香豚</t>
        </is>
      </c>
      <c r="K917" s="29">
        <f>F917</f>
        <v/>
      </c>
    </row>
    <row r="918">
      <c r="A918" s="29">
        <f>CONCATENATE("NAME_PkMn_", UPPER(B918))</f>
        <v/>
      </c>
      <c r="B918" s="29" t="inlineStr">
        <is>
          <t>Tarountula</t>
        </is>
      </c>
      <c r="C918" s="29" t="inlineStr">
        <is>
          <t>タマンチュラ</t>
        </is>
      </c>
      <c r="D918" s="29" t="inlineStr">
        <is>
          <t>Tissenboule</t>
        </is>
      </c>
      <c r="E918" s="29" t="inlineStr">
        <is>
          <t>Tarundel</t>
        </is>
      </c>
      <c r="F918" s="29">
        <f>B918</f>
        <v/>
      </c>
      <c r="G918" s="29">
        <f>B918</f>
        <v/>
      </c>
      <c r="H918" s="4" t="inlineStr">
        <is>
          <t>타랜툴라</t>
        </is>
      </c>
      <c r="I918" s="29">
        <f>IFERROR(__xludf.DUMMYFUNCTION("GOOGLETRANSLATE(J918,""zh_HANS"",""zh_HANT"")"),"團珠蛛")</f>
        <v/>
      </c>
      <c r="J918" s="29" t="inlineStr">
        <is>
          <t>团珠蛛</t>
        </is>
      </c>
      <c r="K918" s="29">
        <f>F918</f>
        <v/>
      </c>
    </row>
    <row r="919">
      <c r="A919" s="29">
        <f>CONCATENATE("NAME_PkMn_", UPPER(B919))</f>
        <v/>
      </c>
      <c r="B919" s="29" t="inlineStr">
        <is>
          <t>Spidops</t>
        </is>
      </c>
      <c r="C919" s="29" t="inlineStr">
        <is>
          <t>ワナイダー</t>
        </is>
      </c>
      <c r="D919" s="29" t="inlineStr">
        <is>
          <t>Filentrappe</t>
        </is>
      </c>
      <c r="E919" s="29" t="inlineStr">
        <is>
          <t>Spinsidias</t>
        </is>
      </c>
      <c r="F919" s="29">
        <f>B919</f>
        <v/>
      </c>
      <c r="G919" s="29">
        <f>B919</f>
        <v/>
      </c>
      <c r="H919" s="4" t="inlineStr">
        <is>
          <t>트래피더</t>
        </is>
      </c>
      <c r="I919" s="29">
        <f>J919</f>
        <v/>
      </c>
      <c r="J919" s="29" t="inlineStr">
        <is>
          <t>操陷蛛</t>
        </is>
      </c>
      <c r="K919" s="29">
        <f>F919</f>
        <v/>
      </c>
    </row>
    <row r="920">
      <c r="A920" s="29">
        <f>CONCATENATE("NAME_PkMn_", UPPER(B920))</f>
        <v/>
      </c>
      <c r="B920" s="29" t="inlineStr">
        <is>
          <t>Nymble</t>
        </is>
      </c>
      <c r="C920" s="29" t="inlineStr">
        <is>
          <t>マメバッタ</t>
        </is>
      </c>
      <c r="D920" s="29" t="inlineStr">
        <is>
          <t>Lilliterelle</t>
        </is>
      </c>
      <c r="E920" s="29" t="inlineStr">
        <is>
          <t>Micrick</t>
        </is>
      </c>
      <c r="F920" s="29">
        <f>B920</f>
        <v/>
      </c>
      <c r="G920" s="29">
        <f>B920</f>
        <v/>
      </c>
      <c r="H920" s="4" t="inlineStr">
        <is>
          <t>콩알뚜기</t>
        </is>
      </c>
      <c r="I920" s="29">
        <f>J920</f>
        <v/>
      </c>
      <c r="J920" s="29" t="inlineStr">
        <is>
          <t>豆蟋蟀</t>
        </is>
      </c>
      <c r="K920" s="29">
        <f>F920</f>
        <v/>
      </c>
    </row>
    <row r="921">
      <c r="A921" s="29">
        <f>CONCATENATE("NAME_PkMn_", UPPER(B921))</f>
        <v/>
      </c>
      <c r="B921" s="29" t="inlineStr">
        <is>
          <t>Lokix</t>
        </is>
      </c>
      <c r="C921" s="29" t="inlineStr">
        <is>
          <t>エクスレッグ</t>
        </is>
      </c>
      <c r="D921" s="29" t="inlineStr">
        <is>
          <t>Gamblex</t>
        </is>
      </c>
      <c r="E921" s="29" t="inlineStr">
        <is>
          <t>Lextremo</t>
        </is>
      </c>
      <c r="F921" s="29">
        <f>B921</f>
        <v/>
      </c>
      <c r="G921" s="29">
        <f>B921</f>
        <v/>
      </c>
      <c r="H921" s="4" t="inlineStr">
        <is>
          <t>엑스레그</t>
        </is>
      </c>
      <c r="I921" s="29">
        <f>J921</f>
        <v/>
      </c>
      <c r="J921" s="29" t="inlineStr">
        <is>
          <t>烈腿蝗</t>
        </is>
      </c>
      <c r="K921" s="29">
        <f>F921</f>
        <v/>
      </c>
    </row>
    <row r="922">
      <c r="A922" s="29">
        <f>CONCATENATE("NAME_PkMn_", UPPER(B922))</f>
        <v/>
      </c>
      <c r="B922" s="29" t="inlineStr">
        <is>
          <t>Pawmi</t>
        </is>
      </c>
      <c r="C922" s="29" t="inlineStr">
        <is>
          <t>パモ</t>
        </is>
      </c>
      <c r="D922" s="29" t="inlineStr">
        <is>
          <t>Pohm</t>
        </is>
      </c>
      <c r="E922" s="29" t="inlineStr">
        <is>
          <t>Pamo</t>
        </is>
      </c>
      <c r="F922" s="29">
        <f>B922</f>
        <v/>
      </c>
      <c r="G922" s="29">
        <f>B922</f>
        <v/>
      </c>
      <c r="H922" s="4" t="inlineStr">
        <is>
          <t>빠모</t>
        </is>
      </c>
      <c r="I922" s="29">
        <f>IFERROR(__xludf.DUMMYFUNCTION("GOOGLETRANSLATE(J922,""zh_HANS"",""zh_HANT"")"),"布撥")</f>
        <v/>
      </c>
      <c r="J922" s="29" t="inlineStr">
        <is>
          <t>布拨</t>
        </is>
      </c>
      <c r="K922" s="29">
        <f>F922</f>
        <v/>
      </c>
    </row>
    <row r="923">
      <c r="A923" s="29">
        <f>CONCATENATE("NAME_PkMn_", UPPER(B923))</f>
        <v/>
      </c>
      <c r="B923" s="29" t="inlineStr">
        <is>
          <t>Pawmo</t>
        </is>
      </c>
      <c r="C923" s="29">
        <f>CONCATENATE(C922,"ット")</f>
        <v/>
      </c>
      <c r="D923" s="29">
        <f>CONCATENATE(D922,"otte")</f>
        <v/>
      </c>
      <c r="E923" s="29" t="inlineStr">
        <is>
          <t>Pamamo</t>
        </is>
      </c>
      <c r="F923" s="29">
        <f>B923</f>
        <v/>
      </c>
      <c r="G923" s="29">
        <f>B923</f>
        <v/>
      </c>
      <c r="H923" s="29">
        <f>CONCATENATE(H922,"트")</f>
        <v/>
      </c>
      <c r="I923" s="29">
        <f>IFERROR(__xludf.DUMMYFUNCTION("GOOGLETRANSLATE(J923,""zh_HANS"",""zh_HANT"")"),"布土撥")</f>
        <v/>
      </c>
      <c r="J923" s="29" t="inlineStr">
        <is>
          <t>布土拨</t>
        </is>
      </c>
      <c r="K923" s="29">
        <f>F923</f>
        <v/>
      </c>
    </row>
    <row r="924">
      <c r="A924" s="29">
        <f>CONCATENATE("NAME_PkMn_", UPPER(B924))</f>
        <v/>
      </c>
      <c r="B924" s="29" t="inlineStr">
        <is>
          <t>Pawmot</t>
        </is>
      </c>
      <c r="C924" s="29" t="inlineStr">
        <is>
          <t>パーモット</t>
        </is>
      </c>
      <c r="D924" s="29">
        <f>CONCATENATE(D922,"armotte")</f>
        <v/>
      </c>
      <c r="E924" s="29">
        <f>CONCATENATE(E922,"mamo")</f>
        <v/>
      </c>
      <c r="F924" s="29">
        <f>B924</f>
        <v/>
      </c>
      <c r="G924" s="29">
        <f>B924</f>
        <v/>
      </c>
      <c r="H924" s="4" t="inlineStr">
        <is>
          <t>빠르모트</t>
        </is>
      </c>
      <c r="I924" s="29">
        <f>IFERROR(__xludf.DUMMYFUNCTION("GOOGLETRANSLATE(J924,""zh_HANS"",""zh_HANT"")"),"巴布土撥")</f>
        <v/>
      </c>
      <c r="J924" s="29" t="inlineStr">
        <is>
          <t>巴布土拨</t>
        </is>
      </c>
      <c r="K924" s="29">
        <f>F924</f>
        <v/>
      </c>
    </row>
    <row r="925">
      <c r="A925" s="29">
        <f>CONCATENATE("NAME_PkMn_", UPPER(B925))</f>
        <v/>
      </c>
      <c r="B925" s="29" t="inlineStr">
        <is>
          <t>Tandemaus</t>
        </is>
      </c>
      <c r="C925" s="29" t="inlineStr">
        <is>
          <t>ワッカネズミ</t>
        </is>
      </c>
      <c r="D925" s="29" t="inlineStr">
        <is>
          <t>Compagnol</t>
        </is>
      </c>
      <c r="E925" s="29" t="inlineStr">
        <is>
          <t>Zwieps</t>
        </is>
      </c>
      <c r="F925" s="29">
        <f>B925</f>
        <v/>
      </c>
      <c r="G925" s="29">
        <f>B925</f>
        <v/>
      </c>
      <c r="H925" s="4" t="inlineStr">
        <is>
          <t>두리쥐</t>
        </is>
      </c>
      <c r="I925" s="29">
        <f>IFERROR(__xludf.DUMMYFUNCTION("GOOGLETRANSLATE(J925,""zh_HANS"",""zh_HANT"")"),"一對鼠")</f>
        <v/>
      </c>
      <c r="J925" s="29" t="inlineStr">
        <is>
          <t>一对鼠</t>
        </is>
      </c>
      <c r="K925" s="29">
        <f>F925</f>
        <v/>
      </c>
    </row>
    <row r="926">
      <c r="A926" s="29">
        <f>CONCATENATE("NAME_PkMn_", UPPER(B926))</f>
        <v/>
      </c>
      <c r="B926" s="29" t="inlineStr">
        <is>
          <t>Maushold</t>
        </is>
      </c>
      <c r="C926" s="29" t="inlineStr">
        <is>
          <t>イッカネズミ</t>
        </is>
      </c>
      <c r="D926" s="29" t="inlineStr">
        <is>
          <t>Famignol</t>
        </is>
      </c>
      <c r="E926" s="29" t="inlineStr">
        <is>
          <t>Famieps</t>
        </is>
      </c>
      <c r="F926" s="29">
        <f>B926</f>
        <v/>
      </c>
      <c r="G926" s="29">
        <f>B926</f>
        <v/>
      </c>
      <c r="H926" s="4" t="inlineStr">
        <is>
          <t>파밀리쥐</t>
        </is>
      </c>
      <c r="I926" s="29">
        <f>J926</f>
        <v/>
      </c>
      <c r="J926" s="29" t="inlineStr">
        <is>
          <t>一家鼠</t>
        </is>
      </c>
      <c r="K926" s="29">
        <f>F926</f>
        <v/>
      </c>
    </row>
    <row r="927">
      <c r="A927" s="29">
        <f>CONCATENATE("NAME_PkMn_", UPPER(B927))</f>
        <v/>
      </c>
      <c r="B927" s="29" t="inlineStr">
        <is>
          <t>Fidough</t>
        </is>
      </c>
      <c r="C927" s="29" t="inlineStr">
        <is>
          <t>パピモッチ</t>
        </is>
      </c>
      <c r="D927" s="29" t="inlineStr">
        <is>
          <t>Pâtachiot</t>
        </is>
      </c>
      <c r="E927" s="29" t="inlineStr">
        <is>
          <t>Hefel</t>
        </is>
      </c>
      <c r="F927" s="29">
        <f>B927</f>
        <v/>
      </c>
      <c r="G927" s="29">
        <f>B927</f>
        <v/>
      </c>
      <c r="H927" s="4" t="inlineStr">
        <is>
          <t>쫀도기</t>
        </is>
      </c>
      <c r="I927" s="29">
        <f>J927</f>
        <v/>
      </c>
      <c r="J927" s="29" t="inlineStr">
        <is>
          <t>狗仔包</t>
        </is>
      </c>
      <c r="K927" s="29">
        <f>F927</f>
        <v/>
      </c>
    </row>
    <row r="928">
      <c r="A928" s="29">
        <f>CONCATENATE("NAME_PkMn_", UPPER(B928))</f>
        <v/>
      </c>
      <c r="B928" s="29" t="inlineStr">
        <is>
          <t>Dachsbun</t>
        </is>
      </c>
      <c r="C928" s="29" t="inlineStr">
        <is>
          <t>バウッツエル</t>
        </is>
      </c>
      <c r="D928" s="29" t="inlineStr">
        <is>
          <t>Briochien</t>
        </is>
      </c>
      <c r="E928" s="29" t="inlineStr">
        <is>
          <t>Backel</t>
        </is>
      </c>
      <c r="F928" s="29">
        <f>B928</f>
        <v/>
      </c>
      <c r="G928" s="29">
        <f>B928</f>
        <v/>
      </c>
      <c r="H928" s="29" t="inlineStr">
        <is>
          <t>바우첼</t>
        </is>
      </c>
      <c r="I928" s="29">
        <f>J928</f>
        <v/>
      </c>
      <c r="J928" s="29" t="inlineStr">
        <is>
          <t>麻花犬</t>
        </is>
      </c>
      <c r="K928" s="29">
        <f>F928</f>
        <v/>
      </c>
    </row>
    <row r="929">
      <c r="A929" s="29">
        <f>CONCATENATE("NAME_PkMn_", UPPER(B929))</f>
        <v/>
      </c>
      <c r="B929" s="29" t="inlineStr">
        <is>
          <t>Smoliv</t>
        </is>
      </c>
      <c r="C929" s="29" t="inlineStr">
        <is>
          <t>ミニーブ</t>
        </is>
      </c>
      <c r="D929" s="29" t="inlineStr">
        <is>
          <t>Olivini</t>
        </is>
      </c>
      <c r="E929" s="29" t="inlineStr">
        <is>
          <t>Olini</t>
        </is>
      </c>
      <c r="F929" s="29">
        <f>B929</f>
        <v/>
      </c>
      <c r="G929" s="29">
        <f>B929</f>
        <v/>
      </c>
      <c r="H929" s="4" t="inlineStr">
        <is>
          <t>미니브</t>
        </is>
      </c>
      <c r="I929" s="29">
        <f>J929</f>
        <v/>
      </c>
      <c r="J929" s="29" t="inlineStr">
        <is>
          <t>迷你芙</t>
        </is>
      </c>
      <c r="K929" s="29">
        <f>F929</f>
        <v/>
      </c>
    </row>
    <row r="930">
      <c r="A930" s="29">
        <f>CONCATENATE("NAME_PkMn_", UPPER(B930))</f>
        <v/>
      </c>
      <c r="B930" s="29" t="inlineStr">
        <is>
          <t>Dolliv</t>
        </is>
      </c>
      <c r="C930" s="29" t="inlineStr">
        <is>
          <t>オリーニョ</t>
        </is>
      </c>
      <c r="D930" s="29" t="inlineStr">
        <is>
          <t>Olivado</t>
        </is>
      </c>
      <c r="E930" s="29" t="inlineStr">
        <is>
          <t>Olivinio</t>
        </is>
      </c>
      <c r="F930" s="29">
        <f>B930</f>
        <v/>
      </c>
      <c r="G930" s="29">
        <f>B930</f>
        <v/>
      </c>
      <c r="H930" s="6" t="inlineStr">
        <is>
          <t>올리뇨</t>
        </is>
      </c>
      <c r="I930" s="29">
        <f>IFERROR(__xludf.DUMMYFUNCTION("GOOGLETRANSLATE(J930,""zh_HANS"",""zh_HANT"")"),"奧利紐")</f>
        <v/>
      </c>
      <c r="J930" s="29" t="inlineStr">
        <is>
          <t>奥利纽</t>
        </is>
      </c>
      <c r="K930" s="29">
        <f>F930</f>
        <v/>
      </c>
    </row>
    <row r="931">
      <c r="A931" s="29">
        <f>CONCATENATE("NAME_PkMn_", UPPER(B931))</f>
        <v/>
      </c>
      <c r="B931" s="29" t="inlineStr">
        <is>
          <t>Arboliva</t>
        </is>
      </c>
      <c r="C931" s="29" t="inlineStr">
        <is>
          <t>オリーヴァ</t>
        </is>
      </c>
      <c r="D931" s="29">
        <f>B931</f>
        <v/>
      </c>
      <c r="E931" s="29" t="inlineStr">
        <is>
          <t>Olithena</t>
        </is>
      </c>
      <c r="F931" s="29">
        <f>B931</f>
        <v/>
      </c>
      <c r="G931" s="29">
        <f>B931</f>
        <v/>
      </c>
      <c r="H931" s="4" t="inlineStr">
        <is>
          <t>올리르바</t>
        </is>
      </c>
      <c r="I931" s="29">
        <f>IFERROR(__xludf.DUMMYFUNCTION("GOOGLETRANSLATE(J931,""zh_HANS"",""zh_HANT"")"),"奧利瓦")</f>
        <v/>
      </c>
      <c r="J931" s="29" t="inlineStr">
        <is>
          <t>奥利瓦</t>
        </is>
      </c>
      <c r="K931" s="29">
        <f>F931</f>
        <v/>
      </c>
    </row>
    <row r="932">
      <c r="A932" s="29">
        <f>CONCATENATE("NAME_PkMn_", UPPER(B932))</f>
        <v/>
      </c>
      <c r="B932" s="29" t="inlineStr">
        <is>
          <t>Squawkabilly</t>
        </is>
      </c>
      <c r="C932" s="29" t="inlineStr">
        <is>
          <t>イキリンコ</t>
        </is>
      </c>
      <c r="D932" s="29" t="inlineStr">
        <is>
          <t>Tapatoès</t>
        </is>
      </c>
      <c r="E932" s="29" t="inlineStr">
        <is>
          <t>Krawalloro</t>
        </is>
      </c>
      <c r="F932" s="29">
        <f>B932</f>
        <v/>
      </c>
      <c r="G932" s="29">
        <f>B932</f>
        <v/>
      </c>
      <c r="H932" s="4" t="inlineStr">
        <is>
          <t>시비꼬</t>
        </is>
      </c>
      <c r="I932" s="29">
        <f>IFERROR(__xludf.DUMMYFUNCTION("GOOGLETRANSLATE(J932,""zh_HANS"",""zh_HANT"")"),"怒鸚哥")</f>
        <v/>
      </c>
      <c r="J932" s="29" t="inlineStr">
        <is>
          <t>怒鹦哥</t>
        </is>
      </c>
      <c r="K932" s="29">
        <f>F932</f>
        <v/>
      </c>
    </row>
    <row r="933">
      <c r="A933" s="29">
        <f>CONCATENATE("NAME_PkMn_", UPPER(B933))</f>
        <v/>
      </c>
      <c r="B933" s="29" t="inlineStr">
        <is>
          <t>Nacli</t>
        </is>
      </c>
      <c r="C933" s="29" t="inlineStr">
        <is>
          <t>コジオ</t>
        </is>
      </c>
      <c r="D933" s="29" t="inlineStr">
        <is>
          <t>Selutin</t>
        </is>
      </c>
      <c r="E933" s="29" t="inlineStr">
        <is>
          <t>Geosali</t>
        </is>
      </c>
      <c r="F933" s="29">
        <f>B933</f>
        <v/>
      </c>
      <c r="G933" s="29">
        <f>B933</f>
        <v/>
      </c>
      <c r="H933" s="29" t="inlineStr">
        <is>
          <t>베베솔트</t>
        </is>
      </c>
      <c r="I933" s="29">
        <f>IFERROR(__xludf.DUMMYFUNCTION("GOOGLETRANSLATE(J933,""zh_HANS"",""zh_HANT"")"),"鹽石寶")</f>
        <v/>
      </c>
      <c r="J933" s="29" t="inlineStr">
        <is>
          <t>盐石宝</t>
        </is>
      </c>
      <c r="K933" s="29">
        <f>F933</f>
        <v/>
      </c>
    </row>
    <row r="934">
      <c r="A934" s="29">
        <f>CONCATENATE("NAME_PkMn_", UPPER(B934))</f>
        <v/>
      </c>
      <c r="B934" s="29" t="inlineStr">
        <is>
          <t>Naclstack</t>
        </is>
      </c>
      <c r="C934" s="29" t="inlineStr">
        <is>
          <t>ジオヅム</t>
        </is>
      </c>
      <c r="D934" s="29" t="inlineStr">
        <is>
          <t>Amassel</t>
        </is>
      </c>
      <c r="E934" s="29" t="inlineStr">
        <is>
          <t>Sedisal</t>
        </is>
      </c>
      <c r="F934" s="29">
        <f>B934</f>
        <v/>
      </c>
      <c r="G934" s="29">
        <f>B934</f>
        <v/>
      </c>
      <c r="H934" s="4" t="inlineStr">
        <is>
          <t>스태솔트</t>
        </is>
      </c>
      <c r="I934" s="29">
        <f>IFERROR(__xludf.DUMMYFUNCTION("GOOGLETRANSLATE(J934,""zh_HANS"",""zh_HANT"")"),"鹽石壘")</f>
        <v/>
      </c>
      <c r="J934" s="29" t="inlineStr">
        <is>
          <t>盐石垒</t>
        </is>
      </c>
      <c r="K934" s="29">
        <f>F934</f>
        <v/>
      </c>
    </row>
    <row r="935">
      <c r="A935" s="29">
        <f>CONCATENATE("NAME_PkMn_", UPPER(B935))</f>
        <v/>
      </c>
      <c r="B935" s="29" t="inlineStr">
        <is>
          <t>Garganacl</t>
        </is>
      </c>
      <c r="C935" s="29" t="inlineStr">
        <is>
          <t>キョジオーン</t>
        </is>
      </c>
      <c r="D935" s="29" t="inlineStr">
        <is>
          <t>Gigansel</t>
        </is>
      </c>
      <c r="E935" s="29" t="inlineStr">
        <is>
          <t>Saltigant</t>
        </is>
      </c>
      <c r="F935" s="29">
        <f>B935</f>
        <v/>
      </c>
      <c r="G935" s="29">
        <f>B935</f>
        <v/>
      </c>
      <c r="H935" s="4" t="inlineStr">
        <is>
          <t>콜로솔트</t>
        </is>
      </c>
      <c r="I935" s="29">
        <f>IFERROR(__xludf.DUMMYFUNCTION("GOOGLETRANSLATE(J935,""zh_HANS"",""zh_HANT"")"),"鹽石巨靈")</f>
        <v/>
      </c>
      <c r="J935" s="29" t="inlineStr">
        <is>
          <t>盐石巨灵</t>
        </is>
      </c>
      <c r="K935" s="29">
        <f>F935</f>
        <v/>
      </c>
    </row>
    <row r="936">
      <c r="A936" s="29">
        <f>CONCATENATE("NAME_PkMn_", UPPER(B936))</f>
        <v/>
      </c>
      <c r="B936" s="29" t="inlineStr">
        <is>
          <t>Charcadet</t>
        </is>
      </c>
      <c r="C936" s="29" t="inlineStr">
        <is>
          <t>カルボウ</t>
        </is>
      </c>
      <c r="D936" s="29" t="inlineStr">
        <is>
          <t>Charbambin</t>
        </is>
      </c>
      <c r="E936" s="29" t="inlineStr">
        <is>
          <t>Knarbon</t>
        </is>
      </c>
      <c r="F936" s="29">
        <f>B936</f>
        <v/>
      </c>
      <c r="G936" s="29">
        <f>B936</f>
        <v/>
      </c>
      <c r="H936" s="6" t="inlineStr">
        <is>
          <t>카르본</t>
        </is>
      </c>
      <c r="I936" s="29">
        <f>J936</f>
        <v/>
      </c>
      <c r="J936" s="29" t="inlineStr">
        <is>
          <t>炭小侍</t>
        </is>
      </c>
      <c r="K936" s="29">
        <f>F936</f>
        <v/>
      </c>
    </row>
    <row r="937">
      <c r="A937" s="29">
        <f>CONCATENATE("NAME_PkMn_", UPPER(B937))</f>
        <v/>
      </c>
      <c r="B937" s="29" t="inlineStr">
        <is>
          <t>Armarouge</t>
        </is>
      </c>
      <c r="C937" s="29" t="inlineStr">
        <is>
          <t>グレンアルマ</t>
        </is>
      </c>
      <c r="D937" s="29" t="inlineStr">
        <is>
          <t>Carmadura</t>
        </is>
      </c>
      <c r="E937" s="29" t="inlineStr">
        <is>
          <t>Crimanzo</t>
        </is>
      </c>
      <c r="F937" s="29">
        <f>B937</f>
        <v/>
      </c>
      <c r="G937" s="29">
        <f>B937</f>
        <v/>
      </c>
      <c r="H937" s="4" t="inlineStr">
        <is>
          <t>카디나르마</t>
        </is>
      </c>
      <c r="I937" s="29">
        <f>IFERROR(__xludf.DUMMYFUNCTION("GOOGLETRANSLATE(J937,""zh_HANS"",""zh_HANT"")"),"紅蓮鎧騎")</f>
        <v/>
      </c>
      <c r="J937" s="29" t="inlineStr">
        <is>
          <t>红莲铠骑</t>
        </is>
      </c>
      <c r="K937" s="29">
        <f>F937</f>
        <v/>
      </c>
    </row>
    <row r="938">
      <c r="A938" s="29">
        <f>CONCATENATE("NAME_PkMn_", UPPER(B938))</f>
        <v/>
      </c>
      <c r="B938" s="29" t="inlineStr">
        <is>
          <t>Ceruledge</t>
        </is>
      </c>
      <c r="C938" s="29" t="inlineStr">
        <is>
          <t>ソウブレイズ</t>
        </is>
      </c>
      <c r="D938" s="29" t="inlineStr">
        <is>
          <t>Malvalame</t>
        </is>
      </c>
      <c r="E938" s="29" t="inlineStr">
        <is>
          <t>Azugladis</t>
        </is>
      </c>
      <c r="F938" s="29">
        <f>B938</f>
        <v/>
      </c>
      <c r="G938" s="29">
        <f>B938</f>
        <v/>
      </c>
      <c r="H938" s="4" t="inlineStr">
        <is>
          <t>파라블레이즈</t>
        </is>
      </c>
      <c r="I938" s="29">
        <f>IFERROR(__xludf.DUMMYFUNCTION("GOOGLETRANSLATE(J938,""zh_HANS"",""zh_HANT"")"),"蒼炎刃鬼")</f>
        <v/>
      </c>
      <c r="J938" s="29" t="inlineStr">
        <is>
          <t>苍炎刃鬼</t>
        </is>
      </c>
      <c r="K938" s="29">
        <f>F938</f>
        <v/>
      </c>
    </row>
    <row r="939">
      <c r="A939" s="29">
        <f>CONCATENATE("NAME_PkMn_", UPPER(B939))</f>
        <v/>
      </c>
      <c r="B939" s="29" t="inlineStr">
        <is>
          <t>Tadbulb</t>
        </is>
      </c>
      <c r="C939" s="29" t="inlineStr">
        <is>
          <t>ズピカ</t>
        </is>
      </c>
      <c r="D939" s="29" t="inlineStr">
        <is>
          <t>Têtampoule</t>
        </is>
      </c>
      <c r="E939" s="29" t="inlineStr">
        <is>
          <t>Blipp</t>
        </is>
      </c>
      <c r="F939" s="29">
        <f>B939</f>
        <v/>
      </c>
      <c r="G939" s="29">
        <f>B939</f>
        <v/>
      </c>
      <c r="H939" s="4" t="inlineStr">
        <is>
          <t>빈나두</t>
        </is>
      </c>
      <c r="I939" s="29">
        <f>J939</f>
        <v/>
      </c>
      <c r="J939" s="29" t="inlineStr">
        <is>
          <t>光蚪仔</t>
        </is>
      </c>
      <c r="K939" s="29">
        <f>F939</f>
        <v/>
      </c>
    </row>
    <row r="940">
      <c r="A940" s="29">
        <f>CONCATENATE("NAME_PkMn_", UPPER(B940))</f>
        <v/>
      </c>
      <c r="B940" s="29" t="inlineStr">
        <is>
          <t>Bellibolt</t>
        </is>
      </c>
      <c r="C940" s="29" t="inlineStr">
        <is>
          <t>ハラバリー</t>
        </is>
      </c>
      <c r="D940" s="29" t="inlineStr">
        <is>
          <t>Ampibidou</t>
        </is>
      </c>
      <c r="E940" s="29" t="inlineStr">
        <is>
          <t>Wampitz</t>
        </is>
      </c>
      <c r="F940" s="29">
        <f>B940</f>
        <v/>
      </c>
      <c r="G940" s="29">
        <f>B940</f>
        <v/>
      </c>
      <c r="H940" s="4" t="inlineStr">
        <is>
          <t>찌리배리</t>
        </is>
      </c>
      <c r="I940" s="29">
        <f>IFERROR(__xludf.DUMMYFUNCTION("GOOGLETRANSLATE(J940,""zh_HANS"",""zh_HANT"")"),"電肚蛙")</f>
        <v/>
      </c>
      <c r="J940" s="29" t="inlineStr">
        <is>
          <t>电肚蛙</t>
        </is>
      </c>
      <c r="K940" s="29">
        <f>F940</f>
        <v/>
      </c>
    </row>
    <row r="941">
      <c r="A941" s="29">
        <f>CONCATENATE("NAME_PkMn_", UPPER(B941))</f>
        <v/>
      </c>
      <c r="B941" s="29" t="inlineStr">
        <is>
          <t>Wattrel</t>
        </is>
      </c>
      <c r="C941" s="29" t="inlineStr">
        <is>
          <t>カイデン</t>
        </is>
      </c>
      <c r="D941" s="29" t="inlineStr">
        <is>
          <t>Zapétrel</t>
        </is>
      </c>
      <c r="E941" s="29" t="inlineStr">
        <is>
          <t>Voltrel</t>
        </is>
      </c>
      <c r="F941" s="29">
        <f>B941</f>
        <v/>
      </c>
      <c r="G941" s="29">
        <f>B941</f>
        <v/>
      </c>
      <c r="H941" s="29" t="inlineStr">
        <is>
          <t>찌리비</t>
        </is>
      </c>
      <c r="I941" s="29">
        <f>IFERROR(__xludf.DUMMYFUNCTION("GOOGLETRANSLATE(J941,""zh_HANS"",""zh_HANT"")"),"電海燕")</f>
        <v/>
      </c>
      <c r="J941" s="29" t="inlineStr">
        <is>
          <t>电海燕</t>
        </is>
      </c>
      <c r="K941" s="29">
        <f>F941</f>
        <v/>
      </c>
    </row>
    <row r="942">
      <c r="A942" s="29">
        <f>CONCATENATE("NAME_PkMn_", UPPER(B942))</f>
        <v/>
      </c>
      <c r="B942" s="29" t="inlineStr">
        <is>
          <t>Kilowattrel</t>
        </is>
      </c>
      <c r="C942" s="29">
        <f>CONCATENATE("タイ",C941)</f>
        <v/>
      </c>
      <c r="D942" s="29" t="inlineStr">
        <is>
          <t>Fulgulairo</t>
        </is>
      </c>
      <c r="E942" s="29" t="inlineStr">
        <is>
          <t>Voltrean</t>
        </is>
      </c>
      <c r="F942" s="29">
        <f>B942</f>
        <v/>
      </c>
      <c r="G942" s="29">
        <f>B942</f>
        <v/>
      </c>
      <c r="H942" s="4">
        <f>CONCATENATE(H941,"크")</f>
        <v/>
      </c>
      <c r="I942" s="29">
        <f>IFERROR(__xludf.DUMMYFUNCTION("GOOGLETRANSLATE(J942,""zh_HANS"",""zh_HANT"")"),"大電海燕")</f>
        <v/>
      </c>
      <c r="J942" s="29" t="inlineStr">
        <is>
          <t>大电海燕</t>
        </is>
      </c>
      <c r="K942" s="29">
        <f>F942</f>
        <v/>
      </c>
    </row>
    <row r="943">
      <c r="A943" s="29">
        <f>CONCATENATE("NAME_PkMn_", UPPER(B943))</f>
        <v/>
      </c>
      <c r="B943" s="29" t="inlineStr">
        <is>
          <t>Maschiff</t>
        </is>
      </c>
      <c r="C943" s="29" t="inlineStr">
        <is>
          <t>オラチフ</t>
        </is>
      </c>
      <c r="D943" s="29" t="inlineStr">
        <is>
          <t>Grondogue</t>
        </is>
      </c>
      <c r="E943" s="29" t="inlineStr">
        <is>
          <t>Mobtiff</t>
        </is>
      </c>
      <c r="F943" s="29">
        <f>B943</f>
        <v/>
      </c>
      <c r="G943" s="29">
        <f>B943</f>
        <v/>
      </c>
      <c r="H943" s="6" t="inlineStr">
        <is>
          <t>오라티프</t>
        </is>
      </c>
      <c r="I943" s="29">
        <f>J943</f>
        <v/>
      </c>
      <c r="J943" s="29" t="inlineStr">
        <is>
          <t>偶叫獒</t>
        </is>
      </c>
      <c r="K943" s="29">
        <f>F943</f>
        <v/>
      </c>
    </row>
    <row r="944">
      <c r="A944" s="29">
        <f>CONCATENATE("NAME_PkMn_", UPPER(B944))</f>
        <v/>
      </c>
      <c r="B944" s="29" t="inlineStr">
        <is>
          <t>Mabosstiff</t>
        </is>
      </c>
      <c r="C944" s="29" t="inlineStr">
        <is>
          <t>マフィティフ</t>
        </is>
      </c>
      <c r="D944" s="29" t="inlineStr">
        <is>
          <t>Dogrino</t>
        </is>
      </c>
      <c r="E944" s="29" t="inlineStr">
        <is>
          <t>Mastifioso</t>
        </is>
      </c>
      <c r="F944" s="29">
        <f>B944</f>
        <v/>
      </c>
      <c r="G944" s="29">
        <f>B944</f>
        <v/>
      </c>
      <c r="H944" s="29" t="inlineStr">
        <is>
          <t>마피티프</t>
        </is>
      </c>
      <c r="I944" s="29">
        <f>J944</f>
        <v/>
      </c>
      <c r="J944" s="29" t="inlineStr">
        <is>
          <t>獒教父</t>
        </is>
      </c>
      <c r="K944" s="29">
        <f>F944</f>
        <v/>
      </c>
    </row>
    <row r="945">
      <c r="A945" s="29">
        <f>CONCATENATE("NAME_PkMn_", UPPER(B945))</f>
        <v/>
      </c>
      <c r="B945" s="29" t="inlineStr">
        <is>
          <t>Shroodle</t>
        </is>
      </c>
      <c r="C945" s="29" t="inlineStr">
        <is>
          <t>シルシュルー</t>
        </is>
      </c>
      <c r="D945" s="29" t="inlineStr">
        <is>
          <t>Gribouraigne</t>
        </is>
      </c>
      <c r="E945" s="29" t="inlineStr">
        <is>
          <t>Sproxi</t>
        </is>
      </c>
      <c r="F945" s="29">
        <f>B945</f>
        <v/>
      </c>
      <c r="G945" s="29">
        <f>B945</f>
        <v/>
      </c>
      <c r="H945" s="29" t="inlineStr">
        <is>
          <t>땃쭈르</t>
        </is>
      </c>
      <c r="I945" s="29">
        <f>IFERROR(__xludf.DUMMYFUNCTION("GOOGLETRANSLATE(J945,""zh_HANS"",""zh_HANT"")"),"滋汁鼴")</f>
        <v/>
      </c>
      <c r="J945" s="29" t="inlineStr">
        <is>
          <t>滋汁鼹</t>
        </is>
      </c>
      <c r="K945" s="29">
        <f>F945</f>
        <v/>
      </c>
    </row>
    <row r="946">
      <c r="A946" s="29">
        <f>CONCATENATE("NAME_PkMn_", UPPER(B946))</f>
        <v/>
      </c>
      <c r="B946" s="29" t="inlineStr">
        <is>
          <t>Grafaiai</t>
        </is>
      </c>
      <c r="C946" s="29" t="inlineStr">
        <is>
          <t>タギングル</t>
        </is>
      </c>
      <c r="D946" s="29" t="inlineStr">
        <is>
          <t>Tag-Tag</t>
        </is>
      </c>
      <c r="E946" s="29" t="inlineStr">
        <is>
          <t>Affiti</t>
        </is>
      </c>
      <c r="F946" s="29">
        <f>B946</f>
        <v/>
      </c>
      <c r="G946" s="29">
        <f>B946</f>
        <v/>
      </c>
      <c r="H946" s="4" t="inlineStr">
        <is>
          <t>태깅구르</t>
        </is>
      </c>
      <c r="I946" s="29">
        <f>IFERROR(__xludf.DUMMYFUNCTION("GOOGLETRANSLATE(J946,""zh_HANS"",""zh_HANT"")"),"塗標客")</f>
        <v/>
      </c>
      <c r="J946" s="29" t="inlineStr">
        <is>
          <t>涂标客</t>
        </is>
      </c>
      <c r="K946" s="29">
        <f>F946</f>
        <v/>
      </c>
    </row>
    <row r="947">
      <c r="A947" s="29">
        <f>CONCATENATE("NAME_PkMn_", UPPER(B947))</f>
        <v/>
      </c>
      <c r="B947" s="29" t="inlineStr">
        <is>
          <t>Bramblin</t>
        </is>
      </c>
      <c r="C947" s="29" t="inlineStr">
        <is>
          <t>アノクサ</t>
        </is>
      </c>
      <c r="D947" s="29" t="inlineStr">
        <is>
          <t>Virovent</t>
        </is>
      </c>
      <c r="E947" s="29" t="inlineStr">
        <is>
          <t>Weherba</t>
        </is>
      </c>
      <c r="F947" s="29">
        <f>B947</f>
        <v/>
      </c>
      <c r="G947" s="29">
        <f>B947</f>
        <v/>
      </c>
      <c r="H947" s="29" t="inlineStr">
        <is>
          <t>그푸리</t>
        </is>
      </c>
      <c r="I947" s="29">
        <f>IFERROR(__xludf.DUMMYFUNCTION("GOOGLETRANSLATE(J947,""zh_HANS"",""zh_HANT"")"),"納噬草")</f>
        <v/>
      </c>
      <c r="J947" s="29" t="inlineStr">
        <is>
          <t>纳噬草</t>
        </is>
      </c>
      <c r="K947" s="29">
        <f>F947</f>
        <v/>
      </c>
    </row>
    <row r="948">
      <c r="A948" s="29">
        <f>CONCATENATE("NAME_PkMn_", UPPER(B948))</f>
        <v/>
      </c>
      <c r="B948" s="29" t="inlineStr">
        <is>
          <t>Brambleghast</t>
        </is>
      </c>
      <c r="C948" s="29" t="inlineStr">
        <is>
          <t>アノホラグサ</t>
        </is>
      </c>
      <c r="D948" s="29" t="inlineStr">
        <is>
          <t>Virevorreur</t>
        </is>
      </c>
      <c r="E948" s="29" t="inlineStr">
        <is>
          <t>Horrerba</t>
        </is>
      </c>
      <c r="F948" s="29">
        <f>B948</f>
        <v/>
      </c>
      <c r="G948" s="29">
        <f>B948</f>
        <v/>
      </c>
      <c r="H948" s="29" t="inlineStr">
        <is>
          <t>공푸리</t>
        </is>
      </c>
      <c r="I948" s="29">
        <f>IFERROR(__xludf.DUMMYFUNCTION("GOOGLETRANSLATE(J948,""zh_HANS"",""zh_HANT"")"),"麋納噬草")</f>
        <v/>
      </c>
      <c r="J948" s="29" t="inlineStr">
        <is>
          <t>怖纳噬草</t>
        </is>
      </c>
      <c r="K948" s="29">
        <f>F948</f>
        <v/>
      </c>
    </row>
    <row r="949">
      <c r="A949" s="29">
        <f>CONCATENATE("NAME_PkMn_", UPPER(B949))</f>
        <v/>
      </c>
      <c r="B949" s="29" t="inlineStr">
        <is>
          <t>Toedscool</t>
        </is>
      </c>
      <c r="C949" s="29" t="inlineStr">
        <is>
          <t>ノノクラゲ</t>
        </is>
      </c>
      <c r="D949" s="29" t="inlineStr">
        <is>
          <t>Terracool</t>
        </is>
      </c>
      <c r="E949" s="29" t="inlineStr">
        <is>
          <t>Tentagra</t>
        </is>
      </c>
      <c r="F949" s="29">
        <f>B949</f>
        <v/>
      </c>
      <c r="G949" s="29">
        <f>B949</f>
        <v/>
      </c>
      <c r="H949" s="6" t="inlineStr">
        <is>
          <t>들눈해</t>
        </is>
      </c>
      <c r="I949" s="29">
        <f>J949</f>
        <v/>
      </c>
      <c r="J949" s="29" t="inlineStr">
        <is>
          <t>原野水母</t>
        </is>
      </c>
      <c r="K949" s="29">
        <f>F949</f>
        <v/>
      </c>
    </row>
    <row r="950">
      <c r="A950" s="29">
        <f>CONCATENATE("NAME_PkMn_", UPPER(B950))</f>
        <v/>
      </c>
      <c r="B950" s="29" t="inlineStr">
        <is>
          <t>Toadscruel</t>
        </is>
      </c>
      <c r="C950" s="29" t="inlineStr">
        <is>
          <t>リククラゲ</t>
        </is>
      </c>
      <c r="D950" s="29" t="inlineStr">
        <is>
          <t>Terracruel</t>
        </is>
      </c>
      <c r="E950" s="29" t="inlineStr">
        <is>
          <t>Tenterra</t>
        </is>
      </c>
      <c r="F950" s="29">
        <f>B950</f>
        <v/>
      </c>
      <c r="G950" s="29">
        <f>B950</f>
        <v/>
      </c>
      <c r="H950" s="6" t="inlineStr">
        <is>
          <t>육파리</t>
        </is>
      </c>
      <c r="I950" s="29">
        <f>IFERROR(__xludf.DUMMYFUNCTION("GOOGLETRANSLATE(J950,""zh_HANS"",""zh_HANT"")"),"陸地水母")</f>
        <v/>
      </c>
      <c r="J950" s="29" t="inlineStr">
        <is>
          <t>陆地水母</t>
        </is>
      </c>
      <c r="K950" s="29">
        <f>F950</f>
        <v/>
      </c>
    </row>
    <row r="951">
      <c r="A951" s="29">
        <f>CONCATENATE("NAME_PkMn_", UPPER(B951))</f>
        <v/>
      </c>
      <c r="B951" s="29" t="inlineStr">
        <is>
          <t>Klawf</t>
        </is>
      </c>
      <c r="C951" s="29" t="inlineStr">
        <is>
          <t>ガケガニ</t>
        </is>
      </c>
      <c r="D951" s="29" t="inlineStr">
        <is>
          <t>Craparoi</t>
        </is>
      </c>
      <c r="E951" s="29" t="inlineStr">
        <is>
          <t>Klibbe</t>
        </is>
      </c>
      <c r="F951" s="29">
        <f>B951</f>
        <v/>
      </c>
      <c r="G951" s="29">
        <f>B951</f>
        <v/>
      </c>
      <c r="H951" s="4" t="inlineStr">
        <is>
          <t>절벼게</t>
        </is>
      </c>
      <c r="I951" s="29">
        <f>J951</f>
        <v/>
      </c>
      <c r="J951" s="29" t="inlineStr">
        <is>
          <t>毛崖蟹</t>
        </is>
      </c>
      <c r="K951" s="29">
        <f>F951</f>
        <v/>
      </c>
    </row>
    <row r="952">
      <c r="A952" s="29">
        <f>CONCATENATE("NAME_PkMn_", UPPER(B952))</f>
        <v/>
      </c>
      <c r="B952" s="29" t="inlineStr">
        <is>
          <t>Capsakid</t>
        </is>
      </c>
      <c r="C952" s="29" t="inlineStr">
        <is>
          <t>カプサイジ</t>
        </is>
      </c>
      <c r="D952" s="29" t="inlineStr">
        <is>
          <t>Pimito</t>
        </is>
      </c>
      <c r="E952" s="29" t="inlineStr">
        <is>
          <t>Chilingel</t>
        </is>
      </c>
      <c r="F952" s="29">
        <f>B952</f>
        <v/>
      </c>
      <c r="G952" s="29">
        <f>B952</f>
        <v/>
      </c>
      <c r="H952" s="4" t="inlineStr">
        <is>
          <t>캡싸이</t>
        </is>
      </c>
      <c r="I952" s="29">
        <f>IFERROR(__xludf.DUMMYFUNCTION("GOOGLETRANSLATE(J952,""zh_HANS"",""zh_HANT"")"),"熱辣娃")</f>
        <v/>
      </c>
      <c r="J952" s="29" t="inlineStr">
        <is>
          <t>热辣娃</t>
        </is>
      </c>
      <c r="K952" s="29">
        <f>F952</f>
        <v/>
      </c>
    </row>
    <row r="953">
      <c r="A953" s="29">
        <f>CONCATENATE("NAME_PkMn_", UPPER(B953))</f>
        <v/>
      </c>
      <c r="B953" s="29" t="inlineStr">
        <is>
          <t>Scovillain</t>
        </is>
      </c>
      <c r="C953" s="29" t="inlineStr">
        <is>
          <t>スコヴィラン</t>
        </is>
      </c>
      <c r="D953" s="29" t="inlineStr">
        <is>
          <t>Scovilain</t>
        </is>
      </c>
      <c r="E953" s="29" t="inlineStr">
        <is>
          <t>Halupenjo</t>
        </is>
      </c>
      <c r="F953" s="29">
        <f>B953</f>
        <v/>
      </c>
      <c r="G953" s="29">
        <f>B953</f>
        <v/>
      </c>
      <c r="H953" s="4" t="inlineStr">
        <is>
          <t>스코빌런</t>
        </is>
      </c>
      <c r="I953" s="29">
        <f>J953</f>
        <v/>
      </c>
      <c r="J953" s="29" t="inlineStr">
        <is>
          <t>狠辣椒</t>
        </is>
      </c>
      <c r="K953" s="29">
        <f>F953</f>
        <v/>
      </c>
    </row>
    <row r="954">
      <c r="A954" s="29">
        <f>CONCATENATE("NAME_PkMn_", UPPER(B954))</f>
        <v/>
      </c>
      <c r="B954" s="29" t="inlineStr">
        <is>
          <t>Rellor</t>
        </is>
      </c>
      <c r="C954" s="29" t="inlineStr">
        <is>
          <t>シガロコ</t>
        </is>
      </c>
      <c r="D954" s="29" t="inlineStr">
        <is>
          <t>Léboulérou</t>
        </is>
      </c>
      <c r="E954" s="29" t="inlineStr">
        <is>
          <t>Relluk</t>
        </is>
      </c>
      <c r="F954" s="29">
        <f>B954</f>
        <v/>
      </c>
      <c r="G954" s="29">
        <f>B954</f>
        <v/>
      </c>
      <c r="H954" s="4" t="inlineStr">
        <is>
          <t>구르데</t>
        </is>
      </c>
      <c r="I954" s="29">
        <f>IFERROR(__xludf.DUMMYFUNCTION("GOOGLETRANSLATE(J954,""zh_HANS"",""zh_HANT"")"),"蟲滾泥")</f>
        <v/>
      </c>
      <c r="J954" s="29" t="inlineStr">
        <is>
          <t>虫滚泥</t>
        </is>
      </c>
      <c r="K954" s="29">
        <f>F954</f>
        <v/>
      </c>
    </row>
    <row r="955">
      <c r="A955" s="29">
        <f>CONCATENATE("NAME_PkMn_", UPPER(B955))</f>
        <v/>
      </c>
      <c r="B955" s="29" t="inlineStr">
        <is>
          <t>Rabsca</t>
        </is>
      </c>
      <c r="C955" s="29" t="inlineStr">
        <is>
          <t>ベラカス</t>
        </is>
      </c>
      <c r="D955" s="29" t="inlineStr">
        <is>
          <t>Bérasca</t>
        </is>
      </c>
      <c r="E955" s="29" t="inlineStr">
        <is>
          <t>Skarabaks</t>
        </is>
      </c>
      <c r="F955" s="29">
        <f>B955</f>
        <v/>
      </c>
      <c r="G955" s="29">
        <f>B955</f>
        <v/>
      </c>
      <c r="H955" s="4" t="inlineStr">
        <is>
          <t>베라카스</t>
        </is>
      </c>
      <c r="I955" s="29">
        <f>IFERROR(__xludf.DUMMYFUNCTION("GOOGLETRANSLATE(J955,""zh_HANS"",""zh_HANT"")"),"蟲甲聖")</f>
        <v/>
      </c>
      <c r="J955" s="29" t="inlineStr">
        <is>
          <t>虫甲圣</t>
        </is>
      </c>
      <c r="K955" s="29">
        <f>F955</f>
        <v/>
      </c>
    </row>
    <row r="956">
      <c r="A956" s="29">
        <f>CONCATENATE("NAME_PkMn_", UPPER(B956))</f>
        <v/>
      </c>
      <c r="B956" s="29" t="inlineStr">
        <is>
          <t>Flittle</t>
        </is>
      </c>
      <c r="C956" s="29" t="inlineStr">
        <is>
          <t>ヒラヒナ</t>
        </is>
      </c>
      <c r="D956" s="29" t="inlineStr">
        <is>
          <t>Flotillon</t>
        </is>
      </c>
      <c r="E956" s="29" t="inlineStr">
        <is>
          <t>Flattutu</t>
        </is>
      </c>
      <c r="F956" s="29">
        <f>B956</f>
        <v/>
      </c>
      <c r="G956" s="29">
        <f>B956</f>
        <v/>
      </c>
      <c r="H956" s="4" t="inlineStr">
        <is>
          <t>하느라기</t>
        </is>
      </c>
      <c r="I956" s="29">
        <f>IFERROR(__xludf.DUMMYFUNCTION("GOOGLETRANSLATE(J956,""zh_HANS"",""zh_HANT"")"),"飄飄雛")</f>
        <v/>
      </c>
      <c r="J956" s="29" t="inlineStr">
        <is>
          <t>飘飘雏</t>
        </is>
      </c>
      <c r="K956" s="29">
        <f>F956</f>
        <v/>
      </c>
    </row>
    <row r="957">
      <c r="A957" s="29">
        <f>CONCATENATE("NAME_PkMn_", UPPER(B957))</f>
        <v/>
      </c>
      <c r="B957" s="29" t="inlineStr">
        <is>
          <t>Espathra</t>
        </is>
      </c>
      <c r="C957" s="29" t="inlineStr">
        <is>
          <t>クエスパトラ</t>
        </is>
      </c>
      <c r="D957" s="29" t="inlineStr">
        <is>
          <t>Cléopsytra</t>
        </is>
      </c>
      <c r="E957" s="29" t="inlineStr">
        <is>
          <t>Psiopatra</t>
        </is>
      </c>
      <c r="F957" s="29">
        <f>B957</f>
        <v/>
      </c>
      <c r="G957" s="29">
        <f>B957</f>
        <v/>
      </c>
      <c r="H957" s="29" t="inlineStr">
        <is>
          <t>클레스퍼트라</t>
        </is>
      </c>
      <c r="I957" s="29">
        <f>IFERROR(__xludf.DUMMYFUNCTION("GOOGLETRANSLATE(J957,""zh_HANS"",""zh_HANT"")"),"超能艷鴕")</f>
        <v/>
      </c>
      <c r="J957" s="29" t="inlineStr">
        <is>
          <t>超能艳鸵</t>
        </is>
      </c>
      <c r="K957" s="29">
        <f>F957</f>
        <v/>
      </c>
    </row>
    <row r="958">
      <c r="A958" s="29">
        <f>CONCATENATE("NAME_PkMn_", UPPER(B958))</f>
        <v/>
      </c>
      <c r="B958" s="29" t="inlineStr">
        <is>
          <t>Tinkatink</t>
        </is>
      </c>
      <c r="C958" s="29" t="inlineStr">
        <is>
          <t>カヌチャン</t>
        </is>
      </c>
      <c r="D958" s="29" t="inlineStr">
        <is>
          <t>Forgerette</t>
        </is>
      </c>
      <c r="E958" s="29" t="inlineStr">
        <is>
          <t>Forgita</t>
        </is>
      </c>
      <c r="F958" s="29">
        <f>B958</f>
        <v/>
      </c>
      <c r="G958" s="29">
        <f>B958</f>
        <v/>
      </c>
      <c r="H958" s="29" t="inlineStr">
        <is>
          <t>어리짱</t>
        </is>
      </c>
      <c r="I958" s="29">
        <f>IFERROR(__xludf.DUMMYFUNCTION("GOOGLETRANSLATE(J958,""zh_HANS"",""zh_HANT"")"),"小鍛匠")</f>
        <v/>
      </c>
      <c r="J958" s="29" t="inlineStr">
        <is>
          <t>小锻匠</t>
        </is>
      </c>
      <c r="K958" s="29">
        <f>F958</f>
        <v/>
      </c>
    </row>
    <row r="959">
      <c r="A959" s="29">
        <f>CONCATENATE("NAME_PkMn_", UPPER(B959))</f>
        <v/>
      </c>
      <c r="B959" s="29" t="inlineStr">
        <is>
          <t>Tinkatuff</t>
        </is>
      </c>
      <c r="C959" s="29">
        <f>CONCATENATE("ナ",C958)</f>
        <v/>
      </c>
      <c r="D959" s="29" t="inlineStr">
        <is>
          <t>Forgella</t>
        </is>
      </c>
      <c r="E959" s="29">
        <f>CONCATENATE("Taf",LOWER(E$958))</f>
        <v/>
      </c>
      <c r="F959" s="29">
        <f>B959</f>
        <v/>
      </c>
      <c r="G959" s="29">
        <f>B959</f>
        <v/>
      </c>
      <c r="H959" s="6" t="inlineStr">
        <is>
          <t>벼리짱</t>
        </is>
      </c>
      <c r="I959" s="29">
        <f>IFERROR(__xludf.DUMMYFUNCTION("GOOGLETRANSLATE(J959,""zh_HANS"",""zh_HANT"")"),"巧鍛匠")</f>
        <v/>
      </c>
      <c r="J959" s="29" t="inlineStr">
        <is>
          <t>巧锻匠</t>
        </is>
      </c>
      <c r="K959" s="29">
        <f>F959</f>
        <v/>
      </c>
    </row>
    <row r="960">
      <c r="A960" s="29">
        <f>CONCATENATE("NAME_PkMn_", UPPER(B960))</f>
        <v/>
      </c>
      <c r="B960" s="29" t="inlineStr">
        <is>
          <t>Tinkaton</t>
        </is>
      </c>
      <c r="C960" s="29">
        <f>CONCATENATE("デ",C958)</f>
        <v/>
      </c>
      <c r="D960" s="29" t="inlineStr">
        <is>
          <t>Forgelina</t>
        </is>
      </c>
      <c r="E960" s="29">
        <f>CONCATENATE("Gran",LOWER(E$958))</f>
        <v/>
      </c>
      <c r="F960" s="29">
        <f>B960</f>
        <v/>
      </c>
      <c r="G960" s="29">
        <f>B960</f>
        <v/>
      </c>
      <c r="H960" s="6" t="inlineStr">
        <is>
          <t>두드리짱</t>
        </is>
      </c>
      <c r="I960" s="29">
        <f>IFERROR(__xludf.DUMMYFUNCTION("GOOGLETRANSLATE(J960,""zh_HANS"",""zh_HANT"")"),"大鍛匠")</f>
        <v/>
      </c>
      <c r="J960" s="29" t="inlineStr">
        <is>
          <t>巨锻匠</t>
        </is>
      </c>
      <c r="K960" s="29">
        <f>F960</f>
        <v/>
      </c>
    </row>
    <row r="961">
      <c r="A961" s="29">
        <f>CONCATENATE("NAME_PkMn_", UPPER(B961))</f>
        <v/>
      </c>
      <c r="B961" s="29" t="inlineStr">
        <is>
          <t>Wiglett</t>
        </is>
      </c>
      <c r="C961" s="29">
        <f>CONCATENATE("ウミ",C51)</f>
        <v/>
      </c>
      <c r="D961" s="29" t="inlineStr">
        <is>
          <t>Taupikeau</t>
        </is>
      </c>
      <c r="E961" s="29" t="inlineStr">
        <is>
          <t>Schligda</t>
        </is>
      </c>
      <c r="F961" s="29">
        <f>B961</f>
        <v/>
      </c>
      <c r="G961" s="29">
        <f>B961</f>
        <v/>
      </c>
      <c r="H961" s="4" t="inlineStr">
        <is>
          <t>바다그다</t>
        </is>
      </c>
      <c r="I961" s="29">
        <f>J961</f>
        <v/>
      </c>
      <c r="J961" s="29">
        <f>CONCATENATE("海",J51)</f>
        <v/>
      </c>
      <c r="K961" s="29">
        <f>F961</f>
        <v/>
      </c>
    </row>
    <row r="962">
      <c r="A962" s="29">
        <f>CONCATENATE("NAME_PkMn_", UPPER(B962))</f>
        <v/>
      </c>
      <c r="B962" s="29" t="inlineStr">
        <is>
          <t>Wugtrio</t>
        </is>
      </c>
      <c r="C962" s="29" t="inlineStr">
        <is>
          <t>ウミトリオ</t>
        </is>
      </c>
      <c r="D962" s="29" t="inlineStr">
        <is>
          <t>Triopikeau</t>
        </is>
      </c>
      <c r="E962" s="29" t="inlineStr">
        <is>
          <t>Schligdri</t>
        </is>
      </c>
      <c r="F962" s="29">
        <f>B962</f>
        <v/>
      </c>
      <c r="G962" s="29">
        <f>B962</f>
        <v/>
      </c>
      <c r="H962" s="4" t="inlineStr">
        <is>
          <t>바닥트리오</t>
        </is>
      </c>
      <c r="I962" s="29">
        <f>J962</f>
        <v/>
      </c>
      <c r="J962" s="29">
        <f>CONCATENATE("三",J961)</f>
        <v/>
      </c>
      <c r="K962" s="29">
        <f>F962</f>
        <v/>
      </c>
    </row>
    <row r="963">
      <c r="A963" s="29">
        <f>CONCATENATE("NAME_PkMn_", UPPER(B963))</f>
        <v/>
      </c>
      <c r="B963" s="29" t="inlineStr">
        <is>
          <t>Bombirdier</t>
        </is>
      </c>
      <c r="C963" s="29" t="inlineStr">
        <is>
          <t>オトシドリ</t>
        </is>
      </c>
      <c r="D963" s="29" t="inlineStr">
        <is>
          <t>Lestombaile</t>
        </is>
      </c>
      <c r="E963" s="29" t="inlineStr">
        <is>
          <t>Adebom</t>
        </is>
      </c>
      <c r="F963" s="29">
        <f>B963</f>
        <v/>
      </c>
      <c r="G963" s="29">
        <f>B963</f>
        <v/>
      </c>
      <c r="H963" s="29" t="inlineStr">
        <is>
          <t>떨구새</t>
        </is>
      </c>
      <c r="I963" s="29">
        <f>IFERROR(__xludf.DUMMYFUNCTION("GOOGLETRANSLATE(J963,""zh_HANS"",""zh_HANT"")"),"下石鳥")</f>
        <v/>
      </c>
      <c r="J963" s="29" t="inlineStr">
        <is>
          <t>下石鸟</t>
        </is>
      </c>
      <c r="K963" s="29">
        <f>F963</f>
        <v/>
      </c>
    </row>
    <row r="964">
      <c r="A964" s="29">
        <f>CONCATENATE("NAME_PkMn_", UPPER(B964))</f>
        <v/>
      </c>
      <c r="B964" s="29" t="inlineStr">
        <is>
          <t>Finizen</t>
        </is>
      </c>
      <c r="C964" s="29" t="inlineStr">
        <is>
          <t>ナミイルカ</t>
        </is>
      </c>
      <c r="D964" s="29" t="inlineStr">
        <is>
          <t>Dofin</t>
        </is>
      </c>
      <c r="E964" s="29" t="inlineStr">
        <is>
          <t>Normifin</t>
        </is>
      </c>
      <c r="F964" s="29">
        <f>B964</f>
        <v/>
      </c>
      <c r="G964" s="29">
        <f>B964</f>
        <v/>
      </c>
      <c r="H964" s="6" t="inlineStr">
        <is>
          <t>맨돌핀</t>
        </is>
      </c>
      <c r="I964" s="29">
        <f>J964</f>
        <v/>
      </c>
      <c r="J964" s="29" t="inlineStr">
        <is>
          <t>波普海豚</t>
        </is>
      </c>
      <c r="K964" s="29">
        <f>F964</f>
        <v/>
      </c>
    </row>
    <row r="965">
      <c r="A965" s="29">
        <f>CONCATENATE("NAME_PkMn_", UPPER(B965))</f>
        <v/>
      </c>
      <c r="B965" s="29" t="inlineStr">
        <is>
          <t>Palafin</t>
        </is>
      </c>
      <c r="C965" s="29" t="inlineStr">
        <is>
          <t>イルカマン</t>
        </is>
      </c>
      <c r="D965" s="29" t="inlineStr">
        <is>
          <t>Superdofin</t>
        </is>
      </c>
      <c r="E965" s="29" t="inlineStr">
        <is>
          <t>Delfinator</t>
        </is>
      </c>
      <c r="F965" s="29">
        <f>B965</f>
        <v/>
      </c>
      <c r="G965" s="29">
        <f>B965</f>
        <v/>
      </c>
      <c r="H965" s="6" t="inlineStr">
        <is>
          <t>돌핀맨</t>
        </is>
      </c>
      <c r="I965" s="29">
        <f>IFERROR(__xludf.DUMMYFUNCTION("GOOGLETRANSLATE(J965,""zh_HANS"",""zh_HANT"")"),"海豚俠")</f>
        <v/>
      </c>
      <c r="J965" s="29" t="inlineStr">
        <is>
          <t>海豚侠</t>
        </is>
      </c>
      <c r="K965" s="29">
        <f>F965</f>
        <v/>
      </c>
    </row>
    <row r="966">
      <c r="A966" s="29">
        <f>CONCATENATE("NAME_PkMn_", UPPER(B966))</f>
        <v/>
      </c>
      <c r="B966" s="29" t="inlineStr">
        <is>
          <t>Varoom</t>
        </is>
      </c>
      <c r="C966" s="29" t="inlineStr">
        <is>
          <t>ブロロン</t>
        </is>
      </c>
      <c r="D966" s="29" t="inlineStr">
        <is>
          <t>Vrombi</t>
        </is>
      </c>
      <c r="E966" s="29" t="inlineStr">
        <is>
          <t>Knattox</t>
        </is>
      </c>
      <c r="F966" s="29">
        <f>B966</f>
        <v/>
      </c>
      <c r="G966" s="29">
        <f>B966</f>
        <v/>
      </c>
      <c r="H966" s="29" t="inlineStr">
        <is>
          <t>부르롱</t>
        </is>
      </c>
      <c r="I966" s="29">
        <f>J966</f>
        <v/>
      </c>
      <c r="J966" s="29" t="inlineStr">
        <is>
          <t>噗隆隆</t>
        </is>
      </c>
      <c r="K966" s="29">
        <f>F966</f>
        <v/>
      </c>
    </row>
    <row r="967">
      <c r="A967" s="29">
        <f>CONCATENATE("NAME_PkMn_", UPPER(B967))</f>
        <v/>
      </c>
      <c r="B967" s="29" t="inlineStr">
        <is>
          <t>Revavroom</t>
        </is>
      </c>
      <c r="C967" s="29" t="inlineStr">
        <is>
          <t>ブロロローム</t>
        </is>
      </c>
      <c r="D967" s="29" t="inlineStr">
        <is>
          <t>Vrombotor</t>
        </is>
      </c>
      <c r="E967" s="29" t="inlineStr">
        <is>
          <t>Knattatox</t>
        </is>
      </c>
      <c r="F967" s="29">
        <f>B967</f>
        <v/>
      </c>
      <c r="G967" s="29">
        <f>B967</f>
        <v/>
      </c>
      <c r="H967" s="29" t="inlineStr">
        <is>
          <t>부르르룸</t>
        </is>
      </c>
      <c r="I967" s="29">
        <f>J967</f>
        <v/>
      </c>
      <c r="J967" s="29" t="inlineStr">
        <is>
          <t>普隆隆姆</t>
        </is>
      </c>
      <c r="K967" s="29">
        <f>F967</f>
        <v/>
      </c>
    </row>
    <row r="968">
      <c r="A968" s="29">
        <f>CONCATENATE("NAME_PkMn_", UPPER(B968))</f>
        <v/>
      </c>
      <c r="B968" s="29" t="inlineStr">
        <is>
          <t>Cyclizar</t>
        </is>
      </c>
      <c r="C968" s="29" t="inlineStr">
        <is>
          <t>モトトカゲ</t>
        </is>
      </c>
      <c r="D968" s="29" t="inlineStr">
        <is>
          <t>Motorizard</t>
        </is>
      </c>
      <c r="E968" s="29" t="inlineStr">
        <is>
          <t>Mopex</t>
        </is>
      </c>
      <c r="F968" s="29">
        <f>B968</f>
        <v/>
      </c>
      <c r="G968" s="29">
        <f>B968</f>
        <v/>
      </c>
      <c r="H968" s="4" t="inlineStr">
        <is>
          <t>모토마</t>
        </is>
      </c>
      <c r="I968" s="29">
        <f>J968</f>
        <v/>
      </c>
      <c r="J968" s="29" t="inlineStr">
        <is>
          <t>摩托蜥</t>
        </is>
      </c>
      <c r="K968" s="29">
        <f>F968</f>
        <v/>
      </c>
    </row>
    <row r="969">
      <c r="A969" s="29">
        <f>CONCATENATE("NAME_PkMn_", UPPER(B969))</f>
        <v/>
      </c>
      <c r="B969" s="29" t="inlineStr">
        <is>
          <t>Orthworm</t>
        </is>
      </c>
      <c r="C969" s="29" t="inlineStr">
        <is>
          <t>ミミズズ</t>
        </is>
      </c>
      <c r="D969" s="29" t="inlineStr">
        <is>
          <t>Ferdeter</t>
        </is>
      </c>
      <c r="E969" s="29" t="inlineStr">
        <is>
          <t>Schlurm</t>
        </is>
      </c>
      <c r="F969" s="29">
        <f>B969</f>
        <v/>
      </c>
      <c r="G969" s="29">
        <f>B969</f>
        <v/>
      </c>
      <c r="H969" s="4" t="inlineStr">
        <is>
          <t>꿈트렁</t>
        </is>
      </c>
      <c r="I969" s="29">
        <f>J969</f>
        <v/>
      </c>
      <c r="J969" s="29" t="inlineStr">
        <is>
          <t>拖拖蚓</t>
        </is>
      </c>
      <c r="K969" s="29">
        <f>F969</f>
        <v/>
      </c>
    </row>
    <row r="970">
      <c r="A970" s="29">
        <f>CONCATENATE("NAME_PkMn_", UPPER(B970))</f>
        <v/>
      </c>
      <c r="B970" s="29" t="inlineStr">
        <is>
          <t>Glimmet</t>
        </is>
      </c>
      <c r="C970" s="29" t="inlineStr">
        <is>
          <t>キラーメ</t>
        </is>
      </c>
      <c r="D970" s="29" t="inlineStr">
        <is>
          <t>Germéclat</t>
        </is>
      </c>
      <c r="E970" s="29" t="inlineStr">
        <is>
          <t>Lumispross</t>
        </is>
      </c>
      <c r="F970" s="29">
        <f>B970</f>
        <v/>
      </c>
      <c r="G970" s="29">
        <f>B970</f>
        <v/>
      </c>
      <c r="H970" s="4" t="inlineStr">
        <is>
          <t>초롱순</t>
        </is>
      </c>
      <c r="I970" s="29">
        <f>J970</f>
        <v/>
      </c>
      <c r="J970" s="29" t="inlineStr">
        <is>
          <t>晶光芽</t>
        </is>
      </c>
      <c r="K970" s="29">
        <f>F970</f>
        <v/>
      </c>
    </row>
    <row r="971">
      <c r="A971" s="29">
        <f>CONCATENATE("NAME_PkMn_", UPPER(B971))</f>
        <v/>
      </c>
      <c r="B971" s="29" t="inlineStr">
        <is>
          <t>Glimmora</t>
        </is>
      </c>
      <c r="C971" s="29" t="inlineStr">
        <is>
          <t>キラフロル</t>
        </is>
      </c>
      <c r="D971" s="29" t="inlineStr">
        <is>
          <t>Floréclat</t>
        </is>
      </c>
      <c r="E971" s="29" t="inlineStr">
        <is>
          <t>Lumiflora</t>
        </is>
      </c>
      <c r="F971" s="29">
        <f>B971</f>
        <v/>
      </c>
      <c r="G971" s="29">
        <f>B971</f>
        <v/>
      </c>
      <c r="H971" s="4" t="inlineStr">
        <is>
          <t>킬라플로르</t>
        </is>
      </c>
      <c r="I971" s="29">
        <f>J971</f>
        <v/>
      </c>
      <c r="J971" s="29" t="inlineStr">
        <is>
          <t>晶光花</t>
        </is>
      </c>
      <c r="K971" s="29">
        <f>F971</f>
        <v/>
      </c>
    </row>
    <row r="972">
      <c r="A972" s="29">
        <f>CONCATENATE("NAME_PkMn_", UPPER(B972))</f>
        <v/>
      </c>
      <c r="B972" s="29" t="inlineStr">
        <is>
          <t>Greavard</t>
        </is>
      </c>
      <c r="C972" s="29" t="inlineStr">
        <is>
          <t>ボチ</t>
        </is>
      </c>
      <c r="D972" s="29" t="inlineStr">
        <is>
          <t>Toutombe</t>
        </is>
      </c>
      <c r="E972" s="29" t="inlineStr">
        <is>
          <t>Gruff</t>
        </is>
      </c>
      <c r="F972" s="29">
        <f>B972</f>
        <v/>
      </c>
      <c r="G972" s="29">
        <f>B972</f>
        <v/>
      </c>
      <c r="H972" s="4" t="inlineStr">
        <is>
          <t>망망이</t>
        </is>
      </c>
      <c r="I972" s="29">
        <f>J972</f>
        <v/>
      </c>
      <c r="J972" s="29" t="inlineStr">
        <is>
          <t>墓仔狗</t>
        </is>
      </c>
      <c r="K972" s="29">
        <f>F972</f>
        <v/>
      </c>
    </row>
    <row r="973">
      <c r="A973" s="29">
        <f>CONCATENATE("NAME_PkMn_", UPPER(B973))</f>
        <v/>
      </c>
      <c r="B973" s="29" t="inlineStr">
        <is>
          <t>Houndstone</t>
        </is>
      </c>
      <c r="C973" s="29" t="inlineStr">
        <is>
          <t>ハカドッグ</t>
        </is>
      </c>
      <c r="D973" s="29" t="inlineStr">
        <is>
          <t>Tomberro</t>
        </is>
      </c>
      <c r="E973" s="29" t="inlineStr">
        <is>
          <t>Friedwuff</t>
        </is>
      </c>
      <c r="F973" s="29">
        <f>B973</f>
        <v/>
      </c>
      <c r="G973" s="29">
        <f>B973</f>
        <v/>
      </c>
      <c r="H973" s="4" t="inlineStr">
        <is>
          <t>묘두기</t>
        </is>
      </c>
      <c r="I973" s="29">
        <f>IFERROR(__xludf.DUMMYFUNCTION("GOOGLETRANSLATE(J973,""zh_HANS"",""zh_HANT"")"),"墓揚犬")</f>
        <v/>
      </c>
      <c r="J973" s="29" t="inlineStr">
        <is>
          <t>墓扬犬</t>
        </is>
      </c>
      <c r="K973" s="29">
        <f>F973</f>
        <v/>
      </c>
    </row>
    <row r="974">
      <c r="A974" s="29">
        <f>CONCATENATE("NAME_PkMn_", UPPER(B974))</f>
        <v/>
      </c>
      <c r="B974" s="29" t="inlineStr">
        <is>
          <t>Flamigo</t>
        </is>
      </c>
      <c r="C974" s="29" t="inlineStr">
        <is>
          <t>カラミンゴ</t>
        </is>
      </c>
      <c r="D974" s="29" t="inlineStr">
        <is>
          <t>Flamenroule</t>
        </is>
      </c>
      <c r="E974" s="29" t="inlineStr">
        <is>
          <t>Flaminkno</t>
        </is>
      </c>
      <c r="F974" s="29">
        <f>B974</f>
        <v/>
      </c>
      <c r="G974" s="29">
        <f>B974</f>
        <v/>
      </c>
      <c r="H974" s="29" t="inlineStr">
        <is>
          <t>꼬이밍고</t>
        </is>
      </c>
      <c r="I974" s="29">
        <f>IFERROR(__xludf.DUMMYFUNCTION("GOOGLETRANSLATE(J974,""zh_HANS"",""zh_HANT"")"),"纏紅鶴")</f>
        <v/>
      </c>
      <c r="J974" s="29" t="inlineStr">
        <is>
          <t>缠红鹤</t>
        </is>
      </c>
      <c r="K974" s="29">
        <f>F974</f>
        <v/>
      </c>
    </row>
    <row r="975">
      <c r="A975" s="29">
        <f>CONCATENATE("NAME_PkMn_", UPPER(B975))</f>
        <v/>
      </c>
      <c r="B975" s="29" t="inlineStr">
        <is>
          <t>Cetoddle</t>
        </is>
      </c>
      <c r="C975" s="29" t="inlineStr">
        <is>
          <t>アルクジラ</t>
        </is>
      </c>
      <c r="D975" s="29" t="inlineStr">
        <is>
          <t>Piétacé</t>
        </is>
      </c>
      <c r="E975" s="29" t="inlineStr">
        <is>
          <t>Flaniwal</t>
        </is>
      </c>
      <c r="F975" s="29">
        <f>B975</f>
        <v/>
      </c>
      <c r="G975" s="29">
        <f>B975</f>
        <v/>
      </c>
      <c r="H975" s="29" t="inlineStr">
        <is>
          <t>터벅고래</t>
        </is>
      </c>
      <c r="I975" s="29">
        <f>IFERROR(__xludf.DUMMYFUNCTION("GOOGLETRANSLATE(J975,""zh_HANS"",""zh_HANT"")"),"走鯨")</f>
        <v/>
      </c>
      <c r="J975" s="29" t="inlineStr">
        <is>
          <t>走鲸</t>
        </is>
      </c>
      <c r="K975" s="29">
        <f>F975</f>
        <v/>
      </c>
    </row>
    <row r="976">
      <c r="A976" s="29">
        <f>CONCATENATE("NAME_PkMn_", UPPER(B976))</f>
        <v/>
      </c>
      <c r="B976" s="29" t="inlineStr">
        <is>
          <t>Cetitan</t>
        </is>
      </c>
      <c r="C976" s="29" t="inlineStr">
        <is>
          <t>ハルクジラ</t>
        </is>
      </c>
      <c r="D976" s="29" t="inlineStr">
        <is>
          <t>Balbalèze</t>
        </is>
      </c>
      <c r="E976" s="29" t="inlineStr">
        <is>
          <t>Kolowal</t>
        </is>
      </c>
      <c r="F976" s="29">
        <f>B976</f>
        <v/>
      </c>
      <c r="G976" s="29">
        <f>B976</f>
        <v/>
      </c>
      <c r="H976" s="4" t="inlineStr">
        <is>
          <t>우락고래</t>
        </is>
      </c>
      <c r="I976" s="29">
        <f>IFERROR(__xludf.DUMMYFUNCTION("GOOGLETRANSLATE(J976,""zh_HANS"",""zh_HANT"")"),"浩大鯨")</f>
        <v/>
      </c>
      <c r="J976" s="29" t="inlineStr">
        <is>
          <t>浩大鲸</t>
        </is>
      </c>
      <c r="K976" s="29">
        <f>F976</f>
        <v/>
      </c>
    </row>
    <row r="977">
      <c r="A977" s="29">
        <f>CONCATENATE("NAME_PkMn_", UPPER(B977))</f>
        <v/>
      </c>
      <c r="B977" s="29" t="inlineStr">
        <is>
          <t>Veluza</t>
        </is>
      </c>
      <c r="C977" s="29" t="inlineStr">
        <is>
          <t>ミミガルーサ</t>
        </is>
      </c>
      <c r="D977" s="29" t="inlineStr">
        <is>
          <t>Délestin</t>
        </is>
      </c>
      <c r="E977" s="29" t="inlineStr">
        <is>
          <t>Agiluza</t>
        </is>
      </c>
      <c r="F977" s="29">
        <f>B977</f>
        <v/>
      </c>
      <c r="G977" s="29">
        <f>B977</f>
        <v/>
      </c>
      <c r="H977" s="6" t="inlineStr">
        <is>
          <t>가비루사</t>
        </is>
      </c>
      <c r="I977" s="29">
        <f>IFERROR(__xludf.DUMMYFUNCTION("GOOGLETRANSLATE(J977,""zh_HANS"",""zh_HANT"")"),"輕身鱈")</f>
        <v/>
      </c>
      <c r="J977" s="29" t="inlineStr">
        <is>
          <t>轻身鳕</t>
        </is>
      </c>
      <c r="K977" s="29">
        <f>F977</f>
        <v/>
      </c>
    </row>
    <row r="978">
      <c r="A978" s="29">
        <f>CONCATENATE("NAME_PkMn_", UPPER(B978))</f>
        <v/>
      </c>
      <c r="B978" s="29" t="inlineStr">
        <is>
          <t>Dondozo</t>
        </is>
      </c>
      <c r="C978" s="29" t="inlineStr">
        <is>
          <t>ヘイラッシャ</t>
        </is>
      </c>
      <c r="D978" s="29" t="inlineStr">
        <is>
          <t>Oyacata</t>
        </is>
      </c>
      <c r="E978" s="29" t="inlineStr">
        <is>
          <t>Heerashai</t>
        </is>
      </c>
      <c r="F978" s="29">
        <f>B978</f>
        <v/>
      </c>
      <c r="G978" s="29">
        <f>B978</f>
        <v/>
      </c>
      <c r="H978" s="6" t="inlineStr">
        <is>
          <t>어써러셔</t>
        </is>
      </c>
      <c r="I978" s="29">
        <f>J978</f>
        <v/>
      </c>
      <c r="J978" s="29" t="inlineStr">
        <is>
          <t>吃吼霸</t>
        </is>
      </c>
      <c r="K978" s="29">
        <f>F978</f>
        <v/>
      </c>
    </row>
    <row r="979">
      <c r="A979" s="29">
        <f>CONCATENATE("NAME_PkMn_", UPPER(B979))</f>
        <v/>
      </c>
      <c r="B979" s="29" t="inlineStr">
        <is>
          <t>Tatsugiri</t>
        </is>
      </c>
      <c r="C979" s="29" t="inlineStr">
        <is>
          <t>シャリタツ</t>
        </is>
      </c>
      <c r="D979" s="29" t="inlineStr">
        <is>
          <t>Nigirigon</t>
        </is>
      </c>
      <c r="E979" s="29" t="inlineStr">
        <is>
          <t>Nigiragi</t>
        </is>
      </c>
      <c r="F979" s="29">
        <f>B979</f>
        <v/>
      </c>
      <c r="G979" s="29">
        <f>B979</f>
        <v/>
      </c>
      <c r="H979" s="4" t="inlineStr">
        <is>
          <t>싸리용</t>
        </is>
      </c>
      <c r="I979" s="29">
        <f>IFERROR(__xludf.DUMMYFUNCTION("GOOGLETRANSLATE(J979,""zh_HANS"",""zh_HANT"")"),"米立龍")</f>
        <v/>
      </c>
      <c r="J979" s="29" t="inlineStr">
        <is>
          <t>米立龙</t>
        </is>
      </c>
      <c r="K979" s="29">
        <f>F979</f>
        <v/>
      </c>
    </row>
    <row r="980">
      <c r="A980" s="29">
        <f>CONCATENATE("NAME_PkMn_", UPPER(B980))</f>
        <v/>
      </c>
      <c r="B980" s="29" t="inlineStr">
        <is>
          <t>Annihilape</t>
        </is>
      </c>
      <c r="C980" s="29" t="inlineStr">
        <is>
          <t>コノヨザル</t>
        </is>
      </c>
      <c r="D980" s="29" t="inlineStr">
        <is>
          <t>Courrousinge</t>
        </is>
      </c>
      <c r="E980" s="29" t="inlineStr">
        <is>
          <t>Epitaff</t>
        </is>
      </c>
      <c r="F980" s="29">
        <f>B980</f>
        <v/>
      </c>
      <c r="G980" s="29">
        <f>B980</f>
        <v/>
      </c>
      <c r="H980" s="6" t="inlineStr">
        <is>
          <t>저승갓숭</t>
        </is>
      </c>
      <c r="I980" s="29">
        <f>IFERROR(__xludf.DUMMYFUNCTION("GOOGLETRANSLATE(J980,""zh_HANS"",""zh_HANT"")"),"棄世猴")</f>
        <v/>
      </c>
      <c r="J980" s="29" t="inlineStr">
        <is>
          <t>弃世猴</t>
        </is>
      </c>
      <c r="K980" s="29">
        <f>F980</f>
        <v/>
      </c>
    </row>
    <row r="981">
      <c r="A981" s="29">
        <f>CONCATENATE("NAME_PkMn_", UPPER(B981))</f>
        <v/>
      </c>
      <c r="B981" s="29" t="inlineStr">
        <is>
          <t>Clodsire</t>
        </is>
      </c>
      <c r="C981" s="29" t="inlineStr">
        <is>
          <t>ドオー</t>
        </is>
      </c>
      <c r="D981" s="29" t="inlineStr">
        <is>
          <t>Terraiste</t>
        </is>
      </c>
      <c r="E981" s="29" t="inlineStr">
        <is>
          <t>Suelord</t>
        </is>
      </c>
      <c r="F981" s="29">
        <f>B981</f>
        <v/>
      </c>
      <c r="G981" s="29">
        <f>B981</f>
        <v/>
      </c>
      <c r="H981" s="6" t="inlineStr">
        <is>
          <t>토오</t>
        </is>
      </c>
      <c r="I981" s="29">
        <f>J981</f>
        <v/>
      </c>
      <c r="J981" s="29" t="inlineStr">
        <is>
          <t>土王</t>
        </is>
      </c>
      <c r="K981" s="29">
        <f>F981</f>
        <v/>
      </c>
    </row>
    <row r="982">
      <c r="A982" s="29">
        <f>CONCATENATE("NAME_PkMn_", UPPER(B982))</f>
        <v/>
      </c>
      <c r="B982" s="29" t="inlineStr">
        <is>
          <t>Farigiraf</t>
        </is>
      </c>
      <c r="C982" s="29" t="inlineStr">
        <is>
          <t>リキキリン</t>
        </is>
      </c>
      <c r="D982" s="29">
        <f>B982</f>
        <v/>
      </c>
      <c r="E982" s="29">
        <f>B982</f>
        <v/>
      </c>
      <c r="F982" s="29">
        <f>B982</f>
        <v/>
      </c>
      <c r="G982" s="29">
        <f>B982</f>
        <v/>
      </c>
      <c r="H982" s="4" t="inlineStr">
        <is>
          <t>키키링</t>
        </is>
      </c>
      <c r="I982" s="29">
        <f>IFERROR(__xludf.DUMMYFUNCTION("GOOGLETRANSLATE(J982,""zh_HANS"",""zh_HANT"")"),"奇麒麟")</f>
        <v/>
      </c>
      <c r="J982" s="29" t="inlineStr">
        <is>
          <t>奇麒麟</t>
        </is>
      </c>
      <c r="K982" s="29">
        <f>F982</f>
        <v/>
      </c>
    </row>
    <row r="983">
      <c r="A983" s="29">
        <f>CONCATENATE("NAME_PkMn_", UPPER(B983))</f>
        <v/>
      </c>
      <c r="B983" s="29" t="inlineStr">
        <is>
          <t>Dudunsparce</t>
        </is>
      </c>
      <c r="C983" s="29" t="inlineStr">
        <is>
          <t>ノココッチ</t>
        </is>
      </c>
      <c r="D983" s="29" t="inlineStr">
        <is>
          <t>Deusolourdo</t>
        </is>
      </c>
      <c r="E983" s="29" t="inlineStr">
        <is>
          <t>Dummimisel</t>
        </is>
      </c>
      <c r="F983" s="29">
        <f>B983</f>
        <v/>
      </c>
      <c r="G983" s="29">
        <f>B983</f>
        <v/>
      </c>
      <c r="H983" s="29" t="inlineStr">
        <is>
          <t>노고고치</t>
        </is>
      </c>
      <c r="I983" s="29">
        <f>IFERROR(__xludf.DUMMYFUNCTION("GOOGLETRANSLATE(J983,""zh_HANS"",""zh_HANT"")"),"土龍節節")</f>
        <v/>
      </c>
      <c r="J983" s="29" t="inlineStr">
        <is>
          <t>土龙节节</t>
        </is>
      </c>
      <c r="K983" s="29">
        <f>F983</f>
        <v/>
      </c>
    </row>
    <row r="984">
      <c r="A984" s="29">
        <f>CONCATENATE("NAME_PkMn_", UPPER(B984))</f>
        <v/>
      </c>
      <c r="B984" s="29" t="inlineStr">
        <is>
          <t>Kingambit</t>
        </is>
      </c>
      <c r="C984" s="29" t="inlineStr">
        <is>
          <t>ドドゲザン</t>
        </is>
      </c>
      <c r="D984" s="29" t="inlineStr">
        <is>
          <t>Courrousinge</t>
        </is>
      </c>
      <c r="E984" s="29" t="inlineStr">
        <is>
          <t>Gladimperio</t>
        </is>
      </c>
      <c r="F984" s="29">
        <f>B984</f>
        <v/>
      </c>
      <c r="G984" s="29">
        <f>B984</f>
        <v/>
      </c>
      <c r="H984" s="6" t="inlineStr">
        <is>
          <t>대도각참</t>
        </is>
      </c>
      <c r="I984" s="29">
        <f>IFERROR(__xludf.DUMMYFUNCTION("GOOGLETRANSLATE(J984,""zh_HANS"",""zh_HANT"")"),"僕刀將軍")</f>
        <v/>
      </c>
      <c r="J984" s="29" t="inlineStr">
        <is>
          <t>仆刀将军</t>
        </is>
      </c>
      <c r="K984" s="29">
        <f>F984</f>
        <v/>
      </c>
    </row>
    <row r="985">
      <c r="A985" s="29">
        <f>CONCATENATE("NAME_PkMn_", SUBSTITUTE(UPPER(B985)," ",""))</f>
        <v/>
      </c>
      <c r="B985" s="29" t="inlineStr">
        <is>
          <t>Great Tusk</t>
        </is>
      </c>
      <c r="C985" s="29" t="inlineStr">
        <is>
          <t>イダイナキバ</t>
        </is>
      </c>
      <c r="D985" s="29" t="inlineStr">
        <is>
          <t>Fort-Ivoire</t>
        </is>
      </c>
      <c r="E985" s="29" t="inlineStr">
        <is>
          <t>Riesenzahn</t>
        </is>
      </c>
      <c r="F985" s="29" t="inlineStr">
        <is>
          <t>Colmilargo</t>
        </is>
      </c>
      <c r="G985" s="29" t="inlineStr">
        <is>
          <t>Grandizanne</t>
        </is>
      </c>
      <c r="H985" s="4" t="inlineStr">
        <is>
          <t>위대한엄니</t>
        </is>
      </c>
      <c r="I985" s="29">
        <f>IFERROR(__xludf.DUMMYFUNCTION("GOOGLETRANSLATE(J985,""zh_HANS"",""zh_HANT"")"),"雄偉牙")</f>
        <v/>
      </c>
      <c r="J985" s="29" t="inlineStr">
        <is>
          <t>雄伟牙</t>
        </is>
      </c>
      <c r="K985" s="29">
        <f>F985</f>
        <v/>
      </c>
    </row>
    <row r="986">
      <c r="A986" s="29">
        <f>CONCATENATE("NAME_PkMn_", SUBSTITUTE(UPPER(B986)," ",""))</f>
        <v/>
      </c>
      <c r="B986" s="29" t="inlineStr">
        <is>
          <t>Scream Tail</t>
        </is>
      </c>
      <c r="C986" s="29" t="inlineStr">
        <is>
          <t>サケブシッポ</t>
        </is>
      </c>
      <c r="D986" s="29" t="inlineStr">
        <is>
          <t>Hurle-Queue</t>
        </is>
      </c>
      <c r="E986" s="29" t="inlineStr">
        <is>
          <t>Brüllschweif</t>
        </is>
      </c>
      <c r="F986" s="29" t="inlineStr">
        <is>
          <t>Colagrito</t>
        </is>
      </c>
      <c r="G986" s="29" t="inlineStr">
        <is>
          <t>Crinealato</t>
        </is>
      </c>
      <c r="H986" s="6" t="inlineStr">
        <is>
          <t>우렁찬꼬리</t>
        </is>
      </c>
      <c r="I986" s="29">
        <f>J986</f>
        <v/>
      </c>
      <c r="J986" s="29" t="inlineStr">
        <is>
          <t>吼叫尾</t>
        </is>
      </c>
      <c r="K986" s="29">
        <f>F986</f>
        <v/>
      </c>
    </row>
    <row r="987">
      <c r="A987" s="29">
        <f>CONCATENATE("NAME_PkMn_", SUBSTITUTE(UPPER(B987)," ",""))</f>
        <v/>
      </c>
      <c r="B987" s="29" t="inlineStr">
        <is>
          <t>Brute Bonnet</t>
        </is>
      </c>
      <c r="C987" s="29" t="inlineStr">
        <is>
          <t>アラブルタケ</t>
        </is>
      </c>
      <c r="D987" s="29" t="inlineStr">
        <is>
          <t>Fongus-Furie</t>
        </is>
      </c>
      <c r="E987" s="29" t="inlineStr">
        <is>
          <t>Wutpilz</t>
        </is>
      </c>
      <c r="F987" s="29" t="inlineStr">
        <is>
          <t>Furioseta</t>
        </is>
      </c>
      <c r="G987" s="29" t="inlineStr">
        <is>
          <t>Fungofurioso</t>
        </is>
      </c>
      <c r="H987" s="4" t="inlineStr">
        <is>
          <t>사나운버섯</t>
        </is>
      </c>
      <c r="I987" s="29">
        <f>IFERROR(__xludf.DUMMYFUNCTION("GOOGLETRANSLATE(J987,""zh_HANS"",""zh_HANT"")"),"猛惡菇")</f>
        <v/>
      </c>
      <c r="J987" s="29" t="inlineStr">
        <is>
          <t>猛恶菇</t>
        </is>
      </c>
      <c r="K987" s="29">
        <f>F987</f>
        <v/>
      </c>
    </row>
    <row r="988">
      <c r="A988" s="29">
        <f>CONCATENATE("NAME_PkMn_", SUBSTITUTE(UPPER(B988)," ",""))</f>
        <v/>
      </c>
      <c r="B988" s="29" t="inlineStr">
        <is>
          <t>Flutter Mane</t>
        </is>
      </c>
      <c r="C988" s="29" t="inlineStr">
        <is>
          <t>ハバタクカミ</t>
        </is>
      </c>
      <c r="D988" s="29" t="inlineStr">
        <is>
          <t>Flotte-Mèche</t>
        </is>
      </c>
      <c r="E988" s="29" t="inlineStr">
        <is>
          <t>Flatterhaar</t>
        </is>
      </c>
      <c r="F988" s="29" t="inlineStr">
        <is>
          <t>Melenaleto</t>
        </is>
      </c>
      <c r="G988" s="29" t="inlineStr">
        <is>
          <t>Codaurlante</t>
        </is>
      </c>
      <c r="H988" s="29" t="inlineStr">
        <is>
          <t>날개치는머리</t>
        </is>
      </c>
      <c r="I988" s="29">
        <f>IFERROR(__xludf.DUMMYFUNCTION("GOOGLETRANSLATE(J988,""zh_HANS"",""zh_HANT"")"),"振翼發")</f>
        <v/>
      </c>
      <c r="J988" s="29" t="inlineStr">
        <is>
          <t>振翼发</t>
        </is>
      </c>
      <c r="K988" s="29">
        <f>F988</f>
        <v/>
      </c>
    </row>
    <row r="989">
      <c r="A989" s="29">
        <f>CONCATENATE("NAME_PkMn_", SUBSTITUTE(UPPER(B989)," ",""))</f>
        <v/>
      </c>
      <c r="B989" s="29" t="inlineStr">
        <is>
          <t>Slither Wing</t>
        </is>
      </c>
      <c r="C989" s="29" t="inlineStr">
        <is>
          <t>チヲハウハネ</t>
        </is>
      </c>
      <c r="D989" s="29" t="inlineStr">
        <is>
          <t>Rampe-Ailes</t>
        </is>
      </c>
      <c r="E989" s="29" t="inlineStr">
        <is>
          <t>Kriechflügel</t>
        </is>
      </c>
      <c r="F989" s="29" t="inlineStr">
        <is>
          <t>Reptalada</t>
        </is>
      </c>
      <c r="G989" s="29" t="inlineStr">
        <is>
          <t>Alirasenti</t>
        </is>
      </c>
      <c r="H989" s="4" t="inlineStr">
        <is>
          <t>땅을기는날개</t>
        </is>
      </c>
      <c r="I989" s="29">
        <f>J989</f>
        <v/>
      </c>
      <c r="J989" s="29" t="inlineStr">
        <is>
          <t>爬地翅</t>
        </is>
      </c>
      <c r="K989" s="29">
        <f>F989</f>
        <v/>
      </c>
    </row>
    <row r="990">
      <c r="A990" s="29">
        <f>CONCATENATE("NAME_PkMn_", SUBSTITUTE(UPPER(B990)," ",""))</f>
        <v/>
      </c>
      <c r="B990" s="29" t="inlineStr">
        <is>
          <t>Sandy Shocks</t>
        </is>
      </c>
      <c r="C990" s="29" t="inlineStr">
        <is>
          <t>スナノケガワ</t>
        </is>
      </c>
      <c r="D990" s="29" t="inlineStr">
        <is>
          <t>Pelage-Sablé</t>
        </is>
      </c>
      <c r="E990" s="29" t="inlineStr">
        <is>
          <t>Sandfell</t>
        </is>
      </c>
      <c r="F990" s="29">
        <f>B990</f>
        <v/>
      </c>
      <c r="G990" s="29" t="inlineStr">
        <is>
          <t>Peldisabbia</t>
        </is>
      </c>
      <c r="H990" s="4" t="inlineStr">
        <is>
          <t>모래털가죽</t>
        </is>
      </c>
      <c r="I990" s="29">
        <f>IFERROR(__xludf.DUMMYFUNCTION("GOOGLETRANSLATE(J990,""zh_HANS"",""zh_HANT"")"),"沙鐵皮")</f>
        <v/>
      </c>
      <c r="J990" s="29" t="inlineStr">
        <is>
          <t>沙铁皮</t>
        </is>
      </c>
      <c r="K990" s="29">
        <f>F990</f>
        <v/>
      </c>
    </row>
    <row r="991">
      <c r="A991" s="29">
        <f>CONCATENATE("NAME_PkMn_", SUBSTITUTE(UPPER(B991)," ",""))</f>
        <v/>
      </c>
      <c r="B991" s="29" t="inlineStr">
        <is>
          <t>Iron Treads</t>
        </is>
      </c>
      <c r="C991" s="29" t="inlineStr">
        <is>
          <t>テツノワダチ</t>
        </is>
      </c>
      <c r="D991" s="29" t="inlineStr">
        <is>
          <t>Roue-de-Fer</t>
        </is>
      </c>
      <c r="E991" s="29" t="inlineStr">
        <is>
          <t>Eisenrad</t>
        </is>
      </c>
      <c r="F991" s="29" t="inlineStr">
        <is>
          <t>Ferrodada</t>
        </is>
      </c>
      <c r="G991" s="29" t="inlineStr">
        <is>
          <t>Solcoferreo</t>
        </is>
      </c>
      <c r="H991" s="4" t="inlineStr">
        <is>
          <t>무쇠바퀴</t>
        </is>
      </c>
      <c r="I991" s="29">
        <f>IFERROR(__xludf.DUMMYFUNCTION("GOOGLETRANSLATE(J991,""zh_HANS"",""zh_HANT"")"),"鐵轍跡")</f>
        <v/>
      </c>
      <c r="J991" s="29" t="inlineStr">
        <is>
          <t>铁辙迹</t>
        </is>
      </c>
      <c r="K991" s="29">
        <f>F991</f>
        <v/>
      </c>
    </row>
    <row r="992">
      <c r="A992" s="29">
        <f>CONCATENATE("NAME_PkMn_", SUBSTITUTE(UPPER(B992)," ",""))</f>
        <v/>
      </c>
      <c r="B992" s="29" t="inlineStr">
        <is>
          <t>Iron Bundle</t>
        </is>
      </c>
      <c r="C992" s="29" t="inlineStr">
        <is>
          <t>テツノツツミ</t>
        </is>
      </c>
      <c r="D992" s="29" t="inlineStr">
        <is>
          <t>Hotte-de-Fer</t>
        </is>
      </c>
      <c r="E992" s="29" t="inlineStr">
        <is>
          <t>Eisenbündel</t>
        </is>
      </c>
      <c r="F992" s="29" t="inlineStr">
        <is>
          <t>Ferrosaco</t>
        </is>
      </c>
      <c r="G992" s="29" t="inlineStr">
        <is>
          <t>Saccoferreo</t>
        </is>
      </c>
      <c r="H992" s="4" t="inlineStr">
        <is>
          <t>무쇠보따리</t>
        </is>
      </c>
      <c r="I992" s="29">
        <f>IFERROR(__xludf.DUMMYFUNCTION("GOOGLETRANSLATE(J992,""zh_HANS"",""zh_HANT"")"),"鐵包袱")</f>
        <v/>
      </c>
      <c r="J992" s="29" t="inlineStr">
        <is>
          <t>铁包袱</t>
        </is>
      </c>
      <c r="K992" s="29">
        <f>F992</f>
        <v/>
      </c>
    </row>
    <row r="993">
      <c r="A993" s="29">
        <f>CONCATENATE("NAME_PkMn_", SUBSTITUTE(UPPER(B993)," ",""))</f>
        <v/>
      </c>
      <c r="B993" s="29" t="inlineStr">
        <is>
          <t>Iron Hands</t>
        </is>
      </c>
      <c r="C993" s="29" t="inlineStr">
        <is>
          <t>テツノカイナ</t>
        </is>
      </c>
      <c r="D993" s="29" t="inlineStr">
        <is>
          <t>Paume-de-Fer</t>
        </is>
      </c>
      <c r="E993" s="29" t="inlineStr">
        <is>
          <t>Eisenhand</t>
        </is>
      </c>
      <c r="F993" s="29" t="inlineStr">
        <is>
          <t>Ferropalmas</t>
        </is>
      </c>
      <c r="G993" s="29" t="inlineStr">
        <is>
          <t>Manoferrea</t>
        </is>
      </c>
      <c r="H993" s="4" t="inlineStr">
        <is>
          <t>무쇠손</t>
        </is>
      </c>
      <c r="I993" s="29">
        <f>IFERROR(__xludf.DUMMYFUNCTION("GOOGLETRANSLATE(J993,""zh_HANS"",""zh_HANT"")"),"鐵臂膀")</f>
        <v/>
      </c>
      <c r="J993" s="29" t="inlineStr">
        <is>
          <t>铁臂膀</t>
        </is>
      </c>
      <c r="K993" s="29">
        <f>F993</f>
        <v/>
      </c>
    </row>
    <row r="994">
      <c r="A994" s="29">
        <f>CONCATENATE("NAME_PkMn_", SUBSTITUTE(UPPER(B994)," ",""))</f>
        <v/>
      </c>
      <c r="B994" s="29" t="inlineStr">
        <is>
          <t>Iron Jugulis</t>
        </is>
      </c>
      <c r="C994" s="29" t="inlineStr">
        <is>
          <t>テツノコウベ</t>
        </is>
      </c>
      <c r="D994" s="29" t="inlineStr">
        <is>
          <t>Têtes-de-Fer</t>
        </is>
      </c>
      <c r="E994" s="29" t="inlineStr">
        <is>
          <t>Eisenhals</t>
        </is>
      </c>
      <c r="F994" s="29" t="inlineStr">
        <is>
          <t>Ferrocuello</t>
        </is>
      </c>
      <c r="G994" s="29" t="inlineStr">
        <is>
          <t>Colloferreo</t>
        </is>
      </c>
      <c r="H994" s="29" t="inlineStr">
        <is>
          <t>무쇠머리</t>
        </is>
      </c>
      <c r="I994" s="29">
        <f>IFERROR(__xludf.DUMMYFUNCTION("GOOGLETRANSLATE(J994,""zh_HANS"",""zh_HANT"")"),"鐵脖頸")</f>
        <v/>
      </c>
      <c r="J994" s="29" t="inlineStr">
        <is>
          <t>铁脖颈</t>
        </is>
      </c>
      <c r="K994" s="29">
        <f>F994</f>
        <v/>
      </c>
    </row>
    <row r="995">
      <c r="A995" s="29">
        <f>CONCATENATE("NAME_PkMn_", SUBSTITUTE(UPPER(B995)," ",""))</f>
        <v/>
      </c>
      <c r="B995" s="29" t="inlineStr">
        <is>
          <t>Iron Moth</t>
        </is>
      </c>
      <c r="C995" s="29" t="inlineStr">
        <is>
          <t>テツノドクガ</t>
        </is>
      </c>
      <c r="D995" s="29" t="inlineStr">
        <is>
          <t>Mite-de-Fer</t>
        </is>
      </c>
      <c r="E995" s="29" t="inlineStr">
        <is>
          <t>Eisenfalter</t>
        </is>
      </c>
      <c r="F995" s="29" t="inlineStr">
        <is>
          <t>Ferropolilla</t>
        </is>
      </c>
      <c r="G995" s="29" t="inlineStr">
        <is>
          <t>Falenaferrea</t>
        </is>
      </c>
      <c r="H995" s="29" t="inlineStr">
        <is>
          <t>무쇠독나방</t>
        </is>
      </c>
      <c r="I995" s="29">
        <f>IFERROR(__xludf.DUMMYFUNCTION("GOOGLETRANSLATE(J995,""zh_HANS"",""zh_HANT"")"),"鐵毒蛾")</f>
        <v/>
      </c>
      <c r="J995" s="29" t="inlineStr">
        <is>
          <t>铁毒蛾</t>
        </is>
      </c>
      <c r="K995" s="29">
        <f>F995</f>
        <v/>
      </c>
    </row>
    <row r="996">
      <c r="A996" s="29">
        <f>CONCATENATE("NAME_PkMn_", SUBSTITUTE(UPPER(B996)," ",""))</f>
        <v/>
      </c>
      <c r="B996" s="29" t="inlineStr">
        <is>
          <t>Iron Thorns</t>
        </is>
      </c>
      <c r="C996" s="29" t="inlineStr">
        <is>
          <t>テツノイバラ</t>
        </is>
      </c>
      <c r="D996" s="29" t="inlineStr">
        <is>
          <t>Épine-de-Fer</t>
        </is>
      </c>
      <c r="E996" s="29" t="inlineStr">
        <is>
          <t>Eisendorn</t>
        </is>
      </c>
      <c r="F996" s="29" t="inlineStr">
        <is>
          <t>Ferropúas</t>
        </is>
      </c>
      <c r="G996" s="29" t="inlineStr">
        <is>
          <t>Spineferree</t>
        </is>
      </c>
      <c r="H996" s="4" t="inlineStr">
        <is>
          <t>무쇠가시</t>
        </is>
      </c>
      <c r="I996" s="29">
        <f>IFERROR(__xludf.DUMMYFUNCTION("GOOGLETRANSLATE(J996,""zh_HANS"",""zh_HANT"")"),"鐵荊棘")</f>
        <v/>
      </c>
      <c r="J996" s="29" t="inlineStr">
        <is>
          <t>铁荆棘</t>
        </is>
      </c>
      <c r="K996" s="29">
        <f>F996</f>
        <v/>
      </c>
    </row>
    <row r="997">
      <c r="A997" s="29">
        <f>CONCATENATE("NAME_PkMn_", UPPER(B997))</f>
        <v/>
      </c>
      <c r="B997" s="29" t="inlineStr">
        <is>
          <t>Frigibax</t>
        </is>
      </c>
      <c r="C997" s="29" t="inlineStr">
        <is>
          <t>セビエ</t>
        </is>
      </c>
      <c r="D997" s="29" t="inlineStr">
        <is>
          <t>Frigodo</t>
        </is>
      </c>
      <c r="E997" s="29" t="inlineStr">
        <is>
          <t>Frospino</t>
        </is>
      </c>
      <c r="F997" s="29">
        <f>B997</f>
        <v/>
      </c>
      <c r="G997" s="29">
        <f>B997</f>
        <v/>
      </c>
      <c r="H997" s="4" t="inlineStr">
        <is>
          <t>드니차</t>
        </is>
      </c>
      <c r="I997" s="29">
        <f>IFERROR(__xludf.DUMMYFUNCTION("GOOGLETRANSLATE(J997,""zh_HANS"",""zh_HANT"")"),"涼脊龍")</f>
        <v/>
      </c>
      <c r="J997" s="29" t="inlineStr">
        <is>
          <t>凉脊龙</t>
        </is>
      </c>
      <c r="K997" s="29">
        <f>F997</f>
        <v/>
      </c>
    </row>
    <row r="998">
      <c r="A998" s="29">
        <f>CONCATENATE("NAME_PkMn_", UPPER(B998))</f>
        <v/>
      </c>
      <c r="B998" s="29" t="inlineStr">
        <is>
          <t>Arctibax</t>
        </is>
      </c>
      <c r="C998" s="29" t="inlineStr">
        <is>
          <t>セゴール</t>
        </is>
      </c>
      <c r="D998" s="29" t="inlineStr">
        <is>
          <t>Cryodo</t>
        </is>
      </c>
      <c r="E998" s="29" t="inlineStr">
        <is>
          <t>Cryospino</t>
        </is>
      </c>
      <c r="F998" s="29">
        <f>B998</f>
        <v/>
      </c>
      <c r="G998" s="29">
        <f>B998</f>
        <v/>
      </c>
      <c r="H998" s="29" t="inlineStr">
        <is>
          <t>드니꽁</t>
        </is>
      </c>
      <c r="I998" s="29">
        <f>IFERROR(__xludf.DUMMYFUNCTION("GOOGLETRANSLATE(J998,""zh_HANS"",""zh_HANT"")"),"凍脊龍")</f>
        <v/>
      </c>
      <c r="J998" s="29" t="inlineStr">
        <is>
          <t>冻脊龙</t>
        </is>
      </c>
      <c r="K998" s="29">
        <f>F998</f>
        <v/>
      </c>
    </row>
    <row r="999">
      <c r="A999" s="29">
        <f>CONCATENATE("NAME_PkMn_", UPPER(B999))</f>
        <v/>
      </c>
      <c r="B999" s="29" t="inlineStr">
        <is>
          <t>Baxcalibur</t>
        </is>
      </c>
      <c r="C999" s="29" t="inlineStr">
        <is>
          <t>セグレイブ</t>
        </is>
      </c>
      <c r="D999" s="29" t="inlineStr">
        <is>
          <t>Glaivodo</t>
        </is>
      </c>
      <c r="E999" s="29" t="inlineStr">
        <is>
          <t>Espinodon</t>
        </is>
      </c>
      <c r="F999" s="29">
        <f>B999</f>
        <v/>
      </c>
      <c r="G999" s="29">
        <f>B999</f>
        <v/>
      </c>
      <c r="H999" s="4" t="inlineStr">
        <is>
          <t>드닐레이브</t>
        </is>
      </c>
      <c r="I999" s="29">
        <f>IFERROR(__xludf.DUMMYFUNCTION("GOOGLETRANSLATE(J999,""zh_HANS"",""zh_HANT"")"),"戟脊龍")</f>
        <v/>
      </c>
      <c r="J999" s="29" t="inlineStr">
        <is>
          <t>戟脊龙</t>
        </is>
      </c>
      <c r="K999" s="29">
        <f>F999</f>
        <v/>
      </c>
    </row>
    <row r="1000">
      <c r="A1000" s="29">
        <f>CONCATENATE("NAME_PkMn_", UPPER(B1000))</f>
        <v/>
      </c>
      <c r="B1000" s="29" t="inlineStr">
        <is>
          <t>Gimmighoul</t>
        </is>
      </c>
      <c r="C1000" s="29" t="inlineStr">
        <is>
          <t>コレクレー</t>
        </is>
      </c>
      <c r="D1000" s="29" t="inlineStr">
        <is>
          <t>Mordudor</t>
        </is>
      </c>
      <c r="E1000" s="29" t="inlineStr">
        <is>
          <t>Gierspenst</t>
        </is>
      </c>
      <c r="F1000" s="29">
        <f>B1000</f>
        <v/>
      </c>
      <c r="G1000" s="29">
        <f>B1000</f>
        <v/>
      </c>
      <c r="H1000" s="4" t="inlineStr">
        <is>
          <t>모으령</t>
        </is>
      </c>
      <c r="I1000" s="29">
        <f>IFERROR(__xludf.DUMMYFUNCTION("GOOGLETRANSLATE(J1000,""zh_HANS"",""zh_HANT"")"),"索財靈")</f>
        <v/>
      </c>
      <c r="J1000" s="29" t="inlineStr">
        <is>
          <t>索财灵</t>
        </is>
      </c>
      <c r="K1000" s="29">
        <f>F1000</f>
        <v/>
      </c>
    </row>
    <row r="1001">
      <c r="A1001" s="29">
        <f>CONCATENATE("NAME_PkMn_", UPPER(B1001))</f>
        <v/>
      </c>
      <c r="B1001" s="29" t="inlineStr">
        <is>
          <t>Gholdengo</t>
        </is>
      </c>
      <c r="C1001" s="29" t="inlineStr">
        <is>
          <t>サーフゴー</t>
        </is>
      </c>
      <c r="D1001" s="29" t="inlineStr">
        <is>
          <t>Gromago</t>
        </is>
      </c>
      <c r="E1001" s="29" t="inlineStr">
        <is>
          <t>Monetigo</t>
        </is>
      </c>
      <c r="F1001" s="29">
        <f>B1001</f>
        <v/>
      </c>
      <c r="G1001" s="29">
        <f>B1001</f>
        <v/>
      </c>
      <c r="H1001" s="4" t="inlineStr">
        <is>
          <t>타부자고</t>
        </is>
      </c>
      <c r="I1001" s="29">
        <f>J1001</f>
        <v/>
      </c>
      <c r="J1001" s="29" t="inlineStr">
        <is>
          <t>褰富豪</t>
        </is>
      </c>
      <c r="K1001" s="29">
        <f>F1001</f>
        <v/>
      </c>
    </row>
    <row r="1002">
      <c r="A1002" s="29">
        <f>CONCATENATE("NAME_PkMn_", SUBSTITUTE(SUBSTITUTE(UPPER(B1002), " ", ""), "-", ""))</f>
        <v/>
      </c>
      <c r="B1002" s="29" t="inlineStr">
        <is>
          <t>Wo-Chien</t>
        </is>
      </c>
      <c r="C1002" s="29" t="inlineStr">
        <is>
          <t>チオンジェン</t>
        </is>
      </c>
      <c r="D1002" s="29" t="inlineStr">
        <is>
          <t>Chongjian</t>
        </is>
      </c>
      <c r="E1002" s="29">
        <f>D1002</f>
        <v/>
      </c>
      <c r="F1002" s="29">
        <f>B1002</f>
        <v/>
      </c>
      <c r="G1002" s="29">
        <f>B1002</f>
        <v/>
      </c>
      <c r="H1002" s="4" t="inlineStr">
        <is>
          <t>총지엔</t>
        </is>
      </c>
      <c r="I1002" s="29">
        <f>IFERROR(__xludf.DUMMYFUNCTION("GOOGLETRANSLATE(J1002,""zh_HANS"",""zh_HANT"")"),"古簡蝸")</f>
        <v/>
      </c>
      <c r="J1002" s="29" t="inlineStr">
        <is>
          <t>古简蜗</t>
        </is>
      </c>
      <c r="K1002" s="29">
        <f>F1002</f>
        <v/>
      </c>
    </row>
    <row r="1003">
      <c r="A1003" s="29">
        <f>CONCATENATE("NAME_PkMn_", SUBSTITUTE(SUBSTITUTE(UPPER(B1003), " ", ""), "-", ""))</f>
        <v/>
      </c>
      <c r="B1003" s="29" t="inlineStr">
        <is>
          <t>Chien-Pao</t>
        </is>
      </c>
      <c r="C1003" s="29" t="inlineStr">
        <is>
          <t>パオジアン</t>
        </is>
      </c>
      <c r="D1003" s="29" t="inlineStr">
        <is>
          <t>Baojian</t>
        </is>
      </c>
      <c r="E1003" s="29">
        <f>D1003</f>
        <v/>
      </c>
      <c r="F1003" s="29">
        <f>B1003</f>
        <v/>
      </c>
      <c r="G1003" s="29">
        <f>B1003</f>
        <v/>
      </c>
      <c r="H1003" s="4" t="inlineStr">
        <is>
          <t>파오젠</t>
        </is>
      </c>
      <c r="I1003" s="29">
        <f>IFERROR(__xludf.DUMMYFUNCTION("GOOGLETRANSLATE(J1003,""zh_HANS"",""zh_HANT"")"),"古劍豹")</f>
        <v/>
      </c>
      <c r="J1003" s="29" t="inlineStr">
        <is>
          <t>古剑豹</t>
        </is>
      </c>
      <c r="K1003" s="29">
        <f>F1003</f>
        <v/>
      </c>
    </row>
    <row r="1004">
      <c r="A1004" s="29">
        <f>CONCATENATE("NAME_PkMn_", SUBSTITUTE(SUBSTITUTE(UPPER(B1004), " ", ""), "-", ""))</f>
        <v/>
      </c>
      <c r="B1004" s="29" t="inlineStr">
        <is>
          <t>Ting-Lu</t>
        </is>
      </c>
      <c r="C1004" s="29" t="inlineStr">
        <is>
          <t>ディンルー</t>
        </is>
      </c>
      <c r="D1004" s="29" t="inlineStr">
        <is>
          <t>Dinglu</t>
        </is>
      </c>
      <c r="E1004" s="29">
        <f>D1004</f>
        <v/>
      </c>
      <c r="F1004" s="29">
        <f>B1004</f>
        <v/>
      </c>
      <c r="G1004" s="29">
        <f>B1004</f>
        <v/>
      </c>
      <c r="H1004" s="4" t="inlineStr">
        <is>
          <t>딩루</t>
        </is>
      </c>
      <c r="I1004" s="29">
        <f>J1004</f>
        <v/>
      </c>
      <c r="J1004" s="29" t="inlineStr">
        <is>
          <t>古鼎鹿</t>
        </is>
      </c>
      <c r="K1004" s="29">
        <f>F1004</f>
        <v/>
      </c>
    </row>
    <row r="1005">
      <c r="A1005" s="29">
        <f>CONCATENATE("NAME_PkMn_", SUBSTITUTE(SUBSTITUTE(UPPER(B1005), " ", ""), "-", ""))</f>
        <v/>
      </c>
      <c r="B1005" s="29" t="inlineStr">
        <is>
          <t>Chi-Yu</t>
        </is>
      </c>
      <c r="C1005" s="29" t="inlineStr">
        <is>
          <t>イーユイ</t>
        </is>
      </c>
      <c r="D1005" s="29" t="inlineStr">
        <is>
          <t>Yuyu</t>
        </is>
      </c>
      <c r="E1005" s="29">
        <f>D1005</f>
        <v/>
      </c>
      <c r="F1005" s="29">
        <f>B1005</f>
        <v/>
      </c>
      <c r="G1005" s="29">
        <f>B1005</f>
        <v/>
      </c>
      <c r="H1005" s="4" t="inlineStr">
        <is>
          <t>위유이</t>
        </is>
      </c>
      <c r="I1005" s="29">
        <f>IFERROR(__xludf.DUMMYFUNCTION("GOOGLETRANSLATE(J1005,""zh_HANS"",""zh_HANT"")"),"古玉魚")</f>
        <v/>
      </c>
      <c r="J1005" s="29" t="inlineStr">
        <is>
          <t>古玉鱼</t>
        </is>
      </c>
      <c r="K1005" s="29">
        <f>F1005</f>
        <v/>
      </c>
    </row>
    <row r="1006">
      <c r="A1006" s="29">
        <f>CONCATENATE("NAME_PkMn_", SUBSTITUTE(UPPER(B1006)," ",""))</f>
        <v/>
      </c>
      <c r="B1006" s="29" t="inlineStr">
        <is>
          <t>Roaring Moon</t>
        </is>
      </c>
      <c r="C1006" s="29" t="inlineStr">
        <is>
          <t>トドロクツキ</t>
        </is>
      </c>
      <c r="D1006" s="29" t="inlineStr">
        <is>
          <t>Rugit-Lune</t>
        </is>
      </c>
      <c r="E1006" s="29" t="inlineStr">
        <is>
          <t>Donnersichel</t>
        </is>
      </c>
      <c r="F1006" s="29" t="inlineStr">
        <is>
          <t>Bramaluna</t>
        </is>
      </c>
      <c r="G1006" s="29" t="inlineStr">
        <is>
          <t>Lunaruggente</t>
        </is>
      </c>
      <c r="H1006" s="4" t="inlineStr">
        <is>
          <t>고동치는달</t>
        </is>
      </c>
      <c r="I1006" s="29">
        <f>IFERROR(__xludf.DUMMYFUNCTION("GOOGLETRANSLATE(J1006,""zh_HANS"",""zh_HANT"")"),"轟鳴月")</f>
        <v/>
      </c>
      <c r="J1006" s="29" t="inlineStr">
        <is>
          <t>轰鸣月</t>
        </is>
      </c>
      <c r="K1006" s="29">
        <f>F1006</f>
        <v/>
      </c>
    </row>
    <row r="1007">
      <c r="A1007" s="29">
        <f>CONCATENATE("NAME_PkMn_", SUBSTITUTE(UPPER(B1007)," ",""))</f>
        <v/>
      </c>
      <c r="B1007" s="29" t="inlineStr">
        <is>
          <t>Iron Valiant</t>
        </is>
      </c>
      <c r="C1007" s="29" t="inlineStr">
        <is>
          <t>テツノブジン</t>
        </is>
      </c>
      <c r="D1007" s="29" t="inlineStr">
        <is>
          <t>Garde-de-Fer</t>
        </is>
      </c>
      <c r="E1007" s="29" t="inlineStr">
        <is>
          <t>Eisenkrieger</t>
        </is>
      </c>
      <c r="F1007" s="29" t="inlineStr">
        <is>
          <t>Ferropaladin</t>
        </is>
      </c>
      <c r="G1007" s="29" t="inlineStr">
        <is>
          <t>Eroeferreo</t>
        </is>
      </c>
      <c r="H1007" s="4" t="inlineStr">
        <is>
          <t>무쇠무인</t>
        </is>
      </c>
      <c r="I1007" s="29">
        <f>IFERROR(__xludf.DUMMYFUNCTION("GOOGLETRANSLATE(J1007,""zh_HANS"",""zh_HANT"")"),"鐵武者")</f>
        <v/>
      </c>
      <c r="J1007" s="29" t="inlineStr">
        <is>
          <t>铁武者</t>
        </is>
      </c>
      <c r="K1007" s="29">
        <f>F1007</f>
        <v/>
      </c>
    </row>
    <row r="1008">
      <c r="A1008" s="29">
        <f>CONCATENATE("NAME_PkMn_", UPPER(B1008))</f>
        <v/>
      </c>
      <c r="B1008" s="29" t="inlineStr">
        <is>
          <t>Koraidon</t>
        </is>
      </c>
      <c r="C1008" s="29" t="inlineStr">
        <is>
          <t>コライドン</t>
        </is>
      </c>
      <c r="D1008" s="29">
        <f>B1008</f>
        <v/>
      </c>
      <c r="E1008" s="29">
        <f>B1008</f>
        <v/>
      </c>
      <c r="F1008" s="29">
        <f>B1008</f>
        <v/>
      </c>
      <c r="G1008" s="29">
        <f>B1008</f>
        <v/>
      </c>
      <c r="H1008" s="4" t="inlineStr">
        <is>
          <t>코라이돈</t>
        </is>
      </c>
      <c r="I1008" s="29">
        <f>IFERROR(__xludf.DUMMYFUNCTION("GOOGLETRANSLATE(J1008,""zh_HANS"",""zh_HANT"")"),"故勒頓")</f>
        <v/>
      </c>
      <c r="J1008" s="29" t="inlineStr">
        <is>
          <t>故勒顿</t>
        </is>
      </c>
      <c r="K1008" s="29">
        <f>F1008</f>
        <v/>
      </c>
    </row>
    <row r="1009">
      <c r="A1009" s="29">
        <f>CONCATENATE("NAME_PkMn_", UPPER(B1009))</f>
        <v/>
      </c>
      <c r="B1009" s="29" t="inlineStr">
        <is>
          <t>Miraidon</t>
        </is>
      </c>
      <c r="C1009" s="29" t="inlineStr">
        <is>
          <t>ミライドン</t>
        </is>
      </c>
      <c r="D1009" s="29">
        <f>B1009</f>
        <v/>
      </c>
      <c r="E1009" s="29">
        <f>B1009</f>
        <v/>
      </c>
      <c r="F1009" s="29">
        <f>B1009</f>
        <v/>
      </c>
      <c r="G1009" s="29">
        <f>B1009</f>
        <v/>
      </c>
      <c r="H1009" s="4" t="inlineStr">
        <is>
          <t>미라이돈</t>
        </is>
      </c>
      <c r="I1009" s="29">
        <f>IFERROR(__xludf.DUMMYFUNCTION("GOOGLETRANSLATE(J1009,""zh_HANS"",""zh_HANT"")"),"密勒頓")</f>
        <v/>
      </c>
      <c r="J1009" s="29" t="inlineStr">
        <is>
          <t>密勒顿</t>
        </is>
      </c>
      <c r="K1009" s="29">
        <f>F1009</f>
        <v/>
      </c>
    </row>
    <row r="1010">
      <c r="A1010" s="29">
        <f>CONCATENATE("NAME_PkMn_", SUBSTITUTE(UPPER(B1010)," ",""))</f>
        <v/>
      </c>
      <c r="B1010" s="29" t="inlineStr">
        <is>
          <t>Walking Wake</t>
        </is>
      </c>
      <c r="C1010" s="29" t="inlineStr">
        <is>
          <t>ウネルミナモ</t>
        </is>
      </c>
      <c r="D1010" s="29" t="inlineStr">
        <is>
          <t>Serpente-Eau</t>
        </is>
      </c>
      <c r="E1010" s="29" t="inlineStr">
        <is>
          <t>Windewoge</t>
        </is>
      </c>
      <c r="F1010" s="29" t="inlineStr">
        <is>
          <t>Ondulagua</t>
        </is>
      </c>
      <c r="G1010" s="29" t="inlineStr">
        <is>
          <t>Acquecrespe</t>
        </is>
      </c>
      <c r="H1010" s="4" t="inlineStr">
        <is>
          <t>굽이치는물결</t>
        </is>
      </c>
      <c r="I1010" s="29">
        <f>IFERROR(__xludf.DUMMYFUNCTION("GOOGLETRANSLATE(J1010,""zh_HANS"",""zh_HANT"")"),"波蕩水")</f>
        <v/>
      </c>
      <c r="J1010" s="29" t="inlineStr">
        <is>
          <t>波荡水</t>
        </is>
      </c>
      <c r="K1010" s="29">
        <f>F1010</f>
        <v/>
      </c>
    </row>
    <row r="1011">
      <c r="A1011" s="29">
        <f>CONCATENATE("NAME_PkMn_", SUBSTITUTE(UPPER(B1011)," ",""))</f>
        <v/>
      </c>
      <c r="B1011" s="29" t="inlineStr">
        <is>
          <t>Iron Leaves</t>
        </is>
      </c>
      <c r="C1011" s="29" t="inlineStr">
        <is>
          <t>テツノイサハ</t>
        </is>
      </c>
      <c r="D1011" s="29" t="inlineStr">
        <is>
          <t>Vert-de-Fer</t>
        </is>
      </c>
      <c r="E1011" s="29" t="inlineStr">
        <is>
          <t>Eisenblatt</t>
        </is>
      </c>
      <c r="F1011" s="29" t="inlineStr">
        <is>
          <t>Bramaluna</t>
        </is>
      </c>
      <c r="G1011" s="29" t="inlineStr">
        <is>
          <t>Lunaruggente</t>
        </is>
      </c>
      <c r="H1011" s="4" t="inlineStr">
        <is>
          <t>무쇠잎새</t>
        </is>
      </c>
      <c r="I1011" s="29">
        <f>IFERROR(__xludf.DUMMYFUNCTION("GOOGLETRANSLATE(J1011,""zh_HANS"",""zh_HANT"")"),"鐵斑葉")</f>
        <v/>
      </c>
      <c r="J1011" s="29" t="inlineStr">
        <is>
          <t>铁斑叶</t>
        </is>
      </c>
      <c r="K1011" s="29">
        <f>F1011</f>
        <v/>
      </c>
    </row>
    <row r="1012">
      <c r="A1012" s="29">
        <f>CONCATENATE("NAME_PkMn_", SUBSTITUTE(UPPER(B1012)," ",""))</f>
        <v/>
      </c>
      <c r="B1012" s="29" t="inlineStr">
        <is>
          <t>Dipplin</t>
        </is>
      </c>
      <c r="C1012" s="29" t="inlineStr">
        <is>
          <t>カミッチュ</t>
        </is>
      </c>
      <c r="D1012" s="29" t="inlineStr">
        <is>
          <t>Pomdramour</t>
        </is>
      </c>
      <c r="E1012" s="29" t="inlineStr">
        <is>
          <t>Sirapfel</t>
        </is>
      </c>
      <c r="F1012" s="29">
        <f>B1012</f>
        <v/>
      </c>
      <c r="G1012" s="29">
        <f>B1012</f>
        <v/>
      </c>
      <c r="H1012" s="4" t="inlineStr">
        <is>
          <t>과미르</t>
        </is>
      </c>
      <c r="I1012" s="29">
        <f>IFERROR(__xludf.DUMMYFUNCTION("GOOGLETRANSLATE(J1012,""zh_HANS"",""zh_HANT"")"),"裹蜜蟲")</f>
        <v/>
      </c>
      <c r="J1012" s="29" t="inlineStr">
        <is>
          <t>裹蜜虫</t>
        </is>
      </c>
      <c r="K1012" s="29">
        <f>F1012</f>
        <v/>
      </c>
    </row>
    <row r="1013">
      <c r="A1013" s="29">
        <f>CONCATENATE("NAME_PkMn_", SUBSTITUTE(UPPER(B1013)," ",""))</f>
        <v/>
      </c>
      <c r="B1013" s="29" t="inlineStr">
        <is>
          <t>Poltchageist</t>
        </is>
      </c>
      <c r="C1013" s="29" t="inlineStr">
        <is>
          <t>チャデス</t>
        </is>
      </c>
      <c r="D1013" s="29">
        <f>B1013</f>
        <v/>
      </c>
      <c r="E1013" s="6" t="inlineStr">
        <is>
          <t>Mortcha</t>
        </is>
      </c>
      <c r="F1013" s="29">
        <f>B1013</f>
        <v/>
      </c>
      <c r="G1013" s="29">
        <f>B1013</f>
        <v/>
      </c>
      <c r="H1013" s="4" t="inlineStr">
        <is>
          <t>차데스</t>
        </is>
      </c>
      <c r="I1013" s="29" t="inlineStr">
        <is>
          <t>斯魔茶</t>
        </is>
      </c>
      <c r="J1013" s="29">
        <f>I1013</f>
        <v/>
      </c>
      <c r="K1013" s="29">
        <f>F1013</f>
        <v/>
      </c>
    </row>
    <row r="1014">
      <c r="A1014" s="29">
        <f>CONCATENATE("NAME_PkMn_", SUBSTITUTE(UPPER(B1014)," ",""))</f>
        <v/>
      </c>
      <c r="B1014" s="29" t="inlineStr">
        <is>
          <t>Sinistcha</t>
        </is>
      </c>
      <c r="C1014" s="29" t="inlineStr">
        <is>
          <t>ヤバソチャ</t>
        </is>
      </c>
      <c r="D1014" s="29" t="inlineStr">
        <is>
          <t>Théffroyable</t>
        </is>
      </c>
      <c r="E1014" s="29" t="inlineStr">
        <is>
          <t>Fatalitcha</t>
        </is>
      </c>
      <c r="F1014" s="29">
        <f>B1014</f>
        <v/>
      </c>
      <c r="G1014" s="29">
        <f>B1014</f>
        <v/>
      </c>
      <c r="H1014" s="4" t="inlineStr">
        <is>
          <t>그우린차</t>
        </is>
      </c>
      <c r="I1014" s="29">
        <f>IFERROR(__xludf.DUMMYFUNCTION("GOOGLETRANSLATE(J1014,""zh_HANS"",""zh_HANT"")"),"來悲粗茶")</f>
        <v/>
      </c>
      <c r="J1014" s="29" t="inlineStr">
        <is>
          <t>来悲粗茶</t>
        </is>
      </c>
      <c r="K1014" s="29">
        <f>F1014</f>
        <v/>
      </c>
    </row>
    <row r="1015">
      <c r="A1015" s="29">
        <f>CONCATENATE("NAME_PkMn_", SUBSTITUTE(UPPER(B1015)," ",""))</f>
        <v/>
      </c>
      <c r="B1015" s="29" t="inlineStr">
        <is>
          <t>Okidogi</t>
        </is>
      </c>
      <c r="C1015" s="29" t="inlineStr">
        <is>
          <t>イイネイヌ</t>
        </is>
      </c>
      <c r="D1015" s="29" t="inlineStr">
        <is>
          <t>Félicanis</t>
        </is>
      </c>
      <c r="E1015" s="29" t="inlineStr">
        <is>
          <t>Boninu</t>
        </is>
      </c>
      <c r="F1015" s="29">
        <f>B1015</f>
        <v/>
      </c>
      <c r="G1015" s="29">
        <f>B1015</f>
        <v/>
      </c>
      <c r="H1015" s="4" t="inlineStr">
        <is>
          <t>조타구</t>
        </is>
      </c>
      <c r="I1015" s="29">
        <f>IFERROR(__xludf.DUMMYFUNCTION("GOOGLETRANSLATE(J1015,""zh_HANS"",""zh_HANT"")"),"夠贊狗")</f>
        <v/>
      </c>
      <c r="J1015" s="29" t="inlineStr">
        <is>
          <t>够赞狗</t>
        </is>
      </c>
      <c r="K1015" s="29">
        <f>F1015</f>
        <v/>
      </c>
    </row>
    <row r="1016">
      <c r="A1016" s="29">
        <f>CONCATENATE("NAME_PkMn_", SUBSTITUTE(UPPER(B1016)," ",""))</f>
        <v/>
      </c>
      <c r="B1016" s="29" t="inlineStr">
        <is>
          <t>Munkidori</t>
        </is>
      </c>
      <c r="C1016" s="29" t="inlineStr">
        <is>
          <t>マシマシラ</t>
        </is>
      </c>
      <c r="D1016" s="29" t="inlineStr">
        <is>
          <t>Fortusimia</t>
        </is>
      </c>
      <c r="E1016" s="29" t="inlineStr">
        <is>
          <t>Benesaru</t>
        </is>
      </c>
      <c r="F1016" s="29">
        <f>B1016</f>
        <v/>
      </c>
      <c r="G1016" s="29">
        <f>B1016</f>
        <v/>
      </c>
      <c r="H1016" s="4" t="inlineStr">
        <is>
          <t>이야후</t>
        </is>
      </c>
      <c r="I1016" s="29">
        <f>IFERROR(__xludf.DUMMYFUNCTION("GOOGLETRANSLATE(J1016,""zh_HANS"",""zh_HANT"")"),"願增猿")</f>
        <v/>
      </c>
      <c r="J1016" s="29" t="inlineStr">
        <is>
          <t>愿增猿</t>
        </is>
      </c>
      <c r="K1016" s="29">
        <f>F1016</f>
        <v/>
      </c>
    </row>
    <row r="1017">
      <c r="A1017" s="29">
        <f>CONCATENATE("NAME_PkMn_", SUBSTITUTE(UPPER(B1017)," ",""))</f>
        <v/>
      </c>
      <c r="B1017" s="29" t="inlineStr">
        <is>
          <t>Fezandipiti</t>
        </is>
      </c>
      <c r="C1017" s="29" t="inlineStr">
        <is>
          <t>キチキギス</t>
        </is>
      </c>
      <c r="D1017" s="29" t="inlineStr">
        <is>
          <t>Favianos</t>
        </is>
      </c>
      <c r="E1017" s="29" t="inlineStr">
        <is>
          <t>Beatori</t>
        </is>
      </c>
      <c r="F1017" s="29">
        <f>B1017</f>
        <v/>
      </c>
      <c r="G1017" s="29">
        <f>B1017</f>
        <v/>
      </c>
      <c r="H1017" s="4" t="inlineStr">
        <is>
          <t>기로치</t>
        </is>
      </c>
      <c r="I1017" s="29">
        <f>IFERROR(__xludf.DUMMYFUNCTION("GOOGLETRANSLATE(J1017,""zh_HANS"",""zh_HANT"")"),"吉雉雞")</f>
        <v/>
      </c>
      <c r="J1017" s="29" t="inlineStr">
        <is>
          <t>吉雉鸡</t>
        </is>
      </c>
      <c r="K1017" s="29">
        <f>F1017</f>
        <v/>
      </c>
    </row>
    <row r="1018">
      <c r="A1018" s="29">
        <f>CONCATENATE("NAME_PkMn_", SUBSTITUTE(UPPER(B1018)," ",""))</f>
        <v/>
      </c>
      <c r="B1018" s="29" t="inlineStr">
        <is>
          <t>Ogerpon</t>
        </is>
      </c>
      <c r="C1018" s="29" t="inlineStr">
        <is>
          <t>オーガポン</t>
        </is>
      </c>
      <c r="D1018" s="29">
        <f>B1018</f>
        <v/>
      </c>
      <c r="E1018" s="29">
        <f>B1018</f>
        <v/>
      </c>
      <c r="F1018" s="29">
        <f>B1018</f>
        <v/>
      </c>
      <c r="G1018" s="29">
        <f>B1018</f>
        <v/>
      </c>
      <c r="H1018" s="4" t="inlineStr">
        <is>
          <t>오거폰</t>
        </is>
      </c>
      <c r="I1018" s="29">
        <f>IFERROR(__xludf.DUMMYFUNCTION("GOOGLETRANSLATE(J1018,""zh_HANS"",""zh_HANT"")"),"厄詭椪")</f>
        <v/>
      </c>
      <c r="J1018" s="29" t="inlineStr">
        <is>
          <t>厄诡椪</t>
        </is>
      </c>
      <c r="K1018" s="29">
        <f>F1018</f>
        <v/>
      </c>
    </row>
    <row r="1019">
      <c r="A1019" s="29">
        <f>CONCATENATE("NAME_PkMn_", SUBSTITUTE(UPPER(B1019)," ",""))</f>
        <v/>
      </c>
      <c r="B1019" s="29" t="inlineStr">
        <is>
          <t>Archaludon</t>
        </is>
      </c>
      <c r="C1019" s="29" t="inlineStr">
        <is>
          <t>ブリジュラス</t>
        </is>
      </c>
      <c r="D1019" s="29" t="inlineStr">
        <is>
          <t>Pondraclugon</t>
        </is>
      </c>
      <c r="E1019" s="29" t="inlineStr">
        <is>
          <t>Briduradon</t>
        </is>
      </c>
      <c r="F1019" s="29">
        <f>B1019</f>
        <v/>
      </c>
      <c r="G1019" s="29">
        <f>B1019</f>
        <v/>
      </c>
      <c r="H1019" s="4" t="inlineStr">
        <is>
          <t>브리두라스</t>
        </is>
      </c>
      <c r="I1019" s="29">
        <f>IFERROR(__xludf.DUMMYFUNCTION("GOOGLETRANSLATE(J1019,""zh_HANS"",""zh_HANT"")"),"鋁鋼橋龍")</f>
        <v/>
      </c>
      <c r="J1019" s="29" t="inlineStr">
        <is>
          <t>铝钢桥龙</t>
        </is>
      </c>
      <c r="K1019" s="29">
        <f>F1019</f>
        <v/>
      </c>
    </row>
    <row r="1020">
      <c r="A1020" s="29">
        <f>CONCATENATE("NAME_PkMn_", SUBSTITUTE(UPPER(B1020)," ",""))</f>
        <v/>
      </c>
      <c r="B1020" s="29" t="inlineStr">
        <is>
          <t>Hydrapple</t>
        </is>
      </c>
      <c r="C1020" s="29" t="inlineStr">
        <is>
          <t>カミツオロチ</t>
        </is>
      </c>
      <c r="D1020" s="29" t="inlineStr">
        <is>
          <t>Pomdorochi</t>
        </is>
      </c>
      <c r="E1020" s="29" t="inlineStr">
        <is>
          <t>Hydrapfel</t>
        </is>
      </c>
      <c r="F1020" s="29">
        <f>B1020</f>
        <v/>
      </c>
      <c r="G1020" s="29">
        <f>B1020</f>
        <v/>
      </c>
      <c r="H1020" s="4" t="inlineStr">
        <is>
          <t>과미드라</t>
        </is>
      </c>
      <c r="I1020" s="29" t="inlineStr">
        <is>
          <t>蜜集大蛇</t>
        </is>
      </c>
      <c r="J1020" s="29">
        <f>I1020</f>
        <v/>
      </c>
      <c r="K1020" s="29">
        <f>F1020</f>
        <v/>
      </c>
    </row>
    <row r="1021">
      <c r="A1021" s="29">
        <f>CONCATENATE("NAME_PkMn_", SUBSTITUTE(UPPER(B1021)," ",""))</f>
        <v/>
      </c>
      <c r="B1021" s="29" t="inlineStr">
        <is>
          <t>Gouging Fire</t>
        </is>
      </c>
      <c r="C1021" s="29" t="inlineStr">
        <is>
          <t>ウガツホムラ</t>
        </is>
      </c>
      <c r="D1021" s="29" t="inlineStr">
        <is>
          <t>Feu-Perçant</t>
        </is>
      </c>
      <c r="E1021" s="29" t="inlineStr">
        <is>
          <t>Keilflamme</t>
        </is>
      </c>
      <c r="F1021" s="29" t="inlineStr">
        <is>
          <t>Flamariete</t>
        </is>
      </c>
      <c r="G1021" s="29" t="inlineStr">
        <is>
          <t>Vampeaguzze</t>
        </is>
      </c>
      <c r="H1021" s="29" t="inlineStr">
        <is>
          <t>꿰뚫는화염</t>
        </is>
      </c>
      <c r="I1021" s="29" t="inlineStr">
        <is>
          <t>破空焰</t>
        </is>
      </c>
      <c r="J1021" s="29">
        <f>I1021</f>
        <v/>
      </c>
      <c r="K1021" s="29">
        <f>F1021</f>
        <v/>
      </c>
    </row>
    <row r="1022">
      <c r="A1022" s="29">
        <f>CONCATENATE("NAME_PkMn_", SUBSTITUTE(UPPER(B1022)," ",""))</f>
        <v/>
      </c>
      <c r="B1022" s="29" t="inlineStr">
        <is>
          <t>Raging Bolt</t>
        </is>
      </c>
      <c r="C1022" s="29" t="inlineStr">
        <is>
          <t>タケルライコ</t>
        </is>
      </c>
      <c r="D1022" s="29" t="inlineStr">
        <is>
          <t>Ire-Foudre</t>
        </is>
      </c>
      <c r="E1022" s="29" t="inlineStr">
        <is>
          <t>Furienblitz</t>
        </is>
      </c>
      <c r="F1022" s="29" t="inlineStr">
        <is>
          <t>Electrofuria</t>
        </is>
      </c>
      <c r="G1022" s="29" t="inlineStr">
        <is>
          <t>Furiatonante</t>
        </is>
      </c>
      <c r="H1022" s="4" t="inlineStr">
        <is>
          <t>날뛰는우레</t>
        </is>
      </c>
      <c r="I1022" s="29" t="inlineStr">
        <is>
          <t>猛雷鼓</t>
        </is>
      </c>
      <c r="J1022" s="29">
        <f>I1022</f>
        <v/>
      </c>
      <c r="K1022" s="29">
        <f>F1022</f>
        <v/>
      </c>
    </row>
    <row r="1023">
      <c r="A1023" s="29">
        <f>CONCATENATE("NAME_PkMn_", SUBSTITUTE(UPPER(B1023)," ",""))</f>
        <v/>
      </c>
      <c r="B1023" s="29" t="inlineStr">
        <is>
          <t>Iron Boulder</t>
        </is>
      </c>
      <c r="C1023" s="29" t="inlineStr">
        <is>
          <t>テツノイワオ</t>
        </is>
      </c>
      <c r="D1023" s="29" t="inlineStr">
        <is>
          <t>Roc-de-Fer</t>
        </is>
      </c>
      <c r="E1023" s="29" t="inlineStr">
        <is>
          <t>Eisenfels</t>
        </is>
      </c>
      <c r="F1023" s="29" t="inlineStr">
        <is>
          <t>Ferromole</t>
        </is>
      </c>
      <c r="G1023" s="29" t="inlineStr">
        <is>
          <t>Massoferreo</t>
        </is>
      </c>
      <c r="H1023" s="29" t="inlineStr">
        <is>
          <t>무쇠암석</t>
        </is>
      </c>
      <c r="I1023" s="29">
        <f>IFERROR(__xludf.DUMMYFUNCTION("GOOGLETRANSLATE(J1023,""zh_HANS"",""zh_HANT"")"),"鐵磐岩")</f>
        <v/>
      </c>
      <c r="J1023" s="6" t="inlineStr">
        <is>
          <t>铁磐岩</t>
        </is>
      </c>
      <c r="K1023" s="29">
        <f>F1023</f>
        <v/>
      </c>
    </row>
    <row r="1024">
      <c r="A1024" s="29">
        <f>CONCATENATE("NAME_PkMn_", SUBSTITUTE(UPPER(B1024)," ",""))</f>
        <v/>
      </c>
      <c r="B1024" s="29" t="inlineStr">
        <is>
          <t>Iron Crown</t>
        </is>
      </c>
      <c r="C1024" s="29" t="inlineStr">
        <is>
          <t>テツノカシラ</t>
        </is>
      </c>
      <c r="D1024" s="29" t="inlineStr">
        <is>
          <t>Chef-de-Fer</t>
        </is>
      </c>
      <c r="E1024" s="29" t="inlineStr">
        <is>
          <t>Eisenhaupt</t>
        </is>
      </c>
      <c r="F1024" s="29" t="inlineStr">
        <is>
          <t>Ferrotesta</t>
        </is>
      </c>
      <c r="G1024" s="29" t="inlineStr">
        <is>
          <t>Capoferreo</t>
        </is>
      </c>
      <c r="H1024" s="4" t="inlineStr">
        <is>
          <t>무쇠감투</t>
        </is>
      </c>
      <c r="I1024" s="29">
        <f>IFERROR(__xludf.DUMMYFUNCTION("GOOGLETRANSLATE(J1024,""zh_HANS"",""zh_HANT"")"),"鐵頭殼")</f>
        <v/>
      </c>
      <c r="J1024" s="29" t="inlineStr">
        <is>
          <t>铁头壳</t>
        </is>
      </c>
      <c r="K1024" s="29">
        <f>F1024</f>
        <v/>
      </c>
    </row>
    <row r="1025">
      <c r="A1025" s="29">
        <f>CONCATENATE("NAME_PkMn_", SUBSTITUTE(UPPER(B1025)," ",""))</f>
        <v/>
      </c>
      <c r="B1025" s="29" t="inlineStr">
        <is>
          <t>Terapagos</t>
        </is>
      </c>
      <c r="C1025" s="29" t="inlineStr">
        <is>
          <t>テラパゴス</t>
        </is>
      </c>
      <c r="D1025" s="29">
        <f>B1025</f>
        <v/>
      </c>
      <c r="E1025" s="29">
        <f>B1025</f>
        <v/>
      </c>
      <c r="F1025" s="29">
        <f>B1025</f>
        <v/>
      </c>
      <c r="G1025" s="29">
        <f>B1025</f>
        <v/>
      </c>
      <c r="H1025" s="4" t="inlineStr">
        <is>
          <t>테라파고스</t>
        </is>
      </c>
      <c r="I1025" s="29">
        <f>IFERROR(__xludf.DUMMYFUNCTION("GOOGLETRANSLATE(J1025,""zh_HANS"",""zh_HANT"")"),"太樂巴戈斯")</f>
        <v/>
      </c>
      <c r="J1025" s="29" t="inlineStr">
        <is>
          <t>太乐巴戈斯</t>
        </is>
      </c>
      <c r="K1025" s="29">
        <f>F1025</f>
        <v/>
      </c>
    </row>
    <row r="1026">
      <c r="A1026" s="29">
        <f>CONCATENATE("NAME_PkMn_", SUBSTITUTE(UPPER(B1026)," ",""))</f>
        <v/>
      </c>
      <c r="B1026" s="29" t="inlineStr">
        <is>
          <t>Pecharunt</t>
        </is>
      </c>
      <c r="C1026" s="29" t="inlineStr">
        <is>
          <t>モモワロウ</t>
        </is>
      </c>
      <c r="D1026" s="29" t="inlineStr">
        <is>
          <t>Pêchaminus</t>
        </is>
      </c>
      <c r="E1026" s="29" t="inlineStr">
        <is>
          <t>Infamomo</t>
        </is>
      </c>
      <c r="F1026" s="29">
        <f>B1026</f>
        <v/>
      </c>
      <c r="G1026" s="29">
        <f>B1026</f>
        <v/>
      </c>
      <c r="H1026" s="4" t="inlineStr">
        <is>
          <t>복숭악동</t>
        </is>
      </c>
      <c r="I1026" s="29" t="inlineStr">
        <is>
          <t>桃歹郎</t>
        </is>
      </c>
      <c r="J1026" s="29">
        <f>I1026</f>
        <v/>
      </c>
      <c r="K1026" s="29">
        <f>F1026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Z226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C2" sqref="C2"/>
    </sheetView>
  </sheetViews>
  <sheetFormatPr baseColWidth="8" defaultColWidth="12.63" defaultRowHeight="15.75" customHeight="1"/>
  <cols>
    <col width="32.75" customWidth="1" style="31" min="1" max="1"/>
    <col width="18.63" customWidth="1" style="31" min="2" max="2"/>
    <col width="18.25" customWidth="1" style="31" min="3" max="3"/>
    <col width="17.13" customWidth="1" style="31" min="4" max="4"/>
    <col width="16.38" customWidth="1" style="31" min="5" max="5"/>
    <col width="17.38" customWidth="1" style="31" min="6" max="6"/>
    <col width="17.63" customWidth="1" style="31" min="7" max="7"/>
    <col width="15.75" customWidth="1" style="31" min="8" max="8"/>
    <col width="14.63" customWidth="1" style="31" min="9" max="10"/>
  </cols>
  <sheetData>
    <row r="1">
      <c r="A1" s="2">
        <f>Pokemon!A1</f>
        <v/>
      </c>
      <c r="B1" s="2">
        <f>Pokemon!B1</f>
        <v/>
      </c>
      <c r="C1" s="2">
        <f>Pokemon!C1</f>
        <v/>
      </c>
      <c r="D1" s="2">
        <f>Pokemon!D1</f>
        <v/>
      </c>
      <c r="E1" s="2">
        <f>Pokemon!E1</f>
        <v/>
      </c>
      <c r="F1" s="2">
        <f>Pokemon!F1</f>
        <v/>
      </c>
      <c r="G1" s="2">
        <f>Pokemon!G1</f>
        <v/>
      </c>
      <c r="H1" s="2">
        <f>Pokemon!H1</f>
        <v/>
      </c>
      <c r="I1" s="2">
        <f>Pokemon!I1</f>
        <v/>
      </c>
      <c r="J1" s="2">
        <f>Pokemon!J1</f>
        <v/>
      </c>
      <c r="K1" s="2">
        <f>Pokemon!K1</f>
        <v/>
      </c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</row>
    <row r="2">
      <c r="A2" s="29">
        <f>CONCATENATE("NAME_FORM_", SUBSTITUTE(UPPER(B2), " ", ""))</f>
        <v/>
      </c>
      <c r="B2" s="29" t="inlineStr">
        <is>
          <t>Male</t>
        </is>
      </c>
      <c r="C2" s="29" t="inlineStr">
        <is>
          <t>オス</t>
        </is>
      </c>
      <c r="D2" s="29" t="inlineStr">
        <is>
          <t>Mâle</t>
        </is>
      </c>
      <c r="E2" s="29" t="inlineStr">
        <is>
          <t>Männlich</t>
        </is>
      </c>
      <c r="F2" s="29" t="inlineStr">
        <is>
          <t>Macho</t>
        </is>
      </c>
      <c r="G2" s="29" t="inlineStr">
        <is>
          <t>Maschio</t>
        </is>
      </c>
      <c r="H2" s="29" t="inlineStr">
        <is>
          <t>수컷</t>
        </is>
      </c>
      <c r="I2" s="29" t="inlineStr">
        <is>
          <t>雄性</t>
        </is>
      </c>
      <c r="J2" s="29">
        <f>I2</f>
        <v/>
      </c>
      <c r="K2" s="29">
        <f>F2</f>
        <v/>
      </c>
    </row>
    <row r="3">
      <c r="A3" s="29">
        <f>CONCATENATE("NAME_FORM_", SUBSTITUTE(UPPER(B3), " ", ""))</f>
        <v/>
      </c>
      <c r="B3" s="29" t="inlineStr">
        <is>
          <t>Female</t>
        </is>
      </c>
      <c r="C3" s="29" t="inlineStr">
        <is>
          <t>メス</t>
        </is>
      </c>
      <c r="D3" s="29" t="inlineStr">
        <is>
          <t>Femelle</t>
        </is>
      </c>
      <c r="E3" s="29" t="inlineStr">
        <is>
          <t>Weiblich</t>
        </is>
      </c>
      <c r="F3" s="29" t="inlineStr">
        <is>
          <t>Hembra</t>
        </is>
      </c>
      <c r="G3" s="29" t="inlineStr">
        <is>
          <t>Femmina</t>
        </is>
      </c>
      <c r="H3" s="29" t="inlineStr">
        <is>
          <t>암컷</t>
        </is>
      </c>
      <c r="I3" s="29" t="inlineStr">
        <is>
          <t>雌性</t>
        </is>
      </c>
      <c r="J3" s="29">
        <f>I3</f>
        <v/>
      </c>
      <c r="K3" s="29">
        <f>F3</f>
        <v/>
      </c>
    </row>
    <row r="4">
      <c r="A4" s="29">
        <f>CONCATENATE("NAME_FORM_", SUBSTITUTE(UPPER(B4), " ", ""))</f>
        <v/>
      </c>
      <c r="B4" s="29" t="inlineStr">
        <is>
          <t>Shiny</t>
        </is>
      </c>
      <c r="C4" s="29" t="inlineStr">
        <is>
          <t>ひかる</t>
        </is>
      </c>
      <c r="D4" s="29" t="inlineStr">
        <is>
          <t>Chromatique</t>
        </is>
      </c>
      <c r="E4" s="29" t="inlineStr">
        <is>
          <t>Schillerndes</t>
        </is>
      </c>
      <c r="F4" s="29" t="inlineStr">
        <is>
          <t>Variocolor</t>
        </is>
      </c>
      <c r="G4" s="29" t="inlineStr">
        <is>
          <t>Cromatico</t>
        </is>
      </c>
      <c r="H4" s="29" t="inlineStr">
        <is>
          <t>빛나는</t>
        </is>
      </c>
      <c r="I4" s="29" t="inlineStr">
        <is>
          <t>發光</t>
        </is>
      </c>
      <c r="J4" s="29">
        <f>IFERROR(__xludf.DUMMYFUNCTION("GOOGLETRANSLATE(I4,""zh_HANT"",""zh_HANS"")"),"发光")</f>
        <v/>
      </c>
      <c r="K4" s="29">
        <f>F4</f>
        <v/>
      </c>
    </row>
    <row r="5">
      <c r="A5" s="29">
        <f>CONCATENATE("NAME_FORM_", SUBSTITUTE(UPPER(B5), " ", ""))</f>
        <v/>
      </c>
      <c r="B5" s="29" t="inlineStr">
        <is>
          <t>Normal Form</t>
        </is>
      </c>
      <c r="C5" s="29" t="inlineStr">
        <is>
          <t>ポワルンのすがた</t>
        </is>
      </c>
      <c r="D5" s="29" t="inlineStr">
        <is>
          <t>Forme Normale</t>
        </is>
      </c>
      <c r="E5" s="29" t="inlineStr">
        <is>
          <t>Normalform</t>
        </is>
      </c>
      <c r="F5" s="29">
        <f>CONCATENATE("Forma ",Types!F2)</f>
        <v/>
      </c>
      <c r="G5" s="29" t="inlineStr">
        <is>
          <t>Forma Castform</t>
        </is>
      </c>
      <c r="H5" s="29" t="inlineStr">
        <is>
          <t>캐스퐁의 모습</t>
        </is>
      </c>
      <c r="I5" s="29" t="inlineStr">
        <is>
          <t>飄浮泡泡的樣子</t>
        </is>
      </c>
      <c r="J5" s="29">
        <f>IFERROR(__xludf.DUMMYFUNCTION("GOOGLETRANSLATE(I5,""zh_HANT"",""zh_HANS"")"),"飘浮泡泡的样子")</f>
        <v/>
      </c>
      <c r="K5" s="29">
        <f>F5</f>
        <v/>
      </c>
    </row>
    <row r="6">
      <c r="A6" s="29">
        <f>CONCATENATE("NAME_FORM_", SUBSTITUTE(UPPER(B6), " ", ""))</f>
        <v/>
      </c>
      <c r="B6" s="29" t="inlineStr">
        <is>
          <t>Sunny Form</t>
        </is>
      </c>
      <c r="C6" s="29" t="inlineStr">
        <is>
          <t>たいようのすがた</t>
        </is>
      </c>
      <c r="D6" s="29" t="inlineStr">
        <is>
          <t>Forme Solaire</t>
        </is>
      </c>
      <c r="E6" s="29" t="inlineStr">
        <is>
          <t>Sonnenform</t>
        </is>
      </c>
      <c r="F6" s="29" t="inlineStr">
        <is>
          <t>Forma Sol</t>
        </is>
      </c>
      <c r="G6" s="29" t="inlineStr">
        <is>
          <t>Forma Sole</t>
        </is>
      </c>
      <c r="H6" s="29" t="inlineStr">
        <is>
          <t>태양의 모습</t>
        </is>
      </c>
      <c r="I6" s="29" t="inlineStr">
        <is>
          <t>太陽的樣子</t>
        </is>
      </c>
      <c r="J6" s="29">
        <f>IFERROR(__xludf.DUMMYFUNCTION("GOOGLETRANSLATE(I6,""zh_HANT"",""zh_HANS"")"),"太阳的样子")</f>
        <v/>
      </c>
      <c r="K6" s="29">
        <f>F6</f>
        <v/>
      </c>
    </row>
    <row r="7">
      <c r="A7" s="29">
        <f>CONCATENATE("NAME_FORM_", SUBSTITUTE(UPPER(B7), " ", ""))</f>
        <v/>
      </c>
      <c r="B7" s="29" t="inlineStr">
        <is>
          <t>Rainy Form</t>
        </is>
      </c>
      <c r="C7" s="29" t="inlineStr">
        <is>
          <t>あまみずのすがた</t>
        </is>
      </c>
      <c r="D7" s="29" t="inlineStr">
        <is>
          <t>Forme Eau de Pluie</t>
        </is>
      </c>
      <c r="E7" s="29" t="inlineStr">
        <is>
          <t>Regenform</t>
        </is>
      </c>
      <c r="F7" s="29" t="inlineStr">
        <is>
          <t>Forma Lluvia</t>
        </is>
      </c>
      <c r="G7" s="29" t="inlineStr">
        <is>
          <t>Forma Pioggia</t>
        </is>
      </c>
      <c r="H7" s="29" t="inlineStr">
        <is>
          <t>빗방울의 모습</t>
        </is>
      </c>
      <c r="I7" s="29" t="inlineStr">
        <is>
          <t>雨水的樣子</t>
        </is>
      </c>
      <c r="J7" s="29">
        <f>IFERROR(__xludf.DUMMYFUNCTION("GOOGLETRANSLATE(I7,""zh_HANT"",""zh_HANS"")"),"雨水的样子")</f>
        <v/>
      </c>
      <c r="K7" s="29">
        <f>F7</f>
        <v/>
      </c>
    </row>
    <row r="8">
      <c r="A8" s="29">
        <f>CONCATENATE("NAME_FORM_", SUBSTITUTE(UPPER(B8), " ", ""))</f>
        <v/>
      </c>
      <c r="B8" s="29" t="inlineStr">
        <is>
          <t>Snowy Form</t>
        </is>
      </c>
      <c r="C8" s="29" t="inlineStr">
        <is>
          <t>ゆきぐものすがた</t>
        </is>
      </c>
      <c r="D8" s="29" t="inlineStr">
        <is>
          <t>Forme Blizzard</t>
        </is>
      </c>
      <c r="E8" s="29" t="inlineStr">
        <is>
          <t>Schneeform</t>
        </is>
      </c>
      <c r="F8" s="29" t="inlineStr">
        <is>
          <t>Forma Nieve</t>
        </is>
      </c>
      <c r="G8" s="29" t="inlineStr">
        <is>
          <t>Forma Nuvola di Neve</t>
        </is>
      </c>
      <c r="H8" s="29" t="inlineStr">
        <is>
          <t>설운의 모습</t>
        </is>
      </c>
      <c r="I8" s="29" t="inlineStr">
        <is>
          <t>雪雲的樣子</t>
        </is>
      </c>
      <c r="J8" s="29">
        <f>IFERROR(__xludf.DUMMYFUNCTION("GOOGLETRANSLATE(I8,""zh_HANT"",""zh_HANS"")"),"雪云的样子")</f>
        <v/>
      </c>
      <c r="K8" s="29">
        <f>F8</f>
        <v/>
      </c>
    </row>
    <row r="9">
      <c r="A9" s="29">
        <f>CONCATENATE("NAME_FORM_", SUBSTITUTE(UPPER(B9), " ", ""))</f>
        <v/>
      </c>
      <c r="B9" s="29">
        <f>CONCATENATE(B5, "e")</f>
        <v/>
      </c>
      <c r="C9" s="29" t="inlineStr">
        <is>
          <t>ノーマルフォルム</t>
        </is>
      </c>
      <c r="D9" s="29">
        <f>D5</f>
        <v/>
      </c>
      <c r="E9" s="29">
        <f>E5</f>
        <v/>
      </c>
      <c r="F9" s="29">
        <f>F5</f>
        <v/>
      </c>
      <c r="G9" s="29" t="inlineStr">
        <is>
          <t>Forma Normale</t>
        </is>
      </c>
      <c r="H9" s="29" t="inlineStr">
        <is>
          <t>노말폼</t>
        </is>
      </c>
      <c r="I9" s="29" t="inlineStr">
        <is>
          <t>普通形態</t>
        </is>
      </c>
      <c r="J9" s="29">
        <f>IFERROR(__xludf.DUMMYFUNCTION("GOOGLETRANSLATE(I9,""zh_HANT"",""zh_HANS"")"),"普通形态")</f>
        <v/>
      </c>
      <c r="K9" s="29">
        <f>F9</f>
        <v/>
      </c>
    </row>
    <row r="10">
      <c r="A10" s="29">
        <f>CONCATENATE("NAME_FORM_", SUBSTITUTE(UPPER(B10), " ", ""))</f>
        <v/>
      </c>
      <c r="B10" s="29" t="inlineStr">
        <is>
          <t>Attack Forme</t>
        </is>
      </c>
      <c r="C10" s="29" t="inlineStr">
        <is>
          <t>アタックフォルム</t>
        </is>
      </c>
      <c r="D10" s="29" t="inlineStr">
        <is>
          <t>Forme Attaque</t>
        </is>
      </c>
      <c r="E10" s="29" t="inlineStr">
        <is>
          <t>Angriffsform</t>
        </is>
      </c>
      <c r="F10" s="29" t="inlineStr">
        <is>
          <t>Forma Ataque</t>
        </is>
      </c>
      <c r="G10" s="29" t="inlineStr">
        <is>
          <t>Forma Attacco</t>
        </is>
      </c>
      <c r="H10" s="29" t="inlineStr">
        <is>
          <t>어택폼</t>
        </is>
      </c>
      <c r="I10" s="29" t="inlineStr">
        <is>
          <t>攻擊形態</t>
        </is>
      </c>
      <c r="J10" s="29">
        <f>IFERROR(__xludf.DUMMYFUNCTION("GOOGLETRANSLATE(I10,""zh_HANT"",""zh_HANS"")"),"攻击形态")</f>
        <v/>
      </c>
      <c r="K10" s="29">
        <f>F10</f>
        <v/>
      </c>
    </row>
    <row r="11">
      <c r="A11" s="29">
        <f>CONCATENATE("NAME_FORM_", SUBSTITUTE(UPPER(B11), " ", ""))</f>
        <v/>
      </c>
      <c r="B11" s="29" t="inlineStr">
        <is>
          <t>Defence Forme</t>
        </is>
      </c>
      <c r="C11" s="29" t="inlineStr">
        <is>
          <t>ヂィフェンスフォルム</t>
        </is>
      </c>
      <c r="D11" s="29" t="inlineStr">
        <is>
          <t>Forme Défense</t>
        </is>
      </c>
      <c r="E11" s="29" t="inlineStr">
        <is>
          <t>Verteidigungsform</t>
        </is>
      </c>
      <c r="F11" s="29" t="inlineStr">
        <is>
          <t>Forma Defensa</t>
        </is>
      </c>
      <c r="G11" s="29" t="inlineStr">
        <is>
          <t>Forma Difesa</t>
        </is>
      </c>
      <c r="H11" s="29" t="inlineStr">
        <is>
          <t>디펜스폼</t>
        </is>
      </c>
      <c r="I11" s="29" t="inlineStr">
        <is>
          <t>防禦形態</t>
        </is>
      </c>
      <c r="J11" s="29">
        <f>IFERROR(__xludf.DUMMYFUNCTION("GOOGLETRANSLATE(I11,""zh_HANT"",""zh_HANS"")"),"防御形态")</f>
        <v/>
      </c>
      <c r="K11" s="29">
        <f>F11</f>
        <v/>
      </c>
    </row>
    <row r="12">
      <c r="A12" s="29">
        <f>CONCATENATE("NAME_FORM_", SUBSTITUTE(UPPER(B12), " ", ""))</f>
        <v/>
      </c>
      <c r="B12" s="29" t="inlineStr">
        <is>
          <t>Speed Forme</t>
        </is>
      </c>
      <c r="C12" s="29" t="inlineStr">
        <is>
          <t>スピードフォルム</t>
        </is>
      </c>
      <c r="D12" s="29" t="inlineStr">
        <is>
          <t>Forme Vitesse</t>
        </is>
      </c>
      <c r="E12" s="29" t="inlineStr">
        <is>
          <t>Initiativeform</t>
        </is>
      </c>
      <c r="F12" s="29" t="inlineStr">
        <is>
          <t>Forma Velocidad</t>
        </is>
      </c>
      <c r="G12" s="29" t="inlineStr">
        <is>
          <t>Forma Velocità</t>
        </is>
      </c>
      <c r="H12" s="29" t="inlineStr">
        <is>
          <t>스피드폼</t>
        </is>
      </c>
      <c r="I12" s="29" t="inlineStr">
        <is>
          <t>速度形態</t>
        </is>
      </c>
      <c r="J12" s="29">
        <f>IFERROR(__xludf.DUMMYFUNCTION("GOOGLETRANSLATE(I12,""zh_HANT"",""zh_HANS"")"),"速度形态")</f>
        <v/>
      </c>
      <c r="K12" s="29">
        <f>F12</f>
        <v/>
      </c>
    </row>
    <row r="13">
      <c r="A13" s="29">
        <f>CONCATENATE("NAME_FORM_", SUBSTITUTE(UPPER(B13), " ", ""))</f>
        <v/>
      </c>
      <c r="B13" s="29" t="inlineStr">
        <is>
          <t>Plant Cloak</t>
        </is>
      </c>
      <c r="C13" s="29" t="inlineStr">
        <is>
          <t>くさきのミノ</t>
        </is>
      </c>
      <c r="D13" s="29" t="inlineStr">
        <is>
          <t>Cape Plante</t>
        </is>
      </c>
      <c r="E13" s="29" t="inlineStr">
        <is>
          <t>Pflanzenumhang</t>
        </is>
      </c>
      <c r="F13" s="29" t="inlineStr">
        <is>
          <t>Tronco Planta</t>
        </is>
      </c>
      <c r="G13" s="29" t="inlineStr">
        <is>
          <t>Manto Pianta</t>
        </is>
      </c>
      <c r="H13" s="29" t="inlineStr">
        <is>
          <t>초목도롱</t>
        </is>
      </c>
      <c r="I13" s="29" t="inlineStr">
        <is>
          <t>草木蓑衣</t>
        </is>
      </c>
      <c r="J13" s="29">
        <f>I13</f>
        <v/>
      </c>
      <c r="K13" s="29">
        <f>F13</f>
        <v/>
      </c>
    </row>
    <row r="14">
      <c r="A14" s="29">
        <f>CONCATENATE("NAME_FORM_", SUBSTITUTE(UPPER(B14), " ", ""))</f>
        <v/>
      </c>
      <c r="B14" s="29" t="inlineStr">
        <is>
          <t>Sandy Cloak</t>
        </is>
      </c>
      <c r="C14" s="29" t="inlineStr">
        <is>
          <t>すなちのミノ</t>
        </is>
      </c>
      <c r="D14" s="29" t="inlineStr">
        <is>
          <t>Cape Sable</t>
        </is>
      </c>
      <c r="E14" s="29" t="inlineStr">
        <is>
          <t>Sandumhang</t>
        </is>
      </c>
      <c r="F14" s="29" t="inlineStr">
        <is>
          <t>Tronco Arena</t>
        </is>
      </c>
      <c r="G14" s="29" t="inlineStr">
        <is>
          <t>Manto Sabbia</t>
        </is>
      </c>
      <c r="H14" s="29" t="inlineStr">
        <is>
          <t>모래땅도롱</t>
        </is>
      </c>
      <c r="I14" s="29" t="inlineStr">
        <is>
          <t>砂土蓑衣</t>
        </is>
      </c>
      <c r="J14" s="29">
        <f>I14</f>
        <v/>
      </c>
      <c r="K14" s="29">
        <f>F14</f>
        <v/>
      </c>
    </row>
    <row r="15">
      <c r="A15" s="29">
        <f>CONCATENATE("NAME_FORM_", SUBSTITUTE(UPPER(B15), " ", ""))</f>
        <v/>
      </c>
      <c r="B15" s="29" t="inlineStr">
        <is>
          <t>Trash Cloak</t>
        </is>
      </c>
      <c r="C15" s="29" t="inlineStr">
        <is>
          <t>ゴミのミノ</t>
        </is>
      </c>
      <c r="D15" s="29" t="inlineStr">
        <is>
          <t>Cape Déchet</t>
        </is>
      </c>
      <c r="E15" s="29" t="inlineStr">
        <is>
          <t>Lumpenumhang</t>
        </is>
      </c>
      <c r="F15" s="29" t="inlineStr">
        <is>
          <t>Tronco Basura</t>
        </is>
      </c>
      <c r="G15" s="29" t="inlineStr">
        <is>
          <t>Manto Scarti</t>
        </is>
      </c>
      <c r="H15" s="29" t="inlineStr">
        <is>
          <t>슈레도롱</t>
        </is>
      </c>
      <c r="I15" s="29" t="inlineStr">
        <is>
          <t>垃圾蓑衣</t>
        </is>
      </c>
      <c r="J15" s="29">
        <f>I15</f>
        <v/>
      </c>
      <c r="K15" s="29">
        <f>F15</f>
        <v/>
      </c>
    </row>
    <row r="16">
      <c r="A16" s="29">
        <f>CONCATENATE("NAME_FORM_", SUBSTITUTE(UPPER(B16), " ", ""))</f>
        <v/>
      </c>
      <c r="B16" s="29" t="inlineStr">
        <is>
          <t>Overcast Form</t>
        </is>
      </c>
      <c r="C16" s="29" t="inlineStr">
        <is>
          <t>ネガフォルム</t>
        </is>
      </c>
      <c r="D16" s="29" t="inlineStr">
        <is>
          <t>Temps Couvert</t>
        </is>
      </c>
      <c r="E16" s="29" t="inlineStr">
        <is>
          <t>Wolkenform</t>
        </is>
      </c>
      <c r="F16" s="29" t="inlineStr">
        <is>
          <t>Forma Encapotado</t>
        </is>
      </c>
      <c r="G16" s="29" t="inlineStr">
        <is>
          <t>Forma Nuvola</t>
        </is>
      </c>
      <c r="H16" s="29" t="inlineStr">
        <is>
          <t>네거폼</t>
        </is>
      </c>
      <c r="I16" s="29" t="inlineStr">
        <is>
          <t>陰天形態</t>
        </is>
      </c>
      <c r="J16" s="29">
        <f>IFERROR(__xludf.DUMMYFUNCTION("GOOGLETRANSLATE(I16,""zh_HANT"",""zh_HANS"")"),"阴天形态")</f>
        <v/>
      </c>
      <c r="K16" s="29">
        <f>F16</f>
        <v/>
      </c>
    </row>
    <row r="17">
      <c r="A17" s="29">
        <f>CONCATENATE("NAME_FORM_", SUBSTITUTE(UPPER(B17), " ", ""))</f>
        <v/>
      </c>
      <c r="B17" s="29" t="inlineStr">
        <is>
          <t>Sunshine Form</t>
        </is>
      </c>
      <c r="C17" s="29" t="inlineStr">
        <is>
          <t>ポシフォルム</t>
        </is>
      </c>
      <c r="D17" s="29" t="inlineStr">
        <is>
          <t>Temps Ensoleillé</t>
        </is>
      </c>
      <c r="E17" s="29">
        <f>E6</f>
        <v/>
      </c>
      <c r="F17" s="29" t="inlineStr">
        <is>
          <t>Forma Soleado</t>
        </is>
      </c>
      <c r="G17" s="29" t="inlineStr">
        <is>
          <t>Forma Splendore</t>
        </is>
      </c>
      <c r="H17" s="29" t="inlineStr">
        <is>
          <t>포지폼</t>
        </is>
      </c>
      <c r="I17" s="29" t="inlineStr">
        <is>
          <t>晴天形態</t>
        </is>
      </c>
      <c r="J17" s="29">
        <f>IFERROR(__xludf.DUMMYFUNCTION("GOOGLETRANSLATE(I17,""zh_HANT"",""zh_HANS"")"),"晴天形态")</f>
        <v/>
      </c>
      <c r="K17" s="29">
        <f>F17</f>
        <v/>
      </c>
    </row>
    <row r="18">
      <c r="A18" s="29">
        <f>CONCATENATE("NAME_FORM_", SUBSTITUTE(UPPER(B18), " ", ""))</f>
        <v/>
      </c>
      <c r="B18" s="29" t="inlineStr">
        <is>
          <t>West Sea</t>
        </is>
      </c>
      <c r="C18" s="29" t="inlineStr">
        <is>
          <t>にしのうみ</t>
        </is>
      </c>
      <c r="D18" s="29" t="inlineStr">
        <is>
          <t>Mer Occident</t>
        </is>
      </c>
      <c r="E18" s="29" t="inlineStr">
        <is>
          <t>Westliches Meer</t>
        </is>
      </c>
      <c r="F18" s="29" t="inlineStr">
        <is>
          <t>Mar Oest</t>
        </is>
      </c>
      <c r="G18" s="29" t="inlineStr">
        <is>
          <t>Mare Ovest</t>
        </is>
      </c>
      <c r="H18" s="29" t="inlineStr">
        <is>
          <t>서쪽바다</t>
        </is>
      </c>
      <c r="I18" s="29" t="inlineStr">
        <is>
          <t>西海</t>
        </is>
      </c>
      <c r="J18" s="29">
        <f>I18</f>
        <v/>
      </c>
      <c r="K18" s="29">
        <f>F18</f>
        <v/>
      </c>
    </row>
    <row r="19">
      <c r="A19" s="29">
        <f>CONCATENATE("NAME_FORM_", SUBSTITUTE(UPPER(B19), " ", ""))</f>
        <v/>
      </c>
      <c r="B19" s="29" t="inlineStr">
        <is>
          <t>East Sea</t>
        </is>
      </c>
      <c r="C19" s="29" t="inlineStr">
        <is>
          <t>ひがしのうみ</t>
        </is>
      </c>
      <c r="D19" s="29" t="inlineStr">
        <is>
          <t>Mer Orient</t>
        </is>
      </c>
      <c r="E19" s="29" t="inlineStr">
        <is>
          <t>Östliches Meer</t>
        </is>
      </c>
      <c r="F19" s="29" t="inlineStr">
        <is>
          <t>Mar Est</t>
        </is>
      </c>
      <c r="G19" s="29" t="inlineStr">
        <is>
          <t>Mare Est</t>
        </is>
      </c>
      <c r="H19" s="29" t="inlineStr">
        <is>
          <t>동쪽바다</t>
        </is>
      </c>
      <c r="I19" s="29" t="inlineStr">
        <is>
          <t>東海</t>
        </is>
      </c>
      <c r="J19" s="29">
        <f>I19</f>
        <v/>
      </c>
      <c r="K19" s="29">
        <f>F19</f>
        <v/>
      </c>
    </row>
    <row r="20">
      <c r="A20" s="29">
        <f>CONCATENATE("NAME_FORM_", SUBSTITUTE(UPPER(B20), " ", ""))</f>
        <v/>
      </c>
      <c r="B20" s="29" t="inlineStr">
        <is>
          <t>Heat Rotom</t>
        </is>
      </c>
      <c r="C20" s="29">
        <f>CONCATENATE("ヒート", Pokemon!C480)</f>
        <v/>
      </c>
      <c r="D20" s="29" t="inlineStr">
        <is>
          <t>Motisma Chaleur</t>
        </is>
      </c>
      <c r="E20" s="29" t="inlineStr">
        <is>
          <t>Hitze-Rotom</t>
        </is>
      </c>
      <c r="F20" s="29" t="inlineStr">
        <is>
          <t>Rotom Claor</t>
        </is>
      </c>
      <c r="G20" s="29">
        <f>CONCATENATE(F20, "e")</f>
        <v/>
      </c>
      <c r="H20" s="29" t="inlineStr">
        <is>
          <t>히트로토무</t>
        </is>
      </c>
      <c r="I20" s="29" t="inlineStr">
        <is>
          <t>加熱洛托姆</t>
        </is>
      </c>
      <c r="J20" s="29">
        <f>IFERROR(__xludf.DUMMYFUNCTION("GOOGLETRANSLATE(I20,""zh_HANT"",""zh_HANS"")"),"加热洛托姆")</f>
        <v/>
      </c>
      <c r="K20" s="29">
        <f>F20</f>
        <v/>
      </c>
    </row>
    <row r="21">
      <c r="A21" s="29">
        <f>CONCATENATE("NAME_FORM_", SUBSTITUTE(UPPER(B21), " ", ""))</f>
        <v/>
      </c>
      <c r="B21" s="29" t="inlineStr">
        <is>
          <t>Wash Rotom</t>
        </is>
      </c>
      <c r="C21" s="29">
        <f>CONCATENATE("ウォッシュ", Pokemon!C480)</f>
        <v/>
      </c>
      <c r="D21" s="29" t="inlineStr">
        <is>
          <t>Motisma Lavage</t>
        </is>
      </c>
      <c r="E21" s="29" t="inlineStr">
        <is>
          <t>Wasch-Rotom</t>
        </is>
      </c>
      <c r="F21" s="29" t="inlineStr">
        <is>
          <t>Rotom Lavado</t>
        </is>
      </c>
      <c r="G21" s="29" t="inlineStr">
        <is>
          <t>Rotom Lavaggio</t>
        </is>
      </c>
      <c r="H21" s="29" t="inlineStr">
        <is>
          <t>워시로토무</t>
        </is>
      </c>
      <c r="I21" s="29" t="inlineStr">
        <is>
          <t>清洗洛托姆</t>
        </is>
      </c>
      <c r="J21" s="29">
        <f>I21</f>
        <v/>
      </c>
      <c r="K21" s="29">
        <f>F21</f>
        <v/>
      </c>
    </row>
    <row r="22">
      <c r="A22" s="29">
        <f>CONCATENATE("NAME_FORM_", SUBSTITUTE(UPPER(B22), " ", ""))</f>
        <v/>
      </c>
      <c r="B22" s="29" t="inlineStr">
        <is>
          <t>Frost Rotom</t>
        </is>
      </c>
      <c r="C22" s="29">
        <f>CONCATENATE("フロスト", Pokemon!C480)</f>
        <v/>
      </c>
      <c r="D22" s="29" t="inlineStr">
        <is>
          <t>Motisma Froid</t>
        </is>
      </c>
      <c r="E22" s="29" t="inlineStr">
        <is>
          <t>Frost-Rotom</t>
        </is>
      </c>
      <c r="F22" s="29" t="inlineStr">
        <is>
          <t>Rotom Frio</t>
        </is>
      </c>
      <c r="G22" s="11" t="inlineStr">
        <is>
          <t>Rotom Gelo</t>
        </is>
      </c>
      <c r="H22" s="29" t="inlineStr">
        <is>
          <t>프로스트로토무</t>
        </is>
      </c>
      <c r="I22" s="29" t="inlineStr">
        <is>
          <t>結冰洛托姆</t>
        </is>
      </c>
      <c r="J22" s="29">
        <f>IFERROR(__xludf.DUMMYFUNCTION("GOOGLETRANSLATE(I22,""zh_HANT"",""zh_HANS"")"),"结冰洛托姆")</f>
        <v/>
      </c>
      <c r="K22" s="29">
        <f>F22</f>
        <v/>
      </c>
    </row>
    <row r="23">
      <c r="A23" s="29">
        <f>CONCATENATE("NAME_FORM_", SUBSTITUTE(UPPER(B23), " ", ""))</f>
        <v/>
      </c>
      <c r="B23" s="29" t="inlineStr">
        <is>
          <t>Fan Rotom</t>
        </is>
      </c>
      <c r="C23" s="29">
        <f>CONCATENATE("スピン", Pokemon!C480)</f>
        <v/>
      </c>
      <c r="D23" s="29" t="inlineStr">
        <is>
          <t>Motisma Hélice</t>
        </is>
      </c>
      <c r="E23" s="29" t="inlineStr">
        <is>
          <t>Wirbel-Rotom</t>
        </is>
      </c>
      <c r="F23" s="29" t="inlineStr">
        <is>
          <t>Rotom Ventilador</t>
        </is>
      </c>
      <c r="G23" s="29" t="inlineStr">
        <is>
          <t>Rotom Vortice</t>
        </is>
      </c>
      <c r="H23" s="29" t="inlineStr">
        <is>
          <t>스핀로토무</t>
        </is>
      </c>
      <c r="I23" s="29" t="inlineStr">
        <is>
          <t>旋轉洛托姆</t>
        </is>
      </c>
      <c r="J23" s="29">
        <f>IFERROR(__xludf.DUMMYFUNCTION("GOOGLETRANSLATE(I23,""zh_HANT"",""zh_HANS"")"),"旋转洛托姆")</f>
        <v/>
      </c>
      <c r="K23" s="29">
        <f>F23</f>
        <v/>
      </c>
    </row>
    <row r="24">
      <c r="A24" s="29">
        <f>CONCATENATE("NAME_FORM_", SUBSTITUTE(UPPER(B24), " ", ""))</f>
        <v/>
      </c>
      <c r="B24" s="29" t="inlineStr">
        <is>
          <t>Mow Rotom</t>
        </is>
      </c>
      <c r="C24" s="29">
        <f>CONCATENATE("カット", Pokemon!C480)</f>
        <v/>
      </c>
      <c r="D24" s="29" t="inlineStr">
        <is>
          <t>Motisma Tonte</t>
        </is>
      </c>
      <c r="E24" s="29" t="inlineStr">
        <is>
          <t>Schneid-Rotom</t>
        </is>
      </c>
      <c r="F24" s="29" t="inlineStr">
        <is>
          <t>Rotom Corte</t>
        </is>
      </c>
      <c r="G24" s="29" t="inlineStr">
        <is>
          <t>Rotom Taglio</t>
        </is>
      </c>
      <c r="H24" s="29" t="inlineStr">
        <is>
          <t>커트로토무</t>
        </is>
      </c>
      <c r="I24" s="29" t="inlineStr">
        <is>
          <t>切割洛托姆</t>
        </is>
      </c>
      <c r="J24" s="29">
        <f>I24</f>
        <v/>
      </c>
      <c r="K24" s="29">
        <f>F24</f>
        <v/>
      </c>
    </row>
    <row r="25">
      <c r="A25" s="29">
        <f>CONCATENATE("NAME_FORM_", SUBSTITUTE(UPPER(B25), " ", ""))</f>
        <v/>
      </c>
      <c r="B25" s="29" t="inlineStr">
        <is>
          <t>Altered Forme</t>
        </is>
      </c>
      <c r="C25" s="29" t="inlineStr">
        <is>
          <t>アナザーフォルム</t>
        </is>
      </c>
      <c r="D25" s="29" t="inlineStr">
        <is>
          <t>Forme Alternative</t>
        </is>
      </c>
      <c r="E25" s="29" t="inlineStr">
        <is>
          <t>Wandelform</t>
        </is>
      </c>
      <c r="F25" s="29" t="inlineStr">
        <is>
          <t>Forma Modificada</t>
        </is>
      </c>
      <c r="G25" s="11" t="inlineStr">
        <is>
          <t>Forma Alterata</t>
        </is>
      </c>
      <c r="H25" s="29" t="inlineStr">
        <is>
          <t>어나더폼</t>
        </is>
      </c>
      <c r="I25" s="29" t="inlineStr">
        <is>
          <t>別種形態</t>
        </is>
      </c>
      <c r="J25" s="29">
        <f>IFERROR(__xludf.DUMMYFUNCTION("GOOGLETRANSLATE(I25,""zh_HANT"",""zh_HANS"")"),"别种形态")</f>
        <v/>
      </c>
      <c r="K25" s="29">
        <f>F25</f>
        <v/>
      </c>
    </row>
    <row r="26">
      <c r="A26" s="29">
        <f>CONCATENATE("NAME_FORM_", SUBSTITUTE(UPPER(B26), " ", ""))</f>
        <v/>
      </c>
      <c r="B26" s="29" t="inlineStr">
        <is>
          <t>Origin Forme</t>
        </is>
      </c>
      <c r="C26" s="29" t="inlineStr">
        <is>
          <t>オリジンフォルム</t>
        </is>
      </c>
      <c r="D26" s="29" t="inlineStr">
        <is>
          <t>Forme Originelle</t>
        </is>
      </c>
      <c r="E26" s="29" t="inlineStr">
        <is>
          <t>Urform</t>
        </is>
      </c>
      <c r="F26" s="29" t="inlineStr">
        <is>
          <t>Forma Origen</t>
        </is>
      </c>
      <c r="G26" s="29" t="inlineStr">
        <is>
          <t>Forma Origine</t>
        </is>
      </c>
      <c r="H26" s="29" t="inlineStr">
        <is>
          <t>오리진폼</t>
        </is>
      </c>
      <c r="I26" s="29" t="inlineStr">
        <is>
          <t>起源形態</t>
        </is>
      </c>
      <c r="J26" s="29">
        <f>IFERROR(__xludf.DUMMYFUNCTION("GOOGLETRANSLATE(I26,""zh_HANT"",""zh_HANS"")"),"起源形态")</f>
        <v/>
      </c>
      <c r="K26" s="29">
        <f>F26</f>
        <v/>
      </c>
    </row>
    <row r="27">
      <c r="A27" s="29">
        <f>CONCATENATE("NAME_FORM_", SUBSTITUTE(UPPER(B27), " ", ""))</f>
        <v/>
      </c>
      <c r="B27" s="29" t="inlineStr">
        <is>
          <t>Land Forme</t>
        </is>
      </c>
      <c r="C27" s="29" t="inlineStr">
        <is>
          <t>ランドフォルム</t>
        </is>
      </c>
      <c r="D27" s="29" t="inlineStr">
        <is>
          <t>Forme Terrestre</t>
        </is>
      </c>
      <c r="E27" s="29" t="inlineStr">
        <is>
          <t>Landform</t>
        </is>
      </c>
      <c r="F27" s="29" t="inlineStr">
        <is>
          <t>Forma Tierra</t>
        </is>
      </c>
      <c r="G27" s="29" t="inlineStr">
        <is>
          <t>Forma Terra</t>
        </is>
      </c>
      <c r="H27" s="29" t="inlineStr">
        <is>
          <t>랜드폼</t>
        </is>
      </c>
      <c r="I27" s="29" t="inlineStr">
        <is>
          <t>陸上形態</t>
        </is>
      </c>
      <c r="J27" s="29">
        <f>IFERROR(__xludf.DUMMYFUNCTION("GOOGLETRANSLATE(I27,""zh_HANT"",""zh_HANS"")"),"陆上形态")</f>
        <v/>
      </c>
      <c r="K27" s="29">
        <f>F27</f>
        <v/>
      </c>
    </row>
    <row r="28">
      <c r="A28" s="29">
        <f>CONCATENATE("NAME_FORM_", SUBSTITUTE(UPPER(B28), " ", ""))</f>
        <v/>
      </c>
      <c r="B28" s="29" t="inlineStr">
        <is>
          <t>Sky Forme</t>
        </is>
      </c>
      <c r="C28" s="29" t="inlineStr">
        <is>
          <t>スカイフォルム</t>
        </is>
      </c>
      <c r="D28" s="29" t="inlineStr">
        <is>
          <t>Forme Céleste</t>
        </is>
      </c>
      <c r="E28" s="29" t="inlineStr">
        <is>
          <t>Zenitform</t>
        </is>
      </c>
      <c r="F28" s="29">
        <f>G28</f>
        <v/>
      </c>
      <c r="G28" s="29" t="inlineStr">
        <is>
          <t>Forma Cielo</t>
        </is>
      </c>
      <c r="H28" s="29" t="inlineStr">
        <is>
          <t>스카이폼</t>
        </is>
      </c>
      <c r="I28" s="29" t="inlineStr">
        <is>
          <t>天空形態</t>
        </is>
      </c>
      <c r="J28" s="29">
        <f>IFERROR(__xludf.DUMMYFUNCTION("GOOGLETRANSLATE(I28,""zh_HANT"",""zh_HANS"")"),"天空形态")</f>
        <v/>
      </c>
      <c r="K28" s="29">
        <f>F28</f>
        <v/>
      </c>
    </row>
    <row r="29">
      <c r="A29" s="29" t="inlineStr">
        <is>
          <t>NAME_FORM_NORMALTYPE</t>
        </is>
      </c>
      <c r="B29" s="29">
        <f>CONCATENATE(Types!B2,"-type")</f>
        <v/>
      </c>
      <c r="C29" s="29">
        <f>CONCATENATE(Types!C2,"タイプ")</f>
        <v/>
      </c>
      <c r="D29" s="29" t="inlineStr">
        <is>
          <t>Type Normal</t>
        </is>
      </c>
      <c r="E29" s="29">
        <f>CONCATENATE("Typen ",Types!E2)</f>
        <v/>
      </c>
      <c r="F29" s="29">
        <f>CONCATENATE("Tipo ",Types!F2)</f>
        <v/>
      </c>
      <c r="G29" s="29">
        <f>CONCATENATE("Tipo ",Types!G2)</f>
        <v/>
      </c>
      <c r="H29" s="29">
        <f>CONCATENATE(Types!H2,"타입")</f>
        <v/>
      </c>
      <c r="I29" s="29">
        <f>IFERROR(__xludf.DUMMYFUNCTION("GOOGLETRANSLATE(J29,""zh_HANS"",""zh_HANT"")"),"一般屬性")</f>
        <v/>
      </c>
      <c r="J29" s="29">
        <f>CONCATENATE(Types!J2,"属性")</f>
        <v/>
      </c>
      <c r="K29" s="29">
        <f>F29</f>
        <v/>
      </c>
    </row>
    <row r="30">
      <c r="A30" s="29" t="inlineStr">
        <is>
          <t>NAME_FORM_FIGHTINGTYPE</t>
        </is>
      </c>
      <c r="B30" s="29">
        <f>CONCATENATE(Types!B3,"-type")</f>
        <v/>
      </c>
      <c r="C30" s="29">
        <f>CONCATENATE(Types!C3,"タイプ")</f>
        <v/>
      </c>
      <c r="D30" s="29" t="inlineStr">
        <is>
          <t>Type Combat</t>
        </is>
      </c>
      <c r="E30" s="29">
        <f>CONCATENATE("Typen ",Types!E3)</f>
        <v/>
      </c>
      <c r="F30" s="29">
        <f>CONCATENATE("Tipo ",Types!F3)</f>
        <v/>
      </c>
      <c r="G30" s="29">
        <f>CONCATENATE("Tipo ",Types!G3)</f>
        <v/>
      </c>
      <c r="H30" s="29">
        <f>CONCATENATE(Types!H3,"타입")</f>
        <v/>
      </c>
      <c r="I30" s="29">
        <f>IFERROR(__xludf.DUMMYFUNCTION("GOOGLETRANSLATE(J30,""zh_HANS"",""zh_HANT"")"),"格鬥屬性")</f>
        <v/>
      </c>
      <c r="J30" s="29">
        <f>CONCATENATE(Types!J3,"属性")</f>
        <v/>
      </c>
      <c r="K30" s="29">
        <f>F30</f>
        <v/>
      </c>
    </row>
    <row r="31">
      <c r="A31" s="29" t="inlineStr">
        <is>
          <t>NAME_FORM_FLYINGTYPE</t>
        </is>
      </c>
      <c r="B31" s="29">
        <f>CONCATENATE(Types!B4,"-type")</f>
        <v/>
      </c>
      <c r="C31" s="29">
        <f>CONCATENATE(Types!C4,"タイプ")</f>
        <v/>
      </c>
      <c r="D31" s="29" t="inlineStr">
        <is>
          <t>Type Vol</t>
        </is>
      </c>
      <c r="E31" s="29">
        <f>CONCATENATE("Typen ",Types!E4)</f>
        <v/>
      </c>
      <c r="F31" s="29">
        <f>CONCATENATE("Tipo ",Types!F4)</f>
        <v/>
      </c>
      <c r="G31" s="29">
        <f>CONCATENATE("Tipo ",Types!G4)</f>
        <v/>
      </c>
      <c r="H31" s="29">
        <f>CONCATENATE(Types!H4,"타입")</f>
        <v/>
      </c>
      <c r="I31" s="29">
        <f>IFERROR(__xludf.DUMMYFUNCTION("GOOGLETRANSLATE(J31,""zh_HANS"",""zh_HANT"")"),"飛行屬性")</f>
        <v/>
      </c>
      <c r="J31" s="29">
        <f>CONCATENATE(Types!J4,"属性")</f>
        <v/>
      </c>
      <c r="K31" s="29">
        <f>F31</f>
        <v/>
      </c>
    </row>
    <row r="32">
      <c r="A32" s="29" t="inlineStr">
        <is>
          <t>NAME_FORM_POISONTYPE</t>
        </is>
      </c>
      <c r="B32" s="29">
        <f>CONCATENATE(Types!B5,"-type")</f>
        <v/>
      </c>
      <c r="C32" s="29">
        <f>CONCATENATE(Types!C5,"タイプ")</f>
        <v/>
      </c>
      <c r="D32" s="29" t="inlineStr">
        <is>
          <t>Type Poison</t>
        </is>
      </c>
      <c r="E32" s="29">
        <f>CONCATENATE("Typen ",Types!E5)</f>
        <v/>
      </c>
      <c r="F32" s="29">
        <f>CONCATENATE("Tipo ",Types!F5)</f>
        <v/>
      </c>
      <c r="G32" s="29">
        <f>CONCATENATE("Tipo ",Types!G5)</f>
        <v/>
      </c>
      <c r="H32" s="29">
        <f>CONCATENATE(Types!H5,"타입")</f>
        <v/>
      </c>
      <c r="I32" s="29">
        <f>IFERROR(__xludf.DUMMYFUNCTION("GOOGLETRANSLATE(J32,""zh_HANS"",""zh_HANT"")"),"毒屬性")</f>
        <v/>
      </c>
      <c r="J32" s="29">
        <f>CONCATENATE(Types!J5,"属性")</f>
        <v/>
      </c>
      <c r="K32" s="29">
        <f>F32</f>
        <v/>
      </c>
    </row>
    <row r="33">
      <c r="A33" s="29" t="inlineStr">
        <is>
          <t>NAME_FORM_GROUNDTYPE</t>
        </is>
      </c>
      <c r="B33" s="29">
        <f>CONCATENATE(Types!B6,"-type")</f>
        <v/>
      </c>
      <c r="C33" s="29">
        <f>CONCATENATE(Types!C6,"タイプ")</f>
        <v/>
      </c>
      <c r="D33" s="29" t="inlineStr">
        <is>
          <t>Type Sol</t>
        </is>
      </c>
      <c r="E33" s="29">
        <f>CONCATENATE("Typen ",Types!E6)</f>
        <v/>
      </c>
      <c r="F33" s="29">
        <f>CONCATENATE("Tipo ",Types!F6)</f>
        <v/>
      </c>
      <c r="G33" s="29">
        <f>CONCATENATE("Tipo ",Types!G6)</f>
        <v/>
      </c>
      <c r="H33" s="29">
        <f>CONCATENATE(Types!H6,"타입")</f>
        <v/>
      </c>
      <c r="I33" s="29">
        <f>IFERROR(__xludf.DUMMYFUNCTION("GOOGLETRANSLATE(J33,""zh_HANS"",""zh_HANT"")"),"地面屬性")</f>
        <v/>
      </c>
      <c r="J33" s="29">
        <f>CONCATENATE(Types!J6,"属性")</f>
        <v/>
      </c>
      <c r="K33" s="29">
        <f>F33</f>
        <v/>
      </c>
    </row>
    <row r="34">
      <c r="A34" s="29" t="inlineStr">
        <is>
          <t>NAME_FORM_ROCKTYPE</t>
        </is>
      </c>
      <c r="B34" s="29">
        <f>CONCATENATE(Types!B7,"-type")</f>
        <v/>
      </c>
      <c r="C34" s="29">
        <f>CONCATENATE(Types!C7,"タイプ")</f>
        <v/>
      </c>
      <c r="D34" s="29" t="inlineStr">
        <is>
          <t>Type Roche</t>
        </is>
      </c>
      <c r="E34" s="29">
        <f>CONCATENATE("Typen ",Types!E7)</f>
        <v/>
      </c>
      <c r="F34" s="29">
        <f>CONCATENATE("Tipo ",Types!F7)</f>
        <v/>
      </c>
      <c r="G34" s="29">
        <f>CONCATENATE("Tipo ",Types!G7)</f>
        <v/>
      </c>
      <c r="H34" s="29">
        <f>CONCATENATE(Types!H7,"타입")</f>
        <v/>
      </c>
      <c r="I34" s="29">
        <f>IFERROR(__xludf.DUMMYFUNCTION("GOOGLETRANSLATE(J34,""zh_HANS"",""zh_HANT"")"),"岩石屬性")</f>
        <v/>
      </c>
      <c r="J34" s="29">
        <f>CONCATENATE(Types!J7,"属性")</f>
        <v/>
      </c>
      <c r="K34" s="29">
        <f>F34</f>
        <v/>
      </c>
    </row>
    <row r="35">
      <c r="A35" s="29" t="inlineStr">
        <is>
          <t>NAME_FORM_BUGTYPE</t>
        </is>
      </c>
      <c r="B35" s="29">
        <f>CONCATENATE(Types!B8,"-type")</f>
        <v/>
      </c>
      <c r="C35" s="29">
        <f>CONCATENATE(Types!C8,"タイプ")</f>
        <v/>
      </c>
      <c r="D35" s="29" t="inlineStr">
        <is>
          <t>Type Insecte</t>
        </is>
      </c>
      <c r="E35" s="29">
        <f>CONCATENATE("Typen ",Types!E8)</f>
        <v/>
      </c>
      <c r="F35" s="29">
        <f>CONCATENATE("Tipo ",Types!F8)</f>
        <v/>
      </c>
      <c r="G35" s="29">
        <f>CONCATENATE("Tipo ",Types!G8)</f>
        <v/>
      </c>
      <c r="H35" s="29">
        <f>CONCATENATE(Types!H8,"타입")</f>
        <v/>
      </c>
      <c r="I35" s="29">
        <f>IFERROR(__xludf.DUMMYFUNCTION("GOOGLETRANSLATE(J35,""zh_HANS"",""zh_HANT"")"),"蟲屬性")</f>
        <v/>
      </c>
      <c r="J35" s="29">
        <f>CONCATENATE(Types!J8,"属性")</f>
        <v/>
      </c>
      <c r="K35" s="29">
        <f>F35</f>
        <v/>
      </c>
    </row>
    <row r="36">
      <c r="A36" s="29" t="inlineStr">
        <is>
          <t>NAME_FORM_GHOSTTYPE</t>
        </is>
      </c>
      <c r="B36" s="29">
        <f>CONCATENATE(Types!B9,"-type")</f>
        <v/>
      </c>
      <c r="C36" s="29">
        <f>CONCATENATE(Types!C9,"タイプ")</f>
        <v/>
      </c>
      <c r="D36" s="29" t="inlineStr">
        <is>
          <t>Type Spectre</t>
        </is>
      </c>
      <c r="E36" s="29">
        <f>CONCATENATE("Typen ",Types!E9)</f>
        <v/>
      </c>
      <c r="F36" s="29">
        <f>CONCATENATE("Tipo ",Types!F9)</f>
        <v/>
      </c>
      <c r="G36" s="29">
        <f>CONCATENATE("Tipo ",Types!G9)</f>
        <v/>
      </c>
      <c r="H36" s="29">
        <f>CONCATENATE(Types!H9,"타입")</f>
        <v/>
      </c>
      <c r="I36" s="29">
        <f>IFERROR(__xludf.DUMMYFUNCTION("GOOGLETRANSLATE(J36,""zh_HANS"",""zh_HANT"")"),"幽靈屬性")</f>
        <v/>
      </c>
      <c r="J36" s="29">
        <f>CONCATENATE(Types!J9,"属性")</f>
        <v/>
      </c>
      <c r="K36" s="29">
        <f>F36</f>
        <v/>
      </c>
    </row>
    <row r="37">
      <c r="A37" s="29" t="inlineStr">
        <is>
          <t>NAME_FORM_STEELTYPE</t>
        </is>
      </c>
      <c r="B37" s="29">
        <f>CONCATENATE(Types!B10,"-type")</f>
        <v/>
      </c>
      <c r="C37" s="29">
        <f>CONCATENATE(Types!C10,"タイプ")</f>
        <v/>
      </c>
      <c r="D37" s="29" t="inlineStr">
        <is>
          <t>Type Acier</t>
        </is>
      </c>
      <c r="E37" s="29">
        <f>CONCATENATE("Typen ",Types!E10)</f>
        <v/>
      </c>
      <c r="F37" s="29">
        <f>CONCATENATE("Tipo ",Types!F10)</f>
        <v/>
      </c>
      <c r="G37" s="29">
        <f>CONCATENATE("Tipo ",Types!G10)</f>
        <v/>
      </c>
      <c r="H37" s="29">
        <f>CONCATENATE(Types!H10,"타입")</f>
        <v/>
      </c>
      <c r="I37" s="29">
        <f>IFERROR(__xludf.DUMMYFUNCTION("GOOGLETRANSLATE(J37,""zh_HANS"",""zh_HANT"")"),"鋼屬性")</f>
        <v/>
      </c>
      <c r="J37" s="29">
        <f>CONCATENATE(Types!J10,"属性")</f>
        <v/>
      </c>
      <c r="K37" s="29">
        <f>F37</f>
        <v/>
      </c>
    </row>
    <row r="38">
      <c r="A38" s="29" t="inlineStr">
        <is>
          <t>NAME_FORM_FIRETYPE</t>
        </is>
      </c>
      <c r="B38" s="29">
        <f>CONCATENATE(Types!B11,"-type")</f>
        <v/>
      </c>
      <c r="C38" s="29">
        <f>CONCATENATE(Types!C11,"タイプ")</f>
        <v/>
      </c>
      <c r="D38" s="29" t="inlineStr">
        <is>
          <t>Type Feu</t>
        </is>
      </c>
      <c r="E38" s="29">
        <f>CONCATENATE("Typen ",Types!E11)</f>
        <v/>
      </c>
      <c r="F38" s="29">
        <f>CONCATENATE("Tipo ",Types!F11)</f>
        <v/>
      </c>
      <c r="G38" s="29">
        <f>CONCATENATE("Tipo ",Types!G11)</f>
        <v/>
      </c>
      <c r="H38" s="29">
        <f>CONCATENATE(Types!H11,"타입")</f>
        <v/>
      </c>
      <c r="I38" s="29">
        <f>IFERROR(__xludf.DUMMYFUNCTION("GOOGLETRANSLATE(J38,""zh_HANS"",""zh_HANT"")"),"火屬性")</f>
        <v/>
      </c>
      <c r="J38" s="29">
        <f>CONCATENATE(Types!J11,"属性")</f>
        <v/>
      </c>
      <c r="K38" s="29">
        <f>F38</f>
        <v/>
      </c>
    </row>
    <row r="39">
      <c r="A39" s="29" t="inlineStr">
        <is>
          <t>NAME_FORM_WATERTYPE</t>
        </is>
      </c>
      <c r="B39" s="29">
        <f>CONCATENATE(Types!B12,"-type")</f>
        <v/>
      </c>
      <c r="C39" s="29">
        <f>CONCATENATE(Types!C12,"タイプ")</f>
        <v/>
      </c>
      <c r="D39" s="29" t="inlineStr">
        <is>
          <t>Type Eau</t>
        </is>
      </c>
      <c r="E39" s="29">
        <f>CONCATENATE("Typen ",Types!E12)</f>
        <v/>
      </c>
      <c r="F39" s="29">
        <f>CONCATENATE("Tipo ",Types!F12)</f>
        <v/>
      </c>
      <c r="G39" s="29">
        <f>CONCATENATE("Tipo ",Types!G12)</f>
        <v/>
      </c>
      <c r="H39" s="29">
        <f>CONCATENATE(Types!H12,"타입")</f>
        <v/>
      </c>
      <c r="I39" s="29">
        <f>IFERROR(__xludf.DUMMYFUNCTION("GOOGLETRANSLATE(J39,""zh_HANS"",""zh_HANT"")"),"水屬性")</f>
        <v/>
      </c>
      <c r="J39" s="29">
        <f>CONCATENATE(Types!J12,"属性")</f>
        <v/>
      </c>
      <c r="K39" s="29">
        <f>F39</f>
        <v/>
      </c>
    </row>
    <row r="40">
      <c r="A40" s="29" t="inlineStr">
        <is>
          <t>NAME_FORM_GRASSTYPE</t>
        </is>
      </c>
      <c r="B40" s="29">
        <f>CONCATENATE(Types!B13,"-type")</f>
        <v/>
      </c>
      <c r="C40" s="29">
        <f>CONCATENATE(Types!C13,"タイプ")</f>
        <v/>
      </c>
      <c r="D40" s="29" t="inlineStr">
        <is>
          <t>Type Plante</t>
        </is>
      </c>
      <c r="E40" s="29">
        <f>CONCATENATE("Typen ",Types!E13)</f>
        <v/>
      </c>
      <c r="F40" s="29">
        <f>CONCATENATE("Tipo ",Types!F13)</f>
        <v/>
      </c>
      <c r="G40" s="29">
        <f>CONCATENATE("Tipo ",Types!G13)</f>
        <v/>
      </c>
      <c r="H40" s="29">
        <f>CONCATENATE(Types!H13,"타입")</f>
        <v/>
      </c>
      <c r="I40" s="29">
        <f>IFERROR(__xludf.DUMMYFUNCTION("GOOGLETRANSLATE(J40,""zh_HANS"",""zh_HANT"")"),"草屬性")</f>
        <v/>
      </c>
      <c r="J40" s="29">
        <f>CONCATENATE(Types!J13,"属性")</f>
        <v/>
      </c>
      <c r="K40" s="29">
        <f>F40</f>
        <v/>
      </c>
    </row>
    <row r="41">
      <c r="A41" s="29" t="inlineStr">
        <is>
          <t>NAME_FORM_ELECTRICTYPE</t>
        </is>
      </c>
      <c r="B41" s="29">
        <f>CONCATENATE(Types!B14,"-type")</f>
        <v/>
      </c>
      <c r="C41" s="29">
        <f>CONCATENATE(Types!C14,"タイプ")</f>
        <v/>
      </c>
      <c r="D41" s="29" t="inlineStr">
        <is>
          <t>Type Électrik</t>
        </is>
      </c>
      <c r="E41" s="29">
        <f>CONCATENATE("Typen ",Types!E14)</f>
        <v/>
      </c>
      <c r="F41" s="29">
        <f>CONCATENATE("Tipo ",Types!F14)</f>
        <v/>
      </c>
      <c r="G41" s="29">
        <f>CONCATENATE("Tipo ",Types!G14)</f>
        <v/>
      </c>
      <c r="H41" s="29">
        <f>CONCATENATE(Types!H14,"타입")</f>
        <v/>
      </c>
      <c r="I41" s="29">
        <f>IFERROR(__xludf.DUMMYFUNCTION("GOOGLETRANSLATE(J41,""zh_HANS"",""zh_HANT"")"),"電屬性")</f>
        <v/>
      </c>
      <c r="J41" s="29">
        <f>CONCATENATE(Types!J14,"属性")</f>
        <v/>
      </c>
      <c r="K41" s="29">
        <f>F41</f>
        <v/>
      </c>
    </row>
    <row r="42">
      <c r="A42" s="29" t="inlineStr">
        <is>
          <t>NAME_FORM_PSYCHICTYPE</t>
        </is>
      </c>
      <c r="B42" s="29">
        <f>CONCATENATE(Types!B15,"-type")</f>
        <v/>
      </c>
      <c r="C42" s="29">
        <f>CONCATENATE(Types!C15,"タイプ")</f>
        <v/>
      </c>
      <c r="D42" s="29" t="inlineStr">
        <is>
          <t>Type Psy</t>
        </is>
      </c>
      <c r="E42" s="29">
        <f>CONCATENATE("Typen ",Types!E15)</f>
        <v/>
      </c>
      <c r="F42" s="29">
        <f>CONCATENATE("Tipo ",Types!F15)</f>
        <v/>
      </c>
      <c r="G42" s="29">
        <f>CONCATENATE("Tipo ",Types!G15)</f>
        <v/>
      </c>
      <c r="H42" s="29">
        <f>CONCATENATE(Types!H15,"타입")</f>
        <v/>
      </c>
      <c r="I42" s="29">
        <f>IFERROR(__xludf.DUMMYFUNCTION("GOOGLETRANSLATE(J42,""zh_HANS"",""zh_HANT"")"),"超能力屬性")</f>
        <v/>
      </c>
      <c r="J42" s="29">
        <f>CONCATENATE(Types!J15,"属性")</f>
        <v/>
      </c>
      <c r="K42" s="29">
        <f>F42</f>
        <v/>
      </c>
    </row>
    <row r="43">
      <c r="A43" s="29" t="inlineStr">
        <is>
          <t>NAME_FORM_ICETYPE</t>
        </is>
      </c>
      <c r="B43" s="29">
        <f>CONCATENATE(Types!B16,"-type")</f>
        <v/>
      </c>
      <c r="C43" s="29">
        <f>CONCATENATE(Types!C16,"タイプ")</f>
        <v/>
      </c>
      <c r="D43" s="29" t="inlineStr">
        <is>
          <t>Type Glace</t>
        </is>
      </c>
      <c r="E43" s="29">
        <f>CONCATENATE("Typen ",Types!E16)</f>
        <v/>
      </c>
      <c r="F43" s="29">
        <f>CONCATENATE("Tipo ",Types!F16)</f>
        <v/>
      </c>
      <c r="G43" s="29">
        <f>CONCATENATE("Tipo ",Types!G16)</f>
        <v/>
      </c>
      <c r="H43" s="29">
        <f>CONCATENATE(Types!H16,"타입")</f>
        <v/>
      </c>
      <c r="I43" s="29">
        <f>IFERROR(__xludf.DUMMYFUNCTION("GOOGLETRANSLATE(J43,""zh_HANS"",""zh_HANT"")"),"冰屬性")</f>
        <v/>
      </c>
      <c r="J43" s="29">
        <f>CONCATENATE(Types!J16,"属性")</f>
        <v/>
      </c>
      <c r="K43" s="29">
        <f>F43</f>
        <v/>
      </c>
    </row>
    <row r="44">
      <c r="A44" s="29" t="inlineStr">
        <is>
          <t>NAME_FORM_DRAGONTYPE</t>
        </is>
      </c>
      <c r="B44" s="29">
        <f>CONCATENATE(Types!B17,"-type")</f>
        <v/>
      </c>
      <c r="C44" s="29">
        <f>CONCATENATE(Types!C17,"タイプ")</f>
        <v/>
      </c>
      <c r="D44" s="29" t="inlineStr">
        <is>
          <t>Type Dragon</t>
        </is>
      </c>
      <c r="E44" s="29">
        <f>CONCATENATE("Typen ",Types!E17)</f>
        <v/>
      </c>
      <c r="F44" s="29">
        <f>CONCATENATE("Tipo ",Types!F17)</f>
        <v/>
      </c>
      <c r="G44" s="29">
        <f>CONCATENATE("Tipo ",Types!G17)</f>
        <v/>
      </c>
      <c r="H44" s="29">
        <f>CONCATENATE(Types!H17,"타입")</f>
        <v/>
      </c>
      <c r="I44" s="29">
        <f>IFERROR(__xludf.DUMMYFUNCTION("GOOGLETRANSLATE(J44,""zh_HANS"",""zh_HANT"")"),"龍屬性")</f>
        <v/>
      </c>
      <c r="J44" s="29">
        <f>CONCATENATE(Types!J17,"属性")</f>
        <v/>
      </c>
      <c r="K44" s="29">
        <f>F44</f>
        <v/>
      </c>
    </row>
    <row r="45">
      <c r="A45" s="29" t="inlineStr">
        <is>
          <t>NAME_FORM_DARKTYPE</t>
        </is>
      </c>
      <c r="B45" s="29">
        <f>CONCATENATE(Types!B18,"-type")</f>
        <v/>
      </c>
      <c r="C45" s="29">
        <f>CONCATENATE(Types!C18,"タイプ")</f>
        <v/>
      </c>
      <c r="D45" s="29" t="inlineStr">
        <is>
          <t>Type Ténèbres</t>
        </is>
      </c>
      <c r="E45" s="29">
        <f>CONCATENATE("Typen ",Types!E18)</f>
        <v/>
      </c>
      <c r="F45" s="29">
        <f>CONCATENATE("Tipo ",Types!F18)</f>
        <v/>
      </c>
      <c r="G45" s="29">
        <f>CONCATENATE("Tipo ",Types!G18)</f>
        <v/>
      </c>
      <c r="H45" s="29">
        <f>CONCATENATE(Types!H18,"타입")</f>
        <v/>
      </c>
      <c r="I45" s="29">
        <f>IFERROR(__xludf.DUMMYFUNCTION("GOOGLETRANSLATE(J45,""zh_HANS"",""zh_HANT"")"),"惡屬性")</f>
        <v/>
      </c>
      <c r="J45" s="29">
        <f>CONCATENATE(Types!J18,"属性")</f>
        <v/>
      </c>
      <c r="K45" s="29">
        <f>F45</f>
        <v/>
      </c>
    </row>
    <row r="46">
      <c r="A46" s="29" t="inlineStr">
        <is>
          <t>NAME_FORM_FAIRYTYPE</t>
        </is>
      </c>
      <c r="B46" s="29">
        <f>CONCATENATE(Types!B19,"-type")</f>
        <v/>
      </c>
      <c r="C46" s="29">
        <f>CONCATENATE(Types!C19,"タイプ")</f>
        <v/>
      </c>
      <c r="D46" s="29" t="inlineStr">
        <is>
          <t>Type Fée</t>
        </is>
      </c>
      <c r="E46" s="29">
        <f>CONCATENATE("Typen ",Types!E19)</f>
        <v/>
      </c>
      <c r="F46" s="29">
        <f>CONCATENATE("Tipo ",Types!F19)</f>
        <v/>
      </c>
      <c r="G46" s="29">
        <f>CONCATENATE("Tipo ",Types!G19)</f>
        <v/>
      </c>
      <c r="H46" s="29">
        <f>CONCATENATE(Types!H19,"타입")</f>
        <v/>
      </c>
      <c r="I46" s="29">
        <f>IFERROR(__xludf.DUMMYFUNCTION("GOOGLETRANSLATE(J46,""zh_HANS"",""zh_HANT"")"),"妖精屬性")</f>
        <v/>
      </c>
      <c r="J46" s="29">
        <f>CONCATENATE(Types!J19,"属性")</f>
        <v/>
      </c>
      <c r="K46" s="29">
        <f>F46</f>
        <v/>
      </c>
    </row>
    <row r="47">
      <c r="A47" s="29">
        <f>CONCATENATE("NAME_FORM_", SUBSTITUTE(UPPER(B47), " ", ""))</f>
        <v/>
      </c>
      <c r="B47" s="29" t="inlineStr">
        <is>
          <t>Red-Striped Form</t>
        </is>
      </c>
      <c r="C47" s="29" t="inlineStr">
        <is>
          <t>あかすじのすがた</t>
        </is>
      </c>
      <c r="D47" s="29" t="inlineStr">
        <is>
          <t>Motif Rouge</t>
        </is>
      </c>
      <c r="E47" s="29" t="inlineStr">
        <is>
          <t>Rotlinige Form</t>
        </is>
      </c>
      <c r="F47" s="29" t="inlineStr">
        <is>
          <t>Forma Raya Roja</t>
        </is>
      </c>
      <c r="G47" s="29" t="inlineStr">
        <is>
          <t>Forma Linearossa</t>
        </is>
      </c>
      <c r="H47" s="29" t="inlineStr">
        <is>
          <t>적색근의 모습</t>
        </is>
      </c>
      <c r="I47" s="29" t="inlineStr">
        <is>
          <t>紅條紋的樣子</t>
        </is>
      </c>
      <c r="J47" s="29">
        <f>IFERROR(__xludf.DUMMYFUNCTION("GOOGLETRANSLATE(I47,""zh_HANT"",""zh_HANS"")"),"红条纹的样子")</f>
        <v/>
      </c>
      <c r="K47" s="29">
        <f>F47</f>
        <v/>
      </c>
    </row>
    <row r="48">
      <c r="A48" s="29">
        <f>CONCATENATE("NAME_FORM_", SUBSTITUTE(UPPER(B48), " ", ""))</f>
        <v/>
      </c>
      <c r="B48" s="29" t="inlineStr">
        <is>
          <t>Blue-Striped Form</t>
        </is>
      </c>
      <c r="C48" s="29" t="inlineStr">
        <is>
          <t>あおすじのすがた</t>
        </is>
      </c>
      <c r="D48" s="29" t="inlineStr">
        <is>
          <t>Motif Bleu</t>
        </is>
      </c>
      <c r="E48" s="29" t="inlineStr">
        <is>
          <t>Blaulinige Form</t>
        </is>
      </c>
      <c r="F48" s="29" t="inlineStr">
        <is>
          <t>Forma Raya Azul</t>
        </is>
      </c>
      <c r="G48" s="29" t="inlineStr">
        <is>
          <t>Forma Lineablu</t>
        </is>
      </c>
      <c r="H48" s="29" t="inlineStr">
        <is>
          <t>청색근의 모습</t>
        </is>
      </c>
      <c r="I48" s="29" t="inlineStr">
        <is>
          <t>藍條紋的樣子</t>
        </is>
      </c>
      <c r="J48" s="29">
        <f>IFERROR(__xludf.DUMMYFUNCTION("GOOGLETRANSLATE(I48,""zh_HANT"",""zh_HANS"")"),"蓝条纹的样子")</f>
        <v/>
      </c>
      <c r="K48" s="29">
        <f>F48</f>
        <v/>
      </c>
    </row>
    <row r="49">
      <c r="A49" s="29">
        <f>CONCATENATE("NAME_FORM_", SUBSTITUTE(UPPER(B49), " ", ""))</f>
        <v/>
      </c>
      <c r="B49" s="29" t="inlineStr">
        <is>
          <t>Standard Mode</t>
        </is>
      </c>
      <c r="C49" s="9" t="inlineStr">
        <is>
          <t>ノーマルモード</t>
        </is>
      </c>
      <c r="D49" s="29" t="inlineStr">
        <is>
          <t>Mode Normal</t>
        </is>
      </c>
      <c r="E49" s="29" t="inlineStr">
        <is>
          <t>Normalmodus</t>
        </is>
      </c>
      <c r="F49" s="29" t="inlineStr">
        <is>
          <t>Modo Normal</t>
        </is>
      </c>
      <c r="G49" s="29" t="inlineStr">
        <is>
          <t>Stato Normale</t>
        </is>
      </c>
      <c r="H49" s="29" t="inlineStr">
        <is>
          <t>노말모드</t>
        </is>
      </c>
      <c r="I49" s="29" t="inlineStr">
        <is>
          <t>普通模式</t>
        </is>
      </c>
      <c r="J49" s="29">
        <f>I49</f>
        <v/>
      </c>
      <c r="K49" s="29">
        <f>F49</f>
        <v/>
      </c>
    </row>
    <row r="50">
      <c r="A50" s="29">
        <f>CONCATENATE("NAME_FORM_", SUBSTITUTE(UPPER(B50), " ", ""))</f>
        <v/>
      </c>
      <c r="B50" s="29">
        <f>Abilities!B162</f>
        <v/>
      </c>
      <c r="C50" s="29">
        <f>Abilities!C162</f>
        <v/>
      </c>
      <c r="D50" s="29">
        <f>Abilities!D162</f>
        <v/>
      </c>
      <c r="E50" s="29">
        <f>Abilities!E162</f>
        <v/>
      </c>
      <c r="F50" s="29">
        <f>Abilities!F162</f>
        <v/>
      </c>
      <c r="G50" s="29">
        <f>Abilities!G162</f>
        <v/>
      </c>
      <c r="H50" s="29">
        <f>Abilities!H162</f>
        <v/>
      </c>
      <c r="I50" s="29">
        <f>Abilities!I162</f>
        <v/>
      </c>
      <c r="J50" s="29">
        <f>Abilities!J162</f>
        <v/>
      </c>
      <c r="K50" s="29">
        <f>F50</f>
        <v/>
      </c>
    </row>
    <row r="51">
      <c r="A51" s="29">
        <f>CONCATENATE("NAME_FORM_", SUBSTITUTE(UPPER(B51), " ", ""))</f>
        <v/>
      </c>
      <c r="B51" s="29" t="inlineStr">
        <is>
          <t>Spring Form</t>
        </is>
      </c>
      <c r="C51" s="29" t="inlineStr">
        <is>
          <t>はるのすがた</t>
        </is>
      </c>
      <c r="D51" s="29" t="inlineStr">
        <is>
          <t>Forme Printemps</t>
        </is>
      </c>
      <c r="E51" s="29" t="inlineStr">
        <is>
          <t>Frühlingsform</t>
        </is>
      </c>
      <c r="F51" s="29">
        <f>G51</f>
        <v/>
      </c>
      <c r="G51" s="29" t="inlineStr">
        <is>
          <t>Forma Primavera</t>
        </is>
      </c>
      <c r="H51" s="29" t="inlineStr">
        <is>
          <t>봄의 모습</t>
        </is>
      </c>
      <c r="I51" s="29" t="inlineStr">
        <is>
          <t>春天的樣子</t>
        </is>
      </c>
      <c r="J51" s="29">
        <f>IFERROR(__xludf.DUMMYFUNCTION("GOOGLETRANSLATE(I51,""zh_HANT"",""zh_HANS"")"),"春天的样子")</f>
        <v/>
      </c>
      <c r="K51" s="29">
        <f>F51</f>
        <v/>
      </c>
    </row>
    <row r="52">
      <c r="A52" s="29">
        <f>CONCATENATE("NAME_FORM_", SUBSTITUTE(UPPER(B52), " ", ""))</f>
        <v/>
      </c>
      <c r="B52" s="29" t="inlineStr">
        <is>
          <t>Summer Form</t>
        </is>
      </c>
      <c r="C52" s="29" t="inlineStr">
        <is>
          <t>なつのすがた</t>
        </is>
      </c>
      <c r="D52" s="29" t="inlineStr">
        <is>
          <t>Forme Été</t>
        </is>
      </c>
      <c r="E52" s="29" t="inlineStr">
        <is>
          <t>Sommerform</t>
        </is>
      </c>
      <c r="F52" s="29" t="inlineStr">
        <is>
          <t>Forma Verano</t>
        </is>
      </c>
      <c r="G52" s="29" t="inlineStr">
        <is>
          <t>Forma Estate</t>
        </is>
      </c>
      <c r="H52" s="29" t="inlineStr">
        <is>
          <t>여름의 모습</t>
        </is>
      </c>
      <c r="I52" s="29" t="inlineStr">
        <is>
          <t>夏天的樣子</t>
        </is>
      </c>
      <c r="J52" s="29">
        <f>IFERROR(__xludf.DUMMYFUNCTION("GOOGLETRANSLATE(I52,""zh_HANT"",""zh_HANS"")"),"夏天的样子")</f>
        <v/>
      </c>
      <c r="K52" s="29">
        <f>F52</f>
        <v/>
      </c>
    </row>
    <row r="53">
      <c r="A53" s="29">
        <f>CONCATENATE("NAME_FORM_", SUBSTITUTE(UPPER(B53), " ", ""))</f>
        <v/>
      </c>
      <c r="B53" s="29" t="inlineStr">
        <is>
          <t>Autumn Form</t>
        </is>
      </c>
      <c r="C53" s="29" t="inlineStr">
        <is>
          <t>あきのすがた</t>
        </is>
      </c>
      <c r="D53" s="29" t="inlineStr">
        <is>
          <t>Forme Automne</t>
        </is>
      </c>
      <c r="E53" s="29" t="inlineStr">
        <is>
          <t>Herbstform</t>
        </is>
      </c>
      <c r="F53" s="29" t="inlineStr">
        <is>
          <t>Forma Otoño</t>
        </is>
      </c>
      <c r="G53" s="29" t="inlineStr">
        <is>
          <t>Forma Autunno</t>
        </is>
      </c>
      <c r="H53" s="29" t="inlineStr">
        <is>
          <t>가을의 모습</t>
        </is>
      </c>
      <c r="I53" s="29" t="inlineStr">
        <is>
          <t>秋天的樣子</t>
        </is>
      </c>
      <c r="J53" s="29">
        <f>IFERROR(__xludf.DUMMYFUNCTION("GOOGLETRANSLATE(I53,""zh_HANT"",""zh_HANS"")"),"秋天的样子")</f>
        <v/>
      </c>
      <c r="K53" s="29">
        <f>F53</f>
        <v/>
      </c>
    </row>
    <row r="54">
      <c r="A54" s="29">
        <f>CONCATENATE("NAME_FORM_", SUBSTITUTE(UPPER(B54), " ", ""))</f>
        <v/>
      </c>
      <c r="B54" s="29" t="inlineStr">
        <is>
          <t>Winter Form</t>
        </is>
      </c>
      <c r="C54" s="29" t="inlineStr">
        <is>
          <t>ふゆのすがた</t>
        </is>
      </c>
      <c r="D54" s="29" t="inlineStr">
        <is>
          <t>Forme Hiver</t>
        </is>
      </c>
      <c r="E54" s="29" t="inlineStr">
        <is>
          <t>Winterform</t>
        </is>
      </c>
      <c r="F54" s="29" t="inlineStr">
        <is>
          <t>Forma Invierno</t>
        </is>
      </c>
      <c r="G54" s="29" t="inlineStr">
        <is>
          <t>Forma Inverno</t>
        </is>
      </c>
      <c r="H54" s="29" t="inlineStr">
        <is>
          <t>겨울의 모습</t>
        </is>
      </c>
      <c r="I54" s="29" t="inlineStr">
        <is>
          <t>冬天的樣子</t>
        </is>
      </c>
      <c r="J54" s="29">
        <f>IFERROR(__xludf.DUMMYFUNCTION("GOOGLETRANSLATE(I54,""zh_HANT"",""zh_HANS"")"),"冬天的样子")</f>
        <v/>
      </c>
      <c r="K54" s="29">
        <f>F54</f>
        <v/>
      </c>
    </row>
    <row r="55">
      <c r="A55" s="29">
        <f>CONCATENATE("NAME_FORM_", SUBSTITUTE(UPPER(B55), " ", ""))</f>
        <v/>
      </c>
      <c r="B55" s="29" t="inlineStr">
        <is>
          <t>Incarnate Forme</t>
        </is>
      </c>
      <c r="C55" s="29" t="inlineStr">
        <is>
          <t>けしんフォルム</t>
        </is>
      </c>
      <c r="D55" s="29" t="inlineStr">
        <is>
          <t>Forme Avatar</t>
        </is>
      </c>
      <c r="E55" s="29" t="inlineStr">
        <is>
          <t>Inkarnationsform</t>
        </is>
      </c>
      <c r="F55" s="29" t="inlineStr">
        <is>
          <t>Forma Avatar</t>
        </is>
      </c>
      <c r="G55" s="29" t="inlineStr">
        <is>
          <t>Forma Incarnazione</t>
        </is>
      </c>
      <c r="H55" s="29" t="inlineStr">
        <is>
          <t>화신폼</t>
        </is>
      </c>
      <c r="I55" s="29" t="inlineStr">
        <is>
          <t>化身形態</t>
        </is>
      </c>
      <c r="J55" s="29">
        <f>IFERROR(__xludf.DUMMYFUNCTION("GOOGLETRANSLATE(I55,""zh_HANT"",""zh_HANS"")"),"化身形态")</f>
        <v/>
      </c>
      <c r="K55" s="29">
        <f>F55</f>
        <v/>
      </c>
    </row>
    <row r="56">
      <c r="A56" s="29">
        <f>CONCATENATE("NAME_FORM_", SUBSTITUTE(UPPER(B56), " ", ""))</f>
        <v/>
      </c>
      <c r="B56" s="29" t="inlineStr">
        <is>
          <t>Therian Forme</t>
        </is>
      </c>
      <c r="C56" s="29" t="inlineStr">
        <is>
          <t>れいじゅうフォルム</t>
        </is>
      </c>
      <c r="D56" s="29" t="inlineStr">
        <is>
          <t>Forme Totémique</t>
        </is>
      </c>
      <c r="E56" s="29" t="inlineStr">
        <is>
          <t>Tiergeistform</t>
        </is>
      </c>
      <c r="F56" s="29" t="inlineStr">
        <is>
          <t>Forma Tótem</t>
        </is>
      </c>
      <c r="G56" s="29" t="inlineStr">
        <is>
          <t>Forma Totem</t>
        </is>
      </c>
      <c r="H56" s="29" t="inlineStr">
        <is>
          <t>영물폼</t>
        </is>
      </c>
      <c r="I56" s="29" t="inlineStr">
        <is>
          <t>靈獸形態</t>
        </is>
      </c>
      <c r="J56" s="29">
        <f>IFERROR(__xludf.DUMMYFUNCTION("GOOGLETRANSLATE(I56,""zh_HANT"",""zh_HANS"")"),"灵兽形态")</f>
        <v/>
      </c>
      <c r="K56" s="29">
        <f>F56</f>
        <v/>
      </c>
    </row>
    <row r="57">
      <c r="A57" s="29">
        <f>CONCATENATE("NAME_FORM_", SUBSTITUTE(UPPER(B57), " ", ""))</f>
        <v/>
      </c>
      <c r="B57" s="29" t="inlineStr">
        <is>
          <t>Black Kyurem</t>
        </is>
      </c>
      <c r="C57" s="29" t="inlineStr">
        <is>
          <t>ブラックキュレム</t>
        </is>
      </c>
      <c r="D57" s="29" t="inlineStr">
        <is>
          <t>Kyurem Noir</t>
        </is>
      </c>
      <c r="E57" s="29" t="inlineStr">
        <is>
          <t>Schwarzes Kyurem</t>
        </is>
      </c>
      <c r="F57" s="29" t="inlineStr">
        <is>
          <t>Kyurem Negro</t>
        </is>
      </c>
      <c r="G57" s="29" t="inlineStr">
        <is>
          <t>Kyurem Nero</t>
        </is>
      </c>
      <c r="H57" s="29" t="inlineStr">
        <is>
          <t>블랙 큐레무</t>
        </is>
      </c>
      <c r="I57" s="29" t="inlineStr">
        <is>
          <t>闇黑酋雷姆</t>
        </is>
      </c>
      <c r="J57" s="29">
        <f>IFERROR(__xludf.DUMMYFUNCTION("GOOGLETRANSLATE(I57,""zh_HANT"",""zh_HANS"")"),"暗黑酋雷姆")</f>
        <v/>
      </c>
      <c r="K57" s="29">
        <f>F57</f>
        <v/>
      </c>
    </row>
    <row r="58">
      <c r="A58" s="29">
        <f>CONCATENATE("NAME_FORM_", SUBSTITUTE(UPPER(B58), " ", ""))</f>
        <v/>
      </c>
      <c r="B58" s="29" t="inlineStr">
        <is>
          <t>White Kyurem</t>
        </is>
      </c>
      <c r="C58" s="29" t="inlineStr">
        <is>
          <t>ホワイトキュレム</t>
        </is>
      </c>
      <c r="D58" s="29" t="inlineStr">
        <is>
          <t>Kyurem Blanc</t>
        </is>
      </c>
      <c r="E58" s="29" t="inlineStr">
        <is>
          <t>Weißes Kyurem</t>
        </is>
      </c>
      <c r="F58" s="29" t="inlineStr">
        <is>
          <t>Kyurem Blanco</t>
        </is>
      </c>
      <c r="G58" s="29" t="inlineStr">
        <is>
          <t>Kyurem Bianco</t>
        </is>
      </c>
      <c r="H58" s="29" t="inlineStr">
        <is>
          <t>화이트 큐레무</t>
        </is>
      </c>
      <c r="I58" s="29" t="inlineStr">
        <is>
          <t>焰白酋雷姆</t>
        </is>
      </c>
      <c r="J58" s="29">
        <f>I58</f>
        <v/>
      </c>
      <c r="K58" s="29">
        <f>F58</f>
        <v/>
      </c>
    </row>
    <row r="59">
      <c r="A59" s="29">
        <f>CONCATENATE("NAME_FORM_", SUBSTITUTE(UPPER(B59), " ", ""))</f>
        <v/>
      </c>
      <c r="B59" s="29" t="inlineStr">
        <is>
          <t>Ordinary Form</t>
        </is>
      </c>
      <c r="C59" s="29" t="inlineStr">
        <is>
          <t>いつものすがた</t>
        </is>
      </c>
      <c r="D59" s="29" t="inlineStr">
        <is>
          <t>Aspect Normal</t>
        </is>
      </c>
      <c r="E59" s="29" t="inlineStr">
        <is>
          <t>Standardform</t>
        </is>
      </c>
      <c r="F59" s="29" t="inlineStr">
        <is>
          <t>Forma Habitual</t>
        </is>
      </c>
      <c r="G59" s="29" t="inlineStr">
        <is>
          <t>Forma Normale</t>
        </is>
      </c>
      <c r="H59" s="29" t="inlineStr">
        <is>
          <t>평상시 모습</t>
        </is>
      </c>
      <c r="I59" s="29" t="inlineStr">
        <is>
          <t>平常的樣子</t>
        </is>
      </c>
      <c r="J59" s="29">
        <f>IFERROR(__xludf.DUMMYFUNCTION("GOOGLETRANSLATE(I59,""zh_HANT"",""zh_HANS"")"),"平常的样子")</f>
        <v/>
      </c>
      <c r="K59" s="29">
        <f>F59</f>
        <v/>
      </c>
    </row>
    <row r="60">
      <c r="A60" s="29">
        <f>CONCATENATE("NAME_FORM_", SUBSTITUTE(UPPER(B60), " ", ""))</f>
        <v/>
      </c>
      <c r="B60" s="29" t="inlineStr">
        <is>
          <t>Resolute Form</t>
        </is>
      </c>
      <c r="C60" s="29" t="inlineStr">
        <is>
          <t>かくごのすがた</t>
        </is>
      </c>
      <c r="D60" s="29" t="inlineStr">
        <is>
          <t>Aspect Décidé</t>
        </is>
      </c>
      <c r="E60" s="29" t="inlineStr">
        <is>
          <t>Resolutform</t>
        </is>
      </c>
      <c r="F60" s="29" t="inlineStr">
        <is>
          <t>Forma Brío</t>
        </is>
      </c>
      <c r="G60" s="29" t="inlineStr">
        <is>
          <t>Forma Risoluta</t>
        </is>
      </c>
      <c r="H60" s="29" t="inlineStr">
        <is>
          <t>각오의 모습</t>
        </is>
      </c>
      <c r="I60" s="29" t="inlineStr">
        <is>
          <t>覺悟的樣子</t>
        </is>
      </c>
      <c r="J60" s="29">
        <f>IFERROR(__xludf.DUMMYFUNCTION("GOOGLETRANSLATE(I60,""zh_HANT"",""zh_HANS"")"),"觉悟的样子")</f>
        <v/>
      </c>
      <c r="K60" s="29">
        <f>F60</f>
        <v/>
      </c>
    </row>
    <row r="61">
      <c r="A61" s="29">
        <f>CONCATENATE("NAME_FORM_", SUBSTITUTE(UPPER(B61), " ", ""))</f>
        <v/>
      </c>
      <c r="B61" s="29" t="inlineStr">
        <is>
          <t>Aria Forme</t>
        </is>
      </c>
      <c r="C61" s="29" t="inlineStr">
        <is>
          <t>ボイスフォルム</t>
        </is>
      </c>
      <c r="D61" s="29" t="inlineStr">
        <is>
          <t>Forme Chant</t>
        </is>
      </c>
      <c r="E61" s="29" t="inlineStr">
        <is>
          <t>Gesangsform</t>
        </is>
      </c>
      <c r="F61" s="29" t="inlineStr">
        <is>
          <t>Forma Lírica</t>
        </is>
      </c>
      <c r="G61" s="11" t="inlineStr">
        <is>
          <t>Forma Canto</t>
        </is>
      </c>
      <c r="H61" s="29" t="inlineStr">
        <is>
          <t>보이스폼</t>
        </is>
      </c>
      <c r="I61" s="29" t="inlineStr">
        <is>
          <t>歌聲形態</t>
        </is>
      </c>
      <c r="J61" s="29">
        <f>IFERROR(__xludf.DUMMYFUNCTION("GOOGLETRANSLATE(I61,""zh_HANT"",""zh_HANS"")"),"歌声形态")</f>
        <v/>
      </c>
      <c r="K61" s="29">
        <f>F61</f>
        <v/>
      </c>
    </row>
    <row r="62">
      <c r="A62" s="29">
        <f>CONCATENATE("NAME_FORM_", SUBSTITUTE(UPPER(B62), " ", ""))</f>
        <v/>
      </c>
      <c r="B62" s="29" t="inlineStr">
        <is>
          <t>Pirouette Forme</t>
        </is>
      </c>
      <c r="C62" s="29" t="inlineStr">
        <is>
          <t>ステップフォルム</t>
        </is>
      </c>
      <c r="D62" s="29" t="inlineStr">
        <is>
          <t>Forme Danse</t>
        </is>
      </c>
      <c r="E62" s="29" t="inlineStr">
        <is>
          <t>Tanzform</t>
        </is>
      </c>
      <c r="F62" s="29">
        <f>G62</f>
        <v/>
      </c>
      <c r="G62" s="29" t="inlineStr">
        <is>
          <t>Forma Danza</t>
        </is>
      </c>
      <c r="H62" s="29" t="inlineStr">
        <is>
          <t>스텝폼</t>
        </is>
      </c>
      <c r="I62" s="29" t="inlineStr">
        <is>
          <t>舞步形態</t>
        </is>
      </c>
      <c r="J62" s="29">
        <f>IFERROR(__xludf.DUMMYFUNCTION("GOOGLETRANSLATE(I62,""zh_HANT"",""zh_HANS"")"),"舞步形态")</f>
        <v/>
      </c>
      <c r="K62" s="29">
        <f>F62</f>
        <v/>
      </c>
    </row>
    <row r="63">
      <c r="A63" s="29">
        <f>CONCATENATE("NAME_FORM_", SUBSTITUTE(UPPER(B63), " ", ""))</f>
        <v/>
      </c>
      <c r="B63" s="29" t="inlineStr">
        <is>
          <t>Ash Greninja</t>
        </is>
      </c>
      <c r="C63" s="29" t="inlineStr">
        <is>
          <t>サトシゲッコウガ</t>
        </is>
      </c>
      <c r="D63" s="29" t="inlineStr">
        <is>
          <t>Sachanobi</t>
        </is>
      </c>
      <c r="E63" s="29" t="inlineStr">
        <is>
          <t>Ash-Quajutsu</t>
        </is>
      </c>
      <c r="F63" s="29" t="inlineStr">
        <is>
          <t>Greninja Ash</t>
        </is>
      </c>
      <c r="G63" s="29" t="inlineStr">
        <is>
          <t>Greninja Forma Ash</t>
        </is>
      </c>
      <c r="H63" s="29">
        <f>CONCATENATE("지우",Pokemon!H659)</f>
        <v/>
      </c>
      <c r="I63" s="29">
        <f>CONCATENATE("小智版",Pokemon!I659)</f>
        <v/>
      </c>
      <c r="J63" s="29">
        <f>CONCATENATE("小智版",Pokemon!J659)</f>
        <v/>
      </c>
      <c r="K63" s="29">
        <f>F63</f>
        <v/>
      </c>
    </row>
    <row r="64">
      <c r="A64" s="29">
        <f>CONCATENATE("NAME_FORM_", SUBSTITUTE(UPPER(B64), " ", ""))</f>
        <v/>
      </c>
      <c r="B64" s="29" t="inlineStr">
        <is>
          <t>Archipelago Pattern</t>
        </is>
      </c>
      <c r="C64" s="29" t="inlineStr">
        <is>
          <t>ぐんとうもよう</t>
        </is>
      </c>
      <c r="D64" s="29" t="inlineStr">
        <is>
          <t>Motif Archipel</t>
        </is>
      </c>
      <c r="E64" s="29" t="inlineStr">
        <is>
          <t>Archipelmuster</t>
        </is>
      </c>
      <c r="F64" s="29" t="inlineStr">
        <is>
          <t>Motivo Isleño</t>
        </is>
      </c>
      <c r="G64" s="29" t="inlineStr">
        <is>
          <t>Motivo Arcipelago</t>
        </is>
      </c>
      <c r="H64" s="29" t="inlineStr">
        <is>
          <t>군도의 모양</t>
        </is>
      </c>
      <c r="I64" s="29" t="inlineStr">
        <is>
          <t>群島花紋</t>
        </is>
      </c>
      <c r="J64" s="29">
        <f>IFERROR(__xludf.DUMMYFUNCTION("GOOGLETRANSLATE(I64,""zh_HANT"",""zh_HANS"")"),"群岛花纹")</f>
        <v/>
      </c>
      <c r="K64" s="29">
        <f>F64</f>
        <v/>
      </c>
    </row>
    <row r="65">
      <c r="A65" s="29">
        <f>CONCATENATE("NAME_FORM_", SUBSTITUTE(UPPER(B65), " ", ""))</f>
        <v/>
      </c>
      <c r="B65" s="29" t="inlineStr">
        <is>
          <t>Continental Pattern</t>
        </is>
      </c>
      <c r="C65" s="29" t="inlineStr">
        <is>
          <t>たいりくのもよう</t>
        </is>
      </c>
      <c r="D65" s="29" t="inlineStr">
        <is>
          <t>Motif Continent</t>
        </is>
      </c>
      <c r="E65" s="29" t="inlineStr">
        <is>
          <t>Kontinentalmuster</t>
        </is>
      </c>
      <c r="F65" s="29" t="inlineStr">
        <is>
          <t>Motivo Continental</t>
        </is>
      </c>
      <c r="G65" s="29">
        <f>CONCATENATE(F65, "e")</f>
        <v/>
      </c>
      <c r="H65" s="29" t="inlineStr">
        <is>
          <t>대륙의 모양</t>
        </is>
      </c>
      <c r="I65" s="29" t="inlineStr">
        <is>
          <t>大陸花紋</t>
        </is>
      </c>
      <c r="J65" s="29">
        <f>IFERROR(__xludf.DUMMYFUNCTION("GOOGLETRANSLATE(I65,""zh_HANT"",""zh_HANS"")"),"大陆花纹")</f>
        <v/>
      </c>
      <c r="K65" s="29">
        <f>F65</f>
        <v/>
      </c>
    </row>
    <row r="66">
      <c r="A66" s="29">
        <f>CONCATENATE("NAME_FORM_", SUBSTITUTE(UPPER(B66), " ", ""))</f>
        <v/>
      </c>
      <c r="B66" s="29" t="inlineStr">
        <is>
          <t>Elegant Pattern</t>
        </is>
      </c>
      <c r="C66" s="29" t="inlineStr">
        <is>
          <t>みやびなもよう</t>
        </is>
      </c>
      <c r="D66" s="29" t="inlineStr">
        <is>
          <t>Motif Monarchie</t>
        </is>
      </c>
      <c r="E66" s="29" t="inlineStr">
        <is>
          <t>Prunkmuster</t>
        </is>
      </c>
      <c r="F66" s="29" t="inlineStr">
        <is>
          <t>Motivo Oriental</t>
        </is>
      </c>
      <c r="G66" s="29" t="inlineStr">
        <is>
          <t>Motivo Eleganza</t>
        </is>
      </c>
      <c r="H66" s="29" t="inlineStr">
        <is>
          <t>우아한 모양</t>
        </is>
      </c>
      <c r="I66" s="29" t="inlineStr">
        <is>
          <t>高雅花紋</t>
        </is>
      </c>
      <c r="J66" s="29">
        <f>IFERROR(__xludf.DUMMYFUNCTION("GOOGLETRANSLATE(I66,""zh_HANT"",""zh_HANS"")"),"高雅花纹")</f>
        <v/>
      </c>
      <c r="K66" s="29">
        <f>F66</f>
        <v/>
      </c>
    </row>
    <row r="67">
      <c r="A67" s="29">
        <f>CONCATENATE("NAME_FORM_", SUBSTITUTE(UPPER(B67), " ", ""))</f>
        <v/>
      </c>
      <c r="B67" s="29" t="inlineStr">
        <is>
          <t>Garden Pattern</t>
        </is>
      </c>
      <c r="C67" s="29" t="inlineStr">
        <is>
          <t>ていえんのもよう</t>
        </is>
      </c>
      <c r="D67" s="29" t="inlineStr">
        <is>
          <t>Motif Verdure</t>
        </is>
      </c>
      <c r="E67" s="29" t="inlineStr">
        <is>
          <t>Ziergartenmuster</t>
        </is>
      </c>
      <c r="F67" s="29" t="inlineStr">
        <is>
          <t>Motivo Vergel</t>
        </is>
      </c>
      <c r="G67" s="29" t="inlineStr">
        <is>
          <t>Motivo Prato</t>
        </is>
      </c>
      <c r="H67" s="29" t="inlineStr">
        <is>
          <t>정원의 모양</t>
        </is>
      </c>
      <c r="I67" s="29" t="inlineStr">
        <is>
          <t>庭園花紋</t>
        </is>
      </c>
      <c r="J67" s="29">
        <f>IFERROR(__xludf.DUMMYFUNCTION("GOOGLETRANSLATE(I67,""zh_HANT"",""zh_HANS"")"),"庭园花纹")</f>
        <v/>
      </c>
      <c r="K67" s="29">
        <f>F67</f>
        <v/>
      </c>
    </row>
    <row r="68">
      <c r="A68" s="29">
        <f>CONCATENATE("NAME_FORM_", SUBSTITUTE(UPPER(B68), " ", ""))</f>
        <v/>
      </c>
      <c r="B68" s="29" t="inlineStr">
        <is>
          <t>High Plains Pattern</t>
        </is>
      </c>
      <c r="C68" s="29" t="inlineStr">
        <is>
          <t>こうやのもよう</t>
        </is>
      </c>
      <c r="D68" s="29" t="inlineStr">
        <is>
          <t>Motif Sécheresse</t>
        </is>
      </c>
      <c r="E68" s="29" t="inlineStr">
        <is>
          <t>Dürremuster</t>
        </is>
      </c>
      <c r="F68" s="29" t="inlineStr">
        <is>
          <t>Motivo Estepa</t>
        </is>
      </c>
      <c r="G68" s="29" t="inlineStr">
        <is>
          <t>Motivo Deserto</t>
        </is>
      </c>
      <c r="H68" s="29" t="inlineStr">
        <is>
          <t>황야의 모양</t>
        </is>
      </c>
      <c r="I68" s="29" t="inlineStr">
        <is>
          <t>荒野花紋</t>
        </is>
      </c>
      <c r="J68" s="29">
        <f>IFERROR(__xludf.DUMMYFUNCTION("GOOGLETRANSLATE(I68,""zh_HANT"",""zh_HANS"")"),"荒野花纹")</f>
        <v/>
      </c>
      <c r="K68" s="29">
        <f>F68</f>
        <v/>
      </c>
    </row>
    <row r="69">
      <c r="A69" s="29">
        <f>CONCATENATE("NAME_FORM_", SUBSTITUTE(UPPER(B69), " ", ""))</f>
        <v/>
      </c>
      <c r="B69" s="29" t="inlineStr">
        <is>
          <t>Icy Snow Pattern</t>
        </is>
      </c>
      <c r="C69" s="29" t="inlineStr">
        <is>
          <t>ひょうせつのもよう</t>
        </is>
      </c>
      <c r="D69" s="29" t="inlineStr">
        <is>
          <t>Motif Blizzard</t>
        </is>
      </c>
      <c r="E69" s="29" t="inlineStr">
        <is>
          <t>Frostmuster</t>
        </is>
      </c>
      <c r="F69" s="29" t="inlineStr">
        <is>
          <t>Motivo Polar</t>
        </is>
      </c>
      <c r="G69" s="29" t="inlineStr">
        <is>
          <t>Motivo Nevi Perenni</t>
        </is>
      </c>
      <c r="H69" s="29" t="inlineStr">
        <is>
          <t>빙설의 모양</t>
        </is>
      </c>
      <c r="I69" s="29" t="inlineStr">
        <is>
          <t>冰雪花紋</t>
        </is>
      </c>
      <c r="J69" s="29">
        <f>IFERROR(__xludf.DUMMYFUNCTION("GOOGLETRANSLATE(I69,""zh_HANT"",""zh_HANS"")"),"冰雪花纹")</f>
        <v/>
      </c>
      <c r="K69" s="29">
        <f>F69</f>
        <v/>
      </c>
    </row>
    <row r="70">
      <c r="A70" s="29">
        <f>CONCATENATE("NAME_FORM_", SUBSTITUTE(UPPER(B70), " ", ""))</f>
        <v/>
      </c>
      <c r="B70" s="29" t="inlineStr">
        <is>
          <t>Jungle Pattern</t>
        </is>
      </c>
      <c r="C70" s="29" t="inlineStr">
        <is>
          <t>ジャンガルのもよう</t>
        </is>
      </c>
      <c r="D70" s="29" t="inlineStr">
        <is>
          <t>Motif Jungle</t>
        </is>
      </c>
      <c r="E70" s="29" t="inlineStr">
        <is>
          <t>Dschungelmuster</t>
        </is>
      </c>
      <c r="F70" s="29" t="inlineStr">
        <is>
          <t>Motivo Jungla</t>
        </is>
      </c>
      <c r="G70" s="29" t="inlineStr">
        <is>
          <t>Motivo Giungla</t>
        </is>
      </c>
      <c r="H70" s="29" t="inlineStr">
        <is>
          <t>정글의 모양</t>
        </is>
      </c>
      <c r="I70" s="29" t="inlineStr">
        <is>
          <t>熱帶雨林花紋</t>
        </is>
      </c>
      <c r="J70" s="29">
        <f>IFERROR(__xludf.DUMMYFUNCTION("GOOGLETRANSLATE(I70,""zh_HANT"",""zh_HANS"")"),"热带雨林花纹")</f>
        <v/>
      </c>
      <c r="K70" s="29">
        <f>F70</f>
        <v/>
      </c>
    </row>
    <row r="71">
      <c r="A71" s="29">
        <f>CONCATENATE("NAME_FORM_", SUBSTITUTE(UPPER(B71), " ", ""))</f>
        <v/>
      </c>
      <c r="B71" s="29" t="inlineStr">
        <is>
          <t>Marine Pattern</t>
        </is>
      </c>
      <c r="C71" s="29" t="inlineStr">
        <is>
          <t>マリンのもよう</t>
        </is>
      </c>
      <c r="D71" s="29" t="inlineStr">
        <is>
          <t>Motif Rivage</t>
        </is>
      </c>
      <c r="E71" s="29" t="inlineStr">
        <is>
          <t>Aquamarinmuster</t>
        </is>
      </c>
      <c r="F71" s="29">
        <f>G71</f>
        <v/>
      </c>
      <c r="G71" s="29" t="inlineStr">
        <is>
          <t>Motivo Marino</t>
        </is>
      </c>
      <c r="H71" s="29" t="inlineStr">
        <is>
          <t>마린의 모양</t>
        </is>
      </c>
      <c r="I71" s="29" t="inlineStr">
        <is>
          <t>大海花紋</t>
        </is>
      </c>
      <c r="J71" s="29">
        <f>IFERROR(__xludf.DUMMYFUNCTION("GOOGLETRANSLATE(I71,""zh_HANT"",""zh_HANS"")"),"大海花纹")</f>
        <v/>
      </c>
      <c r="K71" s="29">
        <f>F71</f>
        <v/>
      </c>
    </row>
    <row r="72">
      <c r="A72" s="29">
        <f>CONCATENATE("NAME_FORM_", SUBSTITUTE(UPPER(B72), " ", ""))</f>
        <v/>
      </c>
      <c r="B72" s="29" t="inlineStr">
        <is>
          <t>Meadow Pattern</t>
        </is>
      </c>
      <c r="C72" s="29" t="inlineStr">
        <is>
          <t>はなぞののもよう</t>
        </is>
      </c>
      <c r="D72" s="29" t="inlineStr">
        <is>
          <t>Motif Floraison</t>
        </is>
      </c>
      <c r="E72" s="29" t="inlineStr">
        <is>
          <t>Blumenmeermuster</t>
        </is>
      </c>
      <c r="F72" s="29" t="inlineStr">
        <is>
          <t>Motivo Floral</t>
        </is>
      </c>
      <c r="G72" s="29" t="inlineStr">
        <is>
          <t>Motivo Giardinfiore</t>
        </is>
      </c>
      <c r="H72" s="29" t="inlineStr">
        <is>
          <t>화원의 모양</t>
        </is>
      </c>
      <c r="I72" s="29" t="inlineStr">
        <is>
          <t>花園花紋</t>
        </is>
      </c>
      <c r="J72" s="29">
        <f>IFERROR(__xludf.DUMMYFUNCTION("GOOGLETRANSLATE(I72,""zh_HANT"",""zh_HANS"")"),"花园花纹")</f>
        <v/>
      </c>
      <c r="K72" s="29">
        <f>F72</f>
        <v/>
      </c>
    </row>
    <row r="73">
      <c r="A73" s="29">
        <f>CONCATENATE("NAME_FORM_", SUBSTITUTE(UPPER(B73), " ", ""))</f>
        <v/>
      </c>
      <c r="B73" s="29" t="inlineStr">
        <is>
          <t>Modern Pattern</t>
        </is>
      </c>
      <c r="C73" s="29" t="inlineStr">
        <is>
          <t>モダンなもよう</t>
        </is>
      </c>
      <c r="D73" s="29" t="inlineStr">
        <is>
          <t>Motif Métropole</t>
        </is>
      </c>
      <c r="E73" s="29" t="inlineStr">
        <is>
          <t>Innovationmuster</t>
        </is>
      </c>
      <c r="F73" s="29" t="inlineStr">
        <is>
          <t>Motivo Moderno</t>
        </is>
      </c>
      <c r="G73" s="29" t="inlineStr">
        <is>
          <t>Motivo Trendy</t>
        </is>
      </c>
      <c r="H73" s="29" t="inlineStr">
        <is>
          <t>모던한 모양</t>
        </is>
      </c>
      <c r="I73" s="29" t="inlineStr">
        <is>
          <t>摩登花紋</t>
        </is>
      </c>
      <c r="J73" s="29">
        <f>IFERROR(__xludf.DUMMYFUNCTION("GOOGLETRANSLATE(I73,""zh_HANT"",""zh_HANS"")"),"摩登花纹")</f>
        <v/>
      </c>
      <c r="K73" s="29">
        <f>F73</f>
        <v/>
      </c>
    </row>
    <row r="74">
      <c r="A74" s="29">
        <f>CONCATENATE("NAME_FORM_", SUBSTITUTE(UPPER(B74), " ", ""))</f>
        <v/>
      </c>
      <c r="B74" s="29" t="inlineStr">
        <is>
          <t>Monsoon Pattern</t>
        </is>
      </c>
      <c r="C74" s="29" t="inlineStr">
        <is>
          <t>スコールのもよう</t>
        </is>
      </c>
      <c r="D74" s="29" t="inlineStr">
        <is>
          <t>Motif Cyclone</t>
        </is>
      </c>
      <c r="E74" s="29" t="inlineStr">
        <is>
          <t>Monsunmuster</t>
        </is>
      </c>
      <c r="F74" s="29" t="inlineStr">
        <is>
          <t>Motivo Monzón</t>
        </is>
      </c>
      <c r="G74" s="29" t="inlineStr">
        <is>
          <t>Motivo Pluviale</t>
        </is>
      </c>
      <c r="H74" s="29" t="inlineStr">
        <is>
          <t>스콜의 모양</t>
        </is>
      </c>
      <c r="I74" s="29" t="inlineStr">
        <is>
          <t>驟雨花紋</t>
        </is>
      </c>
      <c r="J74" s="29">
        <f>IFERROR(__xludf.DUMMYFUNCTION("GOOGLETRANSLATE(I74,""zh_HANT"",""zh_HANS"")"),"骤雨花纹")</f>
        <v/>
      </c>
      <c r="K74" s="29">
        <f>F74</f>
        <v/>
      </c>
    </row>
    <row r="75">
      <c r="A75" s="29">
        <f>CONCATENATE("NAME_FORM_", SUBSTITUTE(UPPER(B75), " ", ""))</f>
        <v/>
      </c>
      <c r="B75" s="29" t="inlineStr">
        <is>
          <t>Ocean Pattern</t>
        </is>
      </c>
      <c r="C75" s="29" t="inlineStr">
        <is>
          <t>オーシャンのもよう</t>
        </is>
      </c>
      <c r="D75" s="29" t="inlineStr">
        <is>
          <t>Motif Soleil Levant</t>
        </is>
      </c>
      <c r="E75" s="29" t="inlineStr">
        <is>
          <t>Ozeanmuster</t>
        </is>
      </c>
      <c r="F75" s="29" t="inlineStr">
        <is>
          <t>Motivo Océano</t>
        </is>
      </c>
      <c r="G75" s="29" t="inlineStr">
        <is>
          <t>Motivo Oceanico</t>
        </is>
      </c>
      <c r="H75" s="29" t="inlineStr">
        <is>
          <t>오션의 모양</t>
        </is>
      </c>
      <c r="I75" s="29" t="inlineStr">
        <is>
          <t>大洋花紋</t>
        </is>
      </c>
      <c r="J75" s="29">
        <f>IFERROR(__xludf.DUMMYFUNCTION("GOOGLETRANSLATE(I75,""zh_HANT"",""zh_HANS"")"),"大洋花纹")</f>
        <v/>
      </c>
      <c r="K75" s="29">
        <f>F75</f>
        <v/>
      </c>
    </row>
    <row r="76">
      <c r="A76" s="29">
        <f>CONCATENATE("NAME_FORM_", SUBSTITUTE(UPPER(B76), " ", ""))</f>
        <v/>
      </c>
      <c r="B76" s="29" t="inlineStr">
        <is>
          <t>Polar Pattern</t>
        </is>
      </c>
      <c r="C76" s="29" t="inlineStr">
        <is>
          <t>ゆきぐにのもよう</t>
        </is>
      </c>
      <c r="D76" s="29" t="inlineStr">
        <is>
          <t>Motif Banquise</t>
        </is>
      </c>
      <c r="E76" s="29" t="inlineStr">
        <is>
          <t>Schneefeldmuster</t>
        </is>
      </c>
      <c r="F76" s="29" t="inlineStr">
        <is>
          <t>Motivo Taiga</t>
        </is>
      </c>
      <c r="G76" s="29" t="inlineStr">
        <is>
          <t>Motivo Nordico</t>
        </is>
      </c>
      <c r="H76" s="29" t="inlineStr">
        <is>
          <t>설국의 모양</t>
        </is>
      </c>
      <c r="I76" s="29" t="inlineStr">
        <is>
          <t>雪國花紋</t>
        </is>
      </c>
      <c r="J76" s="29">
        <f>IFERROR(__xludf.DUMMYFUNCTION("GOOGLETRANSLATE(I76,""zh_HANT"",""zh_HANS"")"),"雪国花纹")</f>
        <v/>
      </c>
      <c r="K76" s="29">
        <f>F76</f>
        <v/>
      </c>
    </row>
    <row r="77">
      <c r="A77" s="29">
        <f>CONCATENATE("NAME_FORM_", SUBSTITUTE(UPPER(B77), " ", ""))</f>
        <v/>
      </c>
      <c r="B77" s="29" t="inlineStr">
        <is>
          <t>River Pattern</t>
        </is>
      </c>
      <c r="C77" s="29" t="inlineStr">
        <is>
          <t>だいがのもよう</t>
        </is>
      </c>
      <c r="D77" s="29" t="inlineStr">
        <is>
          <t>Motif Delta</t>
        </is>
      </c>
      <c r="E77" s="29" t="inlineStr">
        <is>
          <t>Flussdeltamuster</t>
        </is>
      </c>
      <c r="F77" s="29" t="inlineStr">
        <is>
          <t>Motivo Oasis</t>
        </is>
      </c>
      <c r="G77" s="29" t="inlineStr">
        <is>
          <t>Motivo Fluviale</t>
        </is>
      </c>
      <c r="H77" s="29" t="inlineStr">
        <is>
          <t>대하의 모양</t>
        </is>
      </c>
      <c r="I77" s="29" t="inlineStr">
        <is>
          <t>大河花紋</t>
        </is>
      </c>
      <c r="J77" s="29">
        <f>IFERROR(__xludf.DUMMYFUNCTION("GOOGLETRANSLATE(I77,""zh_HANT"",""zh_HANS"")"),"大河花纹")</f>
        <v/>
      </c>
      <c r="K77" s="29">
        <f>F77</f>
        <v/>
      </c>
    </row>
    <row r="78">
      <c r="A78" s="29">
        <f>CONCATENATE("NAME_FORM_", SUBSTITUTE(UPPER(B78), " ", ""))</f>
        <v/>
      </c>
      <c r="B78" s="29" t="inlineStr">
        <is>
          <t>Sandstorm Pattern</t>
        </is>
      </c>
      <c r="C78" s="29" t="inlineStr">
        <is>
          <t>さじんのもよう</t>
        </is>
      </c>
      <c r="D78" s="29" t="inlineStr">
        <is>
          <t>Motif Sable</t>
        </is>
      </c>
      <c r="E78" s="29" t="inlineStr">
        <is>
          <t>Sandmuster</t>
        </is>
      </c>
      <c r="F78" s="29" t="inlineStr">
        <is>
          <t>Motivo Desierto</t>
        </is>
      </c>
      <c r="G78" s="29" t="inlineStr">
        <is>
          <t>Motivo Sabbia</t>
        </is>
      </c>
      <c r="H78" s="29" t="inlineStr">
        <is>
          <t>사진의 모양</t>
        </is>
      </c>
      <c r="I78" s="29" t="inlineStr">
        <is>
          <t>沙塵花紋</t>
        </is>
      </c>
      <c r="J78" s="29">
        <f>IFERROR(__xludf.DUMMYFUNCTION("GOOGLETRANSLATE(I78,""zh_HANT"",""zh_HANS"")"),"沙尘花纹")</f>
        <v/>
      </c>
      <c r="K78" s="29">
        <f>F78</f>
        <v/>
      </c>
    </row>
    <row r="79">
      <c r="A79" s="29">
        <f>CONCATENATE("NAME_FORM_", SUBSTITUTE(UPPER(B79), " ", ""))</f>
        <v/>
      </c>
      <c r="B79" s="29" t="inlineStr">
        <is>
          <t>Savanna Pattern</t>
        </is>
      </c>
      <c r="C79" s="29" t="inlineStr">
        <is>
          <t>サバンナのもよう</t>
        </is>
      </c>
      <c r="D79" s="29" t="inlineStr">
        <is>
          <t>Motif Mangrove</t>
        </is>
      </c>
      <c r="E79" s="29" t="inlineStr">
        <is>
          <t>Savannenmuster</t>
        </is>
      </c>
      <c r="F79" s="29" t="inlineStr">
        <is>
          <t>Motivo Pantano</t>
        </is>
      </c>
      <c r="G79" s="29" t="inlineStr">
        <is>
          <t>Motivo Savana</t>
        </is>
      </c>
      <c r="H79" s="29" t="inlineStr">
        <is>
          <t>사바나의 모양</t>
        </is>
      </c>
      <c r="I79" s="29" t="inlineStr">
        <is>
          <t>熱帶草原花紋</t>
        </is>
      </c>
      <c r="J79" s="29">
        <f>IFERROR(__xludf.DUMMYFUNCTION("GOOGLETRANSLATE(I79,""zh_HANT"",""zh_HANS"")"),"热带草原花纹")</f>
        <v/>
      </c>
      <c r="K79" s="29">
        <f>F79</f>
        <v/>
      </c>
    </row>
    <row r="80">
      <c r="A80" s="29">
        <f>CONCATENATE("NAME_FORM_", SUBSTITUTE(UPPER(B80), " ", ""))</f>
        <v/>
      </c>
      <c r="B80" s="29" t="inlineStr">
        <is>
          <t>Sun Pattern</t>
        </is>
      </c>
      <c r="C80" s="29" t="inlineStr">
        <is>
          <t>たいようのもよう</t>
        </is>
      </c>
      <c r="D80" s="29" t="inlineStr">
        <is>
          <t>Motif Zénith</t>
        </is>
      </c>
      <c r="E80" s="29" t="inlineStr">
        <is>
          <t>Sonnenmuster</t>
        </is>
      </c>
      <c r="F80" s="29" t="inlineStr">
        <is>
          <t>Motivo Solar</t>
        </is>
      </c>
      <c r="G80" s="29" t="inlineStr">
        <is>
          <t>Motivo Solare</t>
        </is>
      </c>
      <c r="H80" s="29" t="inlineStr">
        <is>
          <t>태양의 모양</t>
        </is>
      </c>
      <c r="I80" s="29" t="inlineStr">
        <is>
          <t>太陽花紋</t>
        </is>
      </c>
      <c r="J80" s="29">
        <f>IFERROR(__xludf.DUMMYFUNCTION("GOOGLETRANSLATE(I80,""zh_HANT"",""zh_HANS"")"),"太阳花纹")</f>
        <v/>
      </c>
      <c r="K80" s="29">
        <f>F80</f>
        <v/>
      </c>
    </row>
    <row r="81">
      <c r="A81" s="29">
        <f>CONCATENATE("NAME_FORM_", SUBSTITUTE(UPPER(B81), " ", ""))</f>
        <v/>
      </c>
      <c r="B81" s="29" t="inlineStr">
        <is>
          <t>Tundra Pattern</t>
        </is>
      </c>
      <c r="C81" s="29" t="inlineStr">
        <is>
          <t>せつげんのもよう</t>
        </is>
      </c>
      <c r="D81" s="29" t="inlineStr">
        <is>
          <t>Motif Glace</t>
        </is>
      </c>
      <c r="E81" s="29" t="inlineStr">
        <is>
          <t>Flockenmuster</t>
        </is>
      </c>
      <c r="F81" s="29" t="inlineStr">
        <is>
          <t>Motivo Tundra</t>
        </is>
      </c>
      <c r="G81" s="29" t="inlineStr">
        <is>
          <t>Motivo Manto di Neve</t>
        </is>
      </c>
      <c r="H81" s="29" t="inlineStr">
        <is>
          <t>설원의 모양</t>
        </is>
      </c>
      <c r="I81" s="29" t="inlineStr">
        <is>
          <t>雪原花紋</t>
        </is>
      </c>
      <c r="J81" s="29">
        <f>IFERROR(__xludf.DUMMYFUNCTION("GOOGLETRANSLATE(I81,""zh_HANT"",""zh_HANS"")"),"雪原花纹")</f>
        <v/>
      </c>
      <c r="K81" s="29">
        <f>F81</f>
        <v/>
      </c>
    </row>
    <row r="82">
      <c r="A82" s="29" t="inlineStr">
        <is>
          <t>NAME_FORM_POKEBALLPATTERN</t>
        </is>
      </c>
      <c r="B82" s="29" t="inlineStr">
        <is>
          <t>Poké Ball Pattern</t>
        </is>
      </c>
      <c r="C82" s="29" t="inlineStr">
        <is>
          <t>ファンシーなもよう</t>
        </is>
      </c>
      <c r="D82" s="29" t="inlineStr">
        <is>
          <t>Motif Poké Ball</t>
        </is>
      </c>
      <c r="E82" s="29">
        <f>CONCATENATE(Items!E111,"-Muster")</f>
        <v/>
      </c>
      <c r="F82" s="29">
        <f>G82</f>
        <v/>
      </c>
      <c r="G82" s="29" t="inlineStr">
        <is>
          <t>Motivo Poké Ball</t>
        </is>
      </c>
      <c r="H82" s="29" t="inlineStr">
        <is>
          <t>볼의 모양</t>
        </is>
      </c>
      <c r="I82" s="29" t="inlineStr">
        <is>
          <t>球球花紋</t>
        </is>
      </c>
      <c r="J82" s="29">
        <f>IFERROR(__xludf.DUMMYFUNCTION("GOOGLETRANSLATE(I82,""zh_HANT"",""zh_HANS"")"),"球球花纹")</f>
        <v/>
      </c>
      <c r="K82" s="29">
        <f>F82</f>
        <v/>
      </c>
    </row>
    <row r="83">
      <c r="A83" s="29">
        <f>CONCATENATE("NAME_FORM_", SUBSTITUTE(UPPER(B83), " ", ""))</f>
        <v/>
      </c>
      <c r="B83" s="29" t="inlineStr">
        <is>
          <t>Fancy Pattern</t>
        </is>
      </c>
      <c r="C83" s="29" t="inlineStr">
        <is>
          <t>ボールのもよう</t>
        </is>
      </c>
      <c r="D83" s="29" t="inlineStr">
        <is>
          <t>Motif Fantaisie</t>
        </is>
      </c>
      <c r="E83" s="29" t="inlineStr">
        <is>
          <t>Fantasiemuster</t>
        </is>
      </c>
      <c r="F83" s="29" t="inlineStr">
        <is>
          <t>Motivo Fantasía</t>
        </is>
      </c>
      <c r="G83" s="29" t="inlineStr">
        <is>
          <t>Motivo Sbarazzino</t>
        </is>
      </c>
      <c r="H83" s="29" t="inlineStr">
        <is>
          <t>팬시한 모양</t>
        </is>
      </c>
      <c r="I83" s="29" t="inlineStr">
        <is>
          <t>幻彩花紋</t>
        </is>
      </c>
      <c r="J83" s="29">
        <f>IFERROR(__xludf.DUMMYFUNCTION("GOOGLETRANSLATE(I83,""zh_HANT"",""zh_HANS"")"),"幻彩花纹")</f>
        <v/>
      </c>
      <c r="K83" s="29">
        <f>F83</f>
        <v/>
      </c>
    </row>
    <row r="84">
      <c r="A84" s="29">
        <f>CONCATENATE("NAME_FORM_", SUBSTITUTE(UPPER(B84), " ", ""))</f>
        <v/>
      </c>
      <c r="B84" s="29" t="inlineStr">
        <is>
          <t>Red Flower</t>
        </is>
      </c>
      <c r="C84" s="29" t="inlineStr">
        <is>
          <t>あかりはな</t>
        </is>
      </c>
      <c r="D84" s="29" t="inlineStr">
        <is>
          <t>Fleur Rouge</t>
        </is>
      </c>
      <c r="E84" s="29" t="inlineStr">
        <is>
          <t>Rotblütler</t>
        </is>
      </c>
      <c r="F84" s="29" t="inlineStr">
        <is>
          <t>Flor Roja</t>
        </is>
      </c>
      <c r="G84" s="29" t="inlineStr">
        <is>
          <t>Fiore Rosso</t>
        </is>
      </c>
      <c r="H84" s="29" t="inlineStr">
        <is>
          <t>빨간 꽃</t>
        </is>
      </c>
      <c r="I84" s="29" t="inlineStr">
        <is>
          <t>紅花</t>
        </is>
      </c>
      <c r="J84" s="29">
        <f>IFERROR(__xludf.DUMMYFUNCTION("GOOGLETRANSLATE(I84,""zh_HANT"",""zh_HANS"")"),"红花")</f>
        <v/>
      </c>
      <c r="K84" s="29">
        <f>F84</f>
        <v/>
      </c>
    </row>
    <row r="85">
      <c r="A85" s="29">
        <f>CONCATENATE("NAME_FORM_", SUBSTITUTE(UPPER(B85), " ", ""))</f>
        <v/>
      </c>
      <c r="B85" s="29" t="inlineStr">
        <is>
          <t>Yellow Flower</t>
        </is>
      </c>
      <c r="C85" s="29" t="inlineStr">
        <is>
          <t>きりろのはな</t>
        </is>
      </c>
      <c r="D85" s="29" t="inlineStr">
        <is>
          <t>Fleur Jaune</t>
        </is>
      </c>
      <c r="E85" s="29" t="inlineStr">
        <is>
          <t>Gelbblütler</t>
        </is>
      </c>
      <c r="F85" s="29" t="inlineStr">
        <is>
          <t>Flor Amarilla</t>
        </is>
      </c>
      <c r="G85" s="29" t="inlineStr">
        <is>
          <t>Fiore Giallo</t>
        </is>
      </c>
      <c r="H85" s="29" t="inlineStr">
        <is>
          <t>노란 꽃</t>
        </is>
      </c>
      <c r="I85" s="29" t="inlineStr">
        <is>
          <t>黃花</t>
        </is>
      </c>
      <c r="J85" s="29">
        <f>IFERROR(__xludf.DUMMYFUNCTION("GOOGLETRANSLATE(I85,""zh_HANT"",""zh_HANS"")"),"黄花")</f>
        <v/>
      </c>
      <c r="K85" s="29">
        <f>F85</f>
        <v/>
      </c>
    </row>
    <row r="86">
      <c r="A86" s="29">
        <f>CONCATENATE("NAME_FORM_", SUBSTITUTE(UPPER(B86), " ", ""))</f>
        <v/>
      </c>
      <c r="B86" s="29" t="inlineStr">
        <is>
          <t>Orange Flower</t>
        </is>
      </c>
      <c r="C86" s="29" t="inlineStr">
        <is>
          <t>オレンジいろのはな</t>
        </is>
      </c>
      <c r="D86" s="29" t="inlineStr">
        <is>
          <t>Fleur Orange</t>
        </is>
      </c>
      <c r="E86" s="29" t="inlineStr">
        <is>
          <t>Orangeblütler</t>
        </is>
      </c>
      <c r="F86" s="29" t="inlineStr">
        <is>
          <t>Flor Naranja</t>
        </is>
      </c>
      <c r="G86" s="29" t="inlineStr">
        <is>
          <t>Fiore Arancione</t>
        </is>
      </c>
      <c r="H86" s="29" t="inlineStr">
        <is>
          <t>오렌지색 꽃</t>
        </is>
      </c>
      <c r="I86" s="29" t="inlineStr">
        <is>
          <t>橙花</t>
        </is>
      </c>
      <c r="J86" s="29">
        <f>I86</f>
        <v/>
      </c>
      <c r="K86" s="29">
        <f>F86</f>
        <v/>
      </c>
    </row>
    <row r="87">
      <c r="A87" s="29">
        <f>CONCATENATE("NAME_FORM_", SUBSTITUTE(UPPER(B87), " ", ""))</f>
        <v/>
      </c>
      <c r="B87" s="29" t="inlineStr">
        <is>
          <t>Blue Flower</t>
        </is>
      </c>
      <c r="C87" s="29" t="inlineStr">
        <is>
          <t>あおりはな</t>
        </is>
      </c>
      <c r="D87" s="29" t="inlineStr">
        <is>
          <t>Fleur Bleue</t>
        </is>
      </c>
      <c r="E87" s="29" t="inlineStr">
        <is>
          <t>Blaublütler</t>
        </is>
      </c>
      <c r="F87" s="29" t="inlineStr">
        <is>
          <t>Flor Azul</t>
        </is>
      </c>
      <c r="G87" s="29" t="inlineStr">
        <is>
          <t>Fiore Blu</t>
        </is>
      </c>
      <c r="H87" s="29" t="inlineStr">
        <is>
          <t>파란 꽃</t>
        </is>
      </c>
      <c r="I87" s="29" t="inlineStr">
        <is>
          <t>藍花</t>
        </is>
      </c>
      <c r="J87" s="29">
        <f>IFERROR(__xludf.DUMMYFUNCTION("GOOGLETRANSLATE(I87,""zh_HANT"",""zh_HANS"")"),"蓝花")</f>
        <v/>
      </c>
      <c r="K87" s="29">
        <f>F87</f>
        <v/>
      </c>
    </row>
    <row r="88">
      <c r="A88" s="29">
        <f>CONCATENATE("NAME_FORM_", SUBSTITUTE(UPPER(B88), " ", ""))</f>
        <v/>
      </c>
      <c r="B88" s="29" t="inlineStr">
        <is>
          <t>White Flower</t>
        </is>
      </c>
      <c r="C88" s="29" t="inlineStr">
        <is>
          <t>しろりはな</t>
        </is>
      </c>
      <c r="D88" s="29" t="inlineStr">
        <is>
          <t>Fleur Blanche</t>
        </is>
      </c>
      <c r="E88" s="29" t="inlineStr">
        <is>
          <t>Weißblütler</t>
        </is>
      </c>
      <c r="F88" s="29" t="inlineStr">
        <is>
          <t>Flor Blanca</t>
        </is>
      </c>
      <c r="G88" s="29" t="inlineStr">
        <is>
          <t>Fiore Bianco</t>
        </is>
      </c>
      <c r="H88" s="29" t="inlineStr">
        <is>
          <t>하얀 꽃</t>
        </is>
      </c>
      <c r="I88" s="29" t="inlineStr">
        <is>
          <t>白花</t>
        </is>
      </c>
      <c r="J88" s="29">
        <f>I88</f>
        <v/>
      </c>
      <c r="K88" s="29">
        <f>F88</f>
        <v/>
      </c>
    </row>
    <row r="89">
      <c r="A89" s="29">
        <f>CONCATENATE("NAME_FORM_", SUBSTITUTE(UPPER(B89), " ", ""))</f>
        <v/>
      </c>
      <c r="B89" s="29" t="inlineStr">
        <is>
          <t>Eternal Flower</t>
        </is>
      </c>
      <c r="C89" s="29" t="inlineStr">
        <is>
          <t>えいえんのはな</t>
        </is>
      </c>
      <c r="D89" s="29" t="inlineStr">
        <is>
          <t>Fleur Éternelle</t>
        </is>
      </c>
      <c r="E89" s="29" t="inlineStr">
        <is>
          <t>Ewigblütler</t>
        </is>
      </c>
      <c r="F89" s="29" t="inlineStr">
        <is>
          <t>Flor Eterna</t>
        </is>
      </c>
      <c r="G89" s="29" t="inlineStr">
        <is>
          <t>Fiore Eterno</t>
        </is>
      </c>
      <c r="H89" s="29" t="inlineStr">
        <is>
          <t>영원의 꽃</t>
        </is>
      </c>
      <c r="I89" s="29" t="inlineStr">
        <is>
          <t>永恆之花</t>
        </is>
      </c>
      <c r="J89" s="29">
        <f>IFERROR(__xludf.DUMMYFUNCTION("GOOGLETRANSLATE(I89,""zh_HANT"",""zh_HANS"")"),"永恒之花")</f>
        <v/>
      </c>
      <c r="K89" s="29">
        <f>F89</f>
        <v/>
      </c>
    </row>
    <row r="90">
      <c r="A90" s="29">
        <f>CONCATENATE("NAME_FORM_", SUBSTITUTE(UPPER(B90), " ", ""))</f>
        <v/>
      </c>
      <c r="B90" s="29" t="inlineStr">
        <is>
          <t>Natural Form</t>
        </is>
      </c>
      <c r="C90" s="29" t="inlineStr">
        <is>
          <t>やせいのすがた</t>
        </is>
      </c>
      <c r="D90" s="29" t="inlineStr">
        <is>
          <t>Forme Sauvage</t>
        </is>
      </c>
      <c r="E90" s="29" t="inlineStr">
        <is>
          <t>Zottelform</t>
        </is>
      </c>
      <c r="F90" s="29" t="inlineStr">
        <is>
          <t>Forma Salvaje</t>
        </is>
      </c>
      <c r="G90" s="29" t="inlineStr">
        <is>
          <t>Forma Selvatica</t>
        </is>
      </c>
      <c r="H90" s="29" t="inlineStr">
        <is>
          <t>야생의 모습</t>
        </is>
      </c>
      <c r="I90" s="29" t="inlineStr">
        <is>
          <t>野生的樣子</t>
        </is>
      </c>
      <c r="J90" s="29">
        <f>IFERROR(__xludf.DUMMYFUNCTION("GOOGLETRANSLATE(I90,""zh_HANT"",""zh_HANS"")"),"野生的样子")</f>
        <v/>
      </c>
      <c r="K90" s="29">
        <f>F90</f>
        <v/>
      </c>
    </row>
    <row r="91">
      <c r="A91" s="29">
        <f>CONCATENATE("NAME_FORM_", SUBSTITUTE(UPPER(B91), " ", ""))</f>
        <v/>
      </c>
      <c r="B91" s="29" t="inlineStr">
        <is>
          <t>Heart Trim</t>
        </is>
      </c>
      <c r="C91" s="29" t="inlineStr">
        <is>
          <t>ハートカット</t>
        </is>
      </c>
      <c r="D91" s="29" t="inlineStr">
        <is>
          <t>Coupe Cœur</t>
        </is>
      </c>
      <c r="E91" s="29" t="inlineStr">
        <is>
          <t>Herzchenschnitt</t>
        </is>
      </c>
      <c r="F91" s="29" t="inlineStr">
        <is>
          <t>Corte Corazón</t>
        </is>
      </c>
      <c r="G91" s="29" t="inlineStr">
        <is>
          <t>Taglio Cuore</t>
        </is>
      </c>
      <c r="H91" s="29" t="inlineStr">
        <is>
          <t>하트컷</t>
        </is>
      </c>
      <c r="I91" s="29" t="inlineStr">
        <is>
          <t>心形造型</t>
        </is>
      </c>
      <c r="J91" s="29">
        <f>I91</f>
        <v/>
      </c>
      <c r="K91" s="29">
        <f>F91</f>
        <v/>
      </c>
    </row>
    <row r="92">
      <c r="A92" s="29">
        <f>CONCATENATE("NAME_FORM_", SUBSTITUTE(UPPER(B92), " ", ""))</f>
        <v/>
      </c>
      <c r="B92" s="29" t="inlineStr">
        <is>
          <t>Star Trim</t>
        </is>
      </c>
      <c r="C92" s="29" t="inlineStr">
        <is>
          <t>スターカット</t>
        </is>
      </c>
      <c r="D92" s="29" t="inlineStr">
        <is>
          <t>Coupe Cœur</t>
        </is>
      </c>
      <c r="E92" s="29" t="inlineStr">
        <is>
          <t>Sternchenschnitt</t>
        </is>
      </c>
      <c r="F92" s="29" t="inlineStr">
        <is>
          <t>Corte Estrella</t>
        </is>
      </c>
      <c r="G92" s="29" t="inlineStr">
        <is>
          <t>Taglio Stella</t>
        </is>
      </c>
      <c r="H92" s="29" t="inlineStr">
        <is>
          <t>스타컷</t>
        </is>
      </c>
      <c r="I92" s="29" t="inlineStr">
        <is>
          <t>星形造型</t>
        </is>
      </c>
      <c r="J92" s="29">
        <f>I92</f>
        <v/>
      </c>
      <c r="K92" s="29">
        <f>F92</f>
        <v/>
      </c>
    </row>
    <row r="93">
      <c r="A93" s="29">
        <f>CONCATENATE("NAME_FORM_", SUBSTITUTE(UPPER(B93), " ", ""))</f>
        <v/>
      </c>
      <c r="B93" s="29" t="inlineStr">
        <is>
          <t>Diamond Trim</t>
        </is>
      </c>
      <c r="C93" s="29" t="inlineStr">
        <is>
          <t>ダイヤカット</t>
        </is>
      </c>
      <c r="D93" s="29" t="inlineStr">
        <is>
          <t>Coupe Diamant</t>
        </is>
      </c>
      <c r="E93" s="29" t="inlineStr">
        <is>
          <t>Diamantenschnitt</t>
        </is>
      </c>
      <c r="F93" s="29" t="inlineStr">
        <is>
          <t>Corte Rondo</t>
        </is>
      </c>
      <c r="G93" s="29" t="inlineStr">
        <is>
          <t>Taglio Diamonte</t>
        </is>
      </c>
      <c r="H93" s="29" t="inlineStr">
        <is>
          <t>다이아컷</t>
        </is>
      </c>
      <c r="I93" s="29" t="inlineStr">
        <is>
          <t>菱形造型</t>
        </is>
      </c>
      <c r="J93" s="29">
        <f>I93</f>
        <v/>
      </c>
      <c r="K93" s="29">
        <f>F93</f>
        <v/>
      </c>
    </row>
    <row r="94">
      <c r="A94" s="29">
        <f>CONCATENATE("NAME_FORM_", SUBSTITUTE(UPPER(B94), " ", ""))</f>
        <v/>
      </c>
      <c r="B94" s="29" t="inlineStr">
        <is>
          <t>Debutante Trim</t>
        </is>
      </c>
      <c r="C94" s="29" t="inlineStr">
        <is>
          <t>レヂィカット</t>
        </is>
      </c>
      <c r="D94" s="29" t="inlineStr">
        <is>
          <t>Coupe Demoiselle</t>
        </is>
      </c>
      <c r="E94" s="29" t="inlineStr">
        <is>
          <t>Fräuleinschnitt</t>
        </is>
      </c>
      <c r="F94" s="29" t="inlineStr">
        <is>
          <t>Corte Señorita</t>
        </is>
      </c>
      <c r="G94" s="29" t="inlineStr">
        <is>
          <t>Taglio Signorina</t>
        </is>
      </c>
      <c r="H94" s="29" t="inlineStr">
        <is>
          <t>레이디컷</t>
        </is>
      </c>
      <c r="I94" s="29" t="inlineStr">
        <is>
          <t>淑女造型</t>
        </is>
      </c>
      <c r="J94" s="29">
        <f>I94</f>
        <v/>
      </c>
      <c r="K94" s="29">
        <f>F94</f>
        <v/>
      </c>
    </row>
    <row r="95">
      <c r="A95" s="29">
        <f>CONCATENATE("NAME_FORM_", SUBSTITUTE(UPPER(B95), " ", ""))</f>
        <v/>
      </c>
      <c r="B95" s="29" t="inlineStr">
        <is>
          <t>Matron Trim</t>
        </is>
      </c>
      <c r="C95" s="29" t="inlineStr">
        <is>
          <t>マダムカット</t>
        </is>
      </c>
      <c r="D95" s="29" t="inlineStr">
        <is>
          <t>Coupe Madame</t>
        </is>
      </c>
      <c r="E95" s="29" t="inlineStr">
        <is>
          <t>Damenschnitt</t>
        </is>
      </c>
      <c r="F95" s="29" t="inlineStr">
        <is>
          <t>Corte Dama</t>
        </is>
      </c>
      <c r="G95" s="29" t="inlineStr">
        <is>
          <t>Taglio Gentildonna</t>
        </is>
      </c>
      <c r="H95" s="29" t="inlineStr">
        <is>
          <t>마담컷</t>
        </is>
      </c>
      <c r="I95" s="29" t="inlineStr">
        <is>
          <t>貴婦造型</t>
        </is>
      </c>
      <c r="J95" s="29">
        <f>IFERROR(__xludf.DUMMYFUNCTION("GOOGLETRANSLATE(I95,""zh_HANT"",""zh_HANS"")"),"贵妇造型")</f>
        <v/>
      </c>
      <c r="K95" s="29">
        <f>F95</f>
        <v/>
      </c>
    </row>
    <row r="96">
      <c r="A96" s="29">
        <f>CONCATENATE("NAME_FORM_", SUBSTITUTE(UPPER(B96), " ", ""))</f>
        <v/>
      </c>
      <c r="B96" s="29" t="inlineStr">
        <is>
          <t>Dandy Trim</t>
        </is>
      </c>
      <c r="C96" s="29" t="inlineStr">
        <is>
          <t>ジェントルカット</t>
        </is>
      </c>
      <c r="D96" s="29" t="inlineStr">
        <is>
          <t>Coupe Monsieur</t>
        </is>
      </c>
      <c r="E96" s="29" t="inlineStr">
        <is>
          <t>Kavaliersschnitt</t>
        </is>
      </c>
      <c r="F96" s="29" t="inlineStr">
        <is>
          <t>Corte Caballero</t>
        </is>
      </c>
      <c r="G96" s="29" t="inlineStr">
        <is>
          <t>Taglio Gentiluomo</t>
        </is>
      </c>
      <c r="H96" s="29" t="inlineStr">
        <is>
          <t>젠틀컷</t>
        </is>
      </c>
      <c r="I96" s="29" t="inlineStr">
        <is>
          <t>紳士造型</t>
        </is>
      </c>
      <c r="J96" s="29">
        <f>IFERROR(__xludf.DUMMYFUNCTION("GOOGLETRANSLATE(I96,""zh_HANT"",""zh_HANS"")"),"绅士造型")</f>
        <v/>
      </c>
      <c r="K96" s="29">
        <f>F96</f>
        <v/>
      </c>
    </row>
    <row r="97">
      <c r="A97" s="29">
        <f>CONCATENATE("NAME_FORM_", SUBSTITUTE(UPPER(B97), " ", ""))</f>
        <v/>
      </c>
      <c r="B97" s="29" t="inlineStr">
        <is>
          <t>La Reine Trim</t>
        </is>
      </c>
      <c r="C97" s="29" t="inlineStr">
        <is>
          <t>クイーンカット</t>
        </is>
      </c>
      <c r="D97" s="29" t="inlineStr">
        <is>
          <t>Coupe Reine</t>
        </is>
      </c>
      <c r="E97" s="29" t="inlineStr">
        <is>
          <t>Königinnenschnitt</t>
        </is>
      </c>
      <c r="F97" s="29" t="inlineStr">
        <is>
          <t>Corte Aristocrático</t>
        </is>
      </c>
      <c r="G97" s="29" t="inlineStr">
        <is>
          <t>Taglio Regina</t>
        </is>
      </c>
      <c r="H97" s="29" t="inlineStr">
        <is>
          <t>퀸컷</t>
        </is>
      </c>
      <c r="I97" s="29" t="inlineStr">
        <is>
          <t>女王造型</t>
        </is>
      </c>
      <c r="J97" s="29">
        <f>I97</f>
        <v/>
      </c>
      <c r="K97" s="29">
        <f>F97</f>
        <v/>
      </c>
    </row>
    <row r="98">
      <c r="A98" s="29">
        <f>CONCATENATE("NAME_FORM_", SUBSTITUTE(UPPER(B98), " ", ""))</f>
        <v/>
      </c>
      <c r="B98" s="29" t="inlineStr">
        <is>
          <t>Kabuki Trim</t>
        </is>
      </c>
      <c r="C98" s="29" t="inlineStr">
        <is>
          <t>カブキカット</t>
        </is>
      </c>
      <c r="D98" s="29" t="inlineStr">
        <is>
          <t>Coupe Kabuki</t>
        </is>
      </c>
      <c r="E98" s="29" t="inlineStr">
        <is>
          <t>Kabuki-Schnitt</t>
        </is>
      </c>
      <c r="F98" s="29" t="inlineStr">
        <is>
          <t>Corte Kabuki</t>
        </is>
      </c>
      <c r="G98" s="29" t="inlineStr">
        <is>
          <t>Taglio Kabuki</t>
        </is>
      </c>
      <c r="H98" s="29" t="inlineStr">
        <is>
          <t>가부키컷</t>
        </is>
      </c>
      <c r="I98" s="29" t="inlineStr">
        <is>
          <t>歌舞伎造型</t>
        </is>
      </c>
      <c r="J98" s="29">
        <f>I98</f>
        <v/>
      </c>
      <c r="K98" s="29">
        <f>F98</f>
        <v/>
      </c>
    </row>
    <row r="99">
      <c r="A99" s="29">
        <f>CONCATENATE("NAME_FORM_", SUBSTITUTE(UPPER(B99), " ", ""))</f>
        <v/>
      </c>
      <c r="B99" s="29" t="inlineStr">
        <is>
          <t>Pharaoh Trim</t>
        </is>
      </c>
      <c r="C99" s="29" t="inlineStr">
        <is>
          <t>キングドムカット</t>
        </is>
      </c>
      <c r="D99" s="29" t="inlineStr">
        <is>
          <t>Coupe Pharaon</t>
        </is>
      </c>
      <c r="E99" s="29" t="inlineStr">
        <is>
          <t>Herrscherschnitt</t>
        </is>
      </c>
      <c r="F99" s="29" t="inlineStr">
        <is>
          <t>Corte Faraónico</t>
        </is>
      </c>
      <c r="G99" s="29" t="inlineStr">
        <is>
          <t>Taglio Faraone</t>
        </is>
      </c>
      <c r="H99" s="29" t="inlineStr">
        <is>
          <t>킹덤컷</t>
        </is>
      </c>
      <c r="I99" s="29" t="inlineStr">
        <is>
          <t>國王造型</t>
        </is>
      </c>
      <c r="J99" s="29">
        <f>IFERROR(__xludf.DUMMYFUNCTION("GOOGLETRANSLATE(I99,""zh_HANT"",""zh_HANS"")"),"国王造型")</f>
        <v/>
      </c>
      <c r="K99" s="29">
        <f>F99</f>
        <v/>
      </c>
    </row>
    <row r="100">
      <c r="A100" s="29">
        <f>CONCATENATE("NAME_FORM_", SUBSTITUTE(UPPER(B100), " ", ""))</f>
        <v/>
      </c>
      <c r="B100" s="29" t="inlineStr">
        <is>
          <t>Shield Forme</t>
        </is>
      </c>
      <c r="C100" s="29" t="inlineStr">
        <is>
          <t>シールドフォルム</t>
        </is>
      </c>
      <c r="D100" s="29" t="inlineStr">
        <is>
          <t>Forme Parade</t>
        </is>
      </c>
      <c r="E100" s="29" t="inlineStr">
        <is>
          <t>Schildform</t>
        </is>
      </c>
      <c r="F100" s="29" t="inlineStr">
        <is>
          <t>Forma Escudo</t>
        </is>
      </c>
      <c r="G100" s="29" t="inlineStr">
        <is>
          <t>Forma Scudo</t>
        </is>
      </c>
      <c r="H100" s="29" t="inlineStr">
        <is>
          <t>실드폼</t>
        </is>
      </c>
      <c r="I100" s="29" t="inlineStr">
        <is>
          <t>盾牌形態</t>
        </is>
      </c>
      <c r="J100" s="29">
        <f>IFERROR(__xludf.DUMMYFUNCTION("GOOGLETRANSLATE(I100,""zh_HANT"",""zh_HANS"")"),"盾牌形态")</f>
        <v/>
      </c>
      <c r="K100" s="29">
        <f>F100</f>
        <v/>
      </c>
    </row>
    <row r="101">
      <c r="A101" s="29">
        <f>CONCATENATE("NAME_FORM_", SUBSTITUTE(UPPER(B101), " ", ""))</f>
        <v/>
      </c>
      <c r="B101" s="29" t="inlineStr">
        <is>
          <t>Blade Forme</t>
        </is>
      </c>
      <c r="C101" s="29" t="inlineStr">
        <is>
          <t>ブレードフォルム</t>
        </is>
      </c>
      <c r="D101" s="29" t="inlineStr">
        <is>
          <t>Forme Assaut</t>
        </is>
      </c>
      <c r="E101" s="29" t="inlineStr">
        <is>
          <t>Klingenform</t>
        </is>
      </c>
      <c r="F101" s="29" t="inlineStr">
        <is>
          <t>Forma Filo</t>
        </is>
      </c>
      <c r="G101" s="29" t="inlineStr">
        <is>
          <t>Forma Spada</t>
        </is>
      </c>
      <c r="H101" s="29" t="inlineStr">
        <is>
          <t>블레이드폼</t>
        </is>
      </c>
      <c r="I101" s="29" t="inlineStr">
        <is>
          <t>刀劍形態</t>
        </is>
      </c>
      <c r="J101" s="29">
        <f>IFERROR(__xludf.DUMMYFUNCTION("GOOGLETRANSLATE(I101,""zh_HANT"",""zh_HANS"")"),"刀剑形态")</f>
        <v/>
      </c>
      <c r="K101" s="29">
        <f>F101</f>
        <v/>
      </c>
    </row>
    <row r="102">
      <c r="A102" s="29">
        <f>CONCATENATE("NAME_FORM_", SUBSTITUTE(UPPER(B102), " ", ""))</f>
        <v/>
      </c>
      <c r="B102" s="29" t="inlineStr">
        <is>
          <t>Small Size</t>
        </is>
      </c>
      <c r="C102" s="29" t="inlineStr">
        <is>
          <t>ちいさいサイズ</t>
        </is>
      </c>
      <c r="D102" s="29" t="inlineStr">
        <is>
          <t>Taille Mini</t>
        </is>
      </c>
      <c r="E102" s="29" t="inlineStr">
        <is>
          <t>Größe S</t>
        </is>
      </c>
      <c r="F102" s="29" t="inlineStr">
        <is>
          <t>Tamaño Pequeño</t>
        </is>
      </c>
      <c r="G102" s="29" t="inlineStr">
        <is>
          <t>Mini</t>
        </is>
      </c>
      <c r="H102" s="29" t="inlineStr">
        <is>
          <t>작은 사이즈</t>
        </is>
      </c>
      <c r="I102" s="29" t="inlineStr">
        <is>
          <t>小尺寸</t>
        </is>
      </c>
      <c r="J102" s="29">
        <f>I102</f>
        <v/>
      </c>
      <c r="K102" s="29">
        <f>F102</f>
        <v/>
      </c>
    </row>
    <row r="103">
      <c r="A103" s="29">
        <f>CONCATENATE("NAME_FORM_", SUBSTITUTE(UPPER(B103), " ", ""))</f>
        <v/>
      </c>
      <c r="B103" s="29" t="inlineStr">
        <is>
          <t>Average Size</t>
        </is>
      </c>
      <c r="C103" s="29" t="inlineStr">
        <is>
          <t>ふつうのサイズ</t>
        </is>
      </c>
      <c r="D103" s="29" t="inlineStr">
        <is>
          <t>Taille Normale</t>
        </is>
      </c>
      <c r="E103" s="29" t="inlineStr">
        <is>
          <t>Größe M</t>
        </is>
      </c>
      <c r="F103" s="29" t="inlineStr">
        <is>
          <t>Tamaño Normal</t>
        </is>
      </c>
      <c r="G103" s="29" t="inlineStr">
        <is>
          <t>Normale</t>
        </is>
      </c>
      <c r="H103" s="29" t="inlineStr">
        <is>
          <t>보통 사이즈</t>
        </is>
      </c>
      <c r="I103" s="29" t="inlineStr">
        <is>
          <t>普通尺寸</t>
        </is>
      </c>
      <c r="J103" s="29">
        <f>I103</f>
        <v/>
      </c>
      <c r="K103" s="29">
        <f>F103</f>
        <v/>
      </c>
    </row>
    <row r="104">
      <c r="A104" s="29">
        <f>CONCATENATE("NAME_FORM_", SUBSTITUTE(UPPER(B104), " ", ""))</f>
        <v/>
      </c>
      <c r="B104" s="29" t="inlineStr">
        <is>
          <t>Large Size</t>
        </is>
      </c>
      <c r="C104" s="29" t="inlineStr">
        <is>
          <t>おおきいサイズ</t>
        </is>
      </c>
      <c r="D104" s="29" t="inlineStr">
        <is>
          <t>Taille Maxi</t>
        </is>
      </c>
      <c r="E104" s="29" t="inlineStr">
        <is>
          <t>Größe L</t>
        </is>
      </c>
      <c r="F104" s="29" t="inlineStr">
        <is>
          <t>Tamaño Grande</t>
        </is>
      </c>
      <c r="G104" s="29" t="inlineStr">
        <is>
          <t>Grande</t>
        </is>
      </c>
      <c r="H104" s="29" t="inlineStr">
        <is>
          <t>큰 사이즈</t>
        </is>
      </c>
      <c r="I104" s="29" t="inlineStr">
        <is>
          <t>大尺寸</t>
        </is>
      </c>
      <c r="J104" s="29">
        <f>I104</f>
        <v/>
      </c>
      <c r="K104" s="29">
        <f>F104</f>
        <v/>
      </c>
    </row>
    <row r="105">
      <c r="A105" s="29">
        <f>CONCATENATE("NAME_FORM_", SUBSTITUTE(UPPER(B105), " ", ""))</f>
        <v/>
      </c>
      <c r="B105" s="29" t="inlineStr">
        <is>
          <t>Super Size</t>
        </is>
      </c>
      <c r="C105" s="29" t="inlineStr">
        <is>
          <t>とくだいサイズ</t>
        </is>
      </c>
      <c r="D105" s="29" t="inlineStr">
        <is>
          <t>Taille Ultra</t>
        </is>
      </c>
      <c r="E105" s="29" t="inlineStr">
        <is>
          <t>Größe XL</t>
        </is>
      </c>
      <c r="F105" s="29" t="inlineStr">
        <is>
          <t>Tamaño Extragrande</t>
        </is>
      </c>
      <c r="G105" s="29" t="inlineStr">
        <is>
          <t>Maxi</t>
        </is>
      </c>
      <c r="H105" s="29" t="inlineStr">
        <is>
          <t>특대 사이즈</t>
        </is>
      </c>
      <c r="I105" s="29" t="inlineStr">
        <is>
          <t>特大尺寸</t>
        </is>
      </c>
      <c r="J105" s="29">
        <f>I105</f>
        <v/>
      </c>
      <c r="K105" s="29">
        <f>F105</f>
        <v/>
      </c>
    </row>
    <row r="106">
      <c r="A106" s="29">
        <f>CONCATENATE("NAME_FORM_", SUBSTITUTE(UPPER(B106), " ", ""))</f>
        <v/>
      </c>
      <c r="B106" s="29" t="inlineStr">
        <is>
          <t>Neutral Mode</t>
        </is>
      </c>
      <c r="C106" s="29" t="inlineStr">
        <is>
          <t>リラックスモード</t>
        </is>
      </c>
      <c r="D106" s="29" t="inlineStr">
        <is>
          <t>Mode Paisible</t>
        </is>
      </c>
      <c r="E106" s="29" t="inlineStr">
        <is>
          <t>Ruhe-Modus</t>
        </is>
      </c>
      <c r="F106" s="29" t="inlineStr">
        <is>
          <t>Modo Relajado</t>
        </is>
      </c>
      <c r="G106" s="29" t="inlineStr">
        <is>
          <t>Modo Relax</t>
        </is>
      </c>
      <c r="H106" s="29" t="inlineStr">
        <is>
          <t>릴랙스모드</t>
        </is>
      </c>
      <c r="I106" s="29" t="inlineStr">
        <is>
          <t>放鬆模式</t>
        </is>
      </c>
      <c r="J106" s="29">
        <f>IFERROR(__xludf.DUMMYFUNCTION("GOOGLETRANSLATE(I106,""zh_HANT"",""zh_HANS"")"),"放松模式")</f>
        <v/>
      </c>
      <c r="K106" s="29">
        <f>F106</f>
        <v/>
      </c>
    </row>
    <row r="107">
      <c r="A107" s="29">
        <f>CONCATENATE("NAME_FORM_", SUBSTITUTE(UPPER(B107), " ", ""))</f>
        <v/>
      </c>
      <c r="B107" s="29" t="inlineStr">
        <is>
          <t>Active Mode</t>
        </is>
      </c>
      <c r="C107" s="29" t="inlineStr">
        <is>
          <t>アクティブモード</t>
        </is>
      </c>
      <c r="D107" s="29" t="inlineStr">
        <is>
          <t>Mode Déchaîné</t>
        </is>
      </c>
      <c r="E107" s="29" t="inlineStr">
        <is>
          <t>Aktiv-Modus</t>
        </is>
      </c>
      <c r="F107" s="29" t="inlineStr">
        <is>
          <t>Modo Activo</t>
        </is>
      </c>
      <c r="G107" s="29" t="inlineStr">
        <is>
          <t>Modo Attivo</t>
        </is>
      </c>
      <c r="H107" s="29" t="inlineStr">
        <is>
          <t>액티브모드</t>
        </is>
      </c>
      <c r="I107" s="29" t="inlineStr">
        <is>
          <t>活躍模式</t>
        </is>
      </c>
      <c r="J107" s="29">
        <f>IFERROR(__xludf.DUMMYFUNCTION("GOOGLETRANSLATE(I107,""zh_HANT"",""zh_HANS"")"),"活跃模式")</f>
        <v/>
      </c>
      <c r="K107" s="29">
        <f>F107</f>
        <v/>
      </c>
    </row>
    <row r="108">
      <c r="A108" s="29">
        <f>CONCATENATE("NAME_FORM_", SUBSTITUTE(UPPER(B108), " ", ""))</f>
        <v/>
      </c>
      <c r="B108" s="29" t="inlineStr">
        <is>
          <t>10% Forme</t>
        </is>
      </c>
      <c r="C108" s="29" t="inlineStr">
        <is>
          <t>１０％フォルム</t>
        </is>
      </c>
      <c r="D108" s="29" t="inlineStr">
        <is>
          <t>Forme 10%</t>
        </is>
      </c>
      <c r="E108" s="29" t="inlineStr">
        <is>
          <t>10%-Zygarde</t>
        </is>
      </c>
      <c r="F108" s="29" t="inlineStr">
        <is>
          <t>Al 10%</t>
        </is>
      </c>
      <c r="G108" s="29" t="inlineStr">
        <is>
          <t>Forma 10%</t>
        </is>
      </c>
      <c r="H108" s="29" t="inlineStr">
        <is>
          <t>１０％폼</t>
        </is>
      </c>
      <c r="I108" s="29" t="inlineStr">
        <is>
          <t>１０％形態</t>
        </is>
      </c>
      <c r="J108" s="29">
        <f>IFERROR(__xludf.DUMMYFUNCTION("GOOGLETRANSLATE(I108,""zh_HANT"",""zh_HANS"")"),"１０％形态")</f>
        <v/>
      </c>
      <c r="K108" s="29">
        <f>F108</f>
        <v/>
      </c>
    </row>
    <row r="109">
      <c r="A109" s="29">
        <f>CONCATENATE("NAME_FORM_", SUBSTITUTE(UPPER(B109), " ", ""))</f>
        <v/>
      </c>
      <c r="B109" s="29" t="inlineStr">
        <is>
          <t>50% Forme</t>
        </is>
      </c>
      <c r="C109" s="29" t="inlineStr">
        <is>
          <t>５０％フォルム</t>
        </is>
      </c>
      <c r="D109" s="29" t="inlineStr">
        <is>
          <t>Forme 50%</t>
        </is>
      </c>
      <c r="E109" s="29" t="inlineStr">
        <is>
          <t>50%-Zygarde</t>
        </is>
      </c>
      <c r="F109" s="29" t="inlineStr">
        <is>
          <t>Al 50%</t>
        </is>
      </c>
      <c r="G109" s="29" t="inlineStr">
        <is>
          <t>Forma 50%</t>
        </is>
      </c>
      <c r="H109" s="29" t="inlineStr">
        <is>
          <t>５０％폼</t>
        </is>
      </c>
      <c r="I109" s="29" t="inlineStr">
        <is>
          <t>５０％形態</t>
        </is>
      </c>
      <c r="J109" s="29">
        <f>IFERROR(__xludf.DUMMYFUNCTION("GOOGLETRANSLATE(I109,""zh_HANT"",""zh_HANS"")"),"５０％形态")</f>
        <v/>
      </c>
      <c r="K109" s="29">
        <f>F109</f>
        <v/>
      </c>
    </row>
    <row r="110">
      <c r="A110" s="29">
        <f>CONCATENATE("NAME_FORM_", SUBSTITUTE(UPPER(B110), " ", ""))</f>
        <v/>
      </c>
      <c r="B110" s="29" t="inlineStr">
        <is>
          <t>Complete Forme</t>
        </is>
      </c>
      <c r="C110" s="29" t="inlineStr">
        <is>
          <t>パーフェクトフォルム</t>
        </is>
      </c>
      <c r="D110" s="29" t="inlineStr">
        <is>
          <t>Forme Parfaite</t>
        </is>
      </c>
      <c r="E110" s="29" t="inlineStr">
        <is>
          <t>Optimum-Zygarde</t>
        </is>
      </c>
      <c r="F110" s="29" t="inlineStr">
        <is>
          <t>Forma Completa</t>
        </is>
      </c>
      <c r="G110" s="11" t="inlineStr">
        <is>
          <t>Forma Perfetta</t>
        </is>
      </c>
      <c r="H110" s="29" t="inlineStr">
        <is>
          <t>퍼펙트폼</t>
        </is>
      </c>
      <c r="I110" s="29" t="inlineStr">
        <is>
          <t>完全體形態</t>
        </is>
      </c>
      <c r="J110" s="29">
        <f>IFERROR(__xludf.DUMMYFUNCTION("GOOGLETRANSLATE(I110,""zh_HANT"",""zh_HANS"")"),"完全体形态")</f>
        <v/>
      </c>
      <c r="K110" s="29">
        <f>F110</f>
        <v/>
      </c>
    </row>
    <row r="111">
      <c r="A111" s="29">
        <f>CONCATENATE("NAME_FORM_", SUBSTITUTE(UPPER(B111), " ", ""))</f>
        <v/>
      </c>
      <c r="B111" s="29" t="inlineStr">
        <is>
          <t>Hoopa Confined</t>
        </is>
      </c>
      <c r="C111" s="29">
        <f>CONCATENATE("いましめられし",Pokemon!C721)</f>
        <v/>
      </c>
      <c r="D111" s="29" t="inlineStr">
        <is>
          <t>Hoopa Enchaîné</t>
        </is>
      </c>
      <c r="E111" s="29" t="inlineStr">
        <is>
          <t>Gebanntes Hoopa</t>
        </is>
      </c>
      <c r="F111" s="29" t="inlineStr">
        <is>
          <t>Hoopa Contendio</t>
        </is>
      </c>
      <c r="G111" s="29" t="inlineStr">
        <is>
          <t>Hoopa Vincolato</t>
        </is>
      </c>
      <c r="H111" s="29" t="inlineStr">
        <is>
          <t xml:space="preserve">굴레에 빠진 후파 </t>
        </is>
      </c>
      <c r="I111" s="29" t="inlineStr">
        <is>
          <t>懲戒胡帕</t>
        </is>
      </c>
      <c r="J111" s="29">
        <f>IFERROR(__xludf.DUMMYFUNCTION("GOOGLETRANSLATE(I111,""zh_HANT"",""zh_HANS"")"),"惩戒胡帕")</f>
        <v/>
      </c>
      <c r="K111" s="29">
        <f>F111</f>
        <v/>
      </c>
    </row>
    <row r="112">
      <c r="A112" s="29">
        <f>CONCATENATE("NAME_FORM_", SUBSTITUTE(UPPER(B112), " ", ""))</f>
        <v/>
      </c>
      <c r="B112" s="29" t="inlineStr">
        <is>
          <t>Hoopa Unbound</t>
        </is>
      </c>
      <c r="C112" s="29">
        <f>CONCATENATE("ときはなたれし",Pokemon!C721)</f>
        <v/>
      </c>
      <c r="D112" s="29" t="inlineStr">
        <is>
          <t>Hoopa Déchaîné</t>
        </is>
      </c>
      <c r="E112" s="29" t="inlineStr">
        <is>
          <t>Entfesseltes Hoopa</t>
        </is>
      </c>
      <c r="F112" s="29" t="inlineStr">
        <is>
          <t>Hoopa Desatado</t>
        </is>
      </c>
      <c r="G112" s="29" t="inlineStr">
        <is>
          <t>Hoopa Libero</t>
        </is>
      </c>
      <c r="H112" s="29" t="inlineStr">
        <is>
          <t>굴레를 벗어난 후파</t>
        </is>
      </c>
      <c r="I112" s="29" t="inlineStr">
        <is>
          <t>解放胡帕</t>
        </is>
      </c>
      <c r="J112" s="29">
        <f>I112</f>
        <v/>
      </c>
      <c r="K112" s="29">
        <f>F112</f>
        <v/>
      </c>
    </row>
    <row r="113">
      <c r="A113" s="29">
        <f>CONCATENATE("NAME_FORM_", SUBSTITUTE(UPPER(B113), " ", ""))</f>
        <v/>
      </c>
      <c r="B113" s="29" t="inlineStr">
        <is>
          <t>Alolan Form</t>
        </is>
      </c>
      <c r="C113" s="29" t="inlineStr">
        <is>
          <t>アローラのすがた</t>
        </is>
      </c>
      <c r="D113" s="29" t="inlineStr">
        <is>
          <t>Forme d'Alola</t>
        </is>
      </c>
      <c r="E113" s="29" t="inlineStr">
        <is>
          <t>Alola-Form</t>
        </is>
      </c>
      <c r="F113" s="29" t="inlineStr">
        <is>
          <t>Forma de Alola</t>
        </is>
      </c>
      <c r="G113" s="29" t="inlineStr">
        <is>
          <t>Forma di Alola</t>
        </is>
      </c>
      <c r="H113" s="29" t="inlineStr">
        <is>
          <t>알로라의 모습</t>
        </is>
      </c>
      <c r="I113" s="29" t="inlineStr">
        <is>
          <t>阿羅拉的樣子</t>
        </is>
      </c>
      <c r="J113" s="29">
        <f>IFERROR(__xludf.DUMMYFUNCTION("GOOGLETRANSLATE(I113,""zh_HANT"",""zh_HANS"")"),"阿罗拉的样子")</f>
        <v/>
      </c>
      <c r="K113" s="29">
        <f>F113</f>
        <v/>
      </c>
    </row>
    <row r="114">
      <c r="A114" s="29">
        <f>CONCATENATE("NAME_FORM_", SUBSTITUTE(UPPER(B114), " ", ""))</f>
        <v/>
      </c>
      <c r="B114" s="29" t="inlineStr">
        <is>
          <t>Baile Style</t>
        </is>
      </c>
      <c r="C114" s="29" t="inlineStr">
        <is>
          <t>めらめらスタイル</t>
        </is>
      </c>
      <c r="D114" s="29" t="inlineStr">
        <is>
          <t>Style Flamenco</t>
        </is>
      </c>
      <c r="E114" s="29" t="inlineStr">
        <is>
          <t>Flamenco-Stil</t>
        </is>
      </c>
      <c r="F114" s="29" t="inlineStr">
        <is>
          <t>Estilo Apasionado</t>
        </is>
      </c>
      <c r="G114" s="29" t="inlineStr">
        <is>
          <t>Stile Flamenco</t>
        </is>
      </c>
      <c r="H114" s="29" t="inlineStr">
        <is>
          <t>이글이글스타일</t>
        </is>
      </c>
      <c r="I114" s="29" t="inlineStr">
        <is>
          <t>熱辣熱辣風格</t>
        </is>
      </c>
      <c r="J114" s="29">
        <f>IFERROR(__xludf.DUMMYFUNCTION("GOOGLETRANSLATE(I114,""zh_HANT"",""zh_HANS"")"),"热辣热辣风格")</f>
        <v/>
      </c>
      <c r="K114" s="29">
        <f>F114</f>
        <v/>
      </c>
    </row>
    <row r="115">
      <c r="A115" s="29" t="inlineStr">
        <is>
          <t>NAME_FORM_POMPOMSTYLE</t>
        </is>
      </c>
      <c r="B115" s="29" t="inlineStr">
        <is>
          <t>Pom-Pom Style</t>
        </is>
      </c>
      <c r="C115" s="29" t="inlineStr">
        <is>
          <t>ぱちぱちスタイル</t>
        </is>
      </c>
      <c r="D115" s="29" t="inlineStr">
        <is>
          <t>Style Pom-Pom</t>
        </is>
      </c>
      <c r="E115" s="29" t="inlineStr">
        <is>
          <t>Cheerleading-Stil</t>
        </is>
      </c>
      <c r="F115" s="29" t="inlineStr">
        <is>
          <t>Estilo Animado</t>
        </is>
      </c>
      <c r="G115" s="29" t="inlineStr">
        <is>
          <t>Stile Cheerdance</t>
        </is>
      </c>
      <c r="H115" s="29" t="inlineStr">
        <is>
          <t>파칙파칙스타일</t>
        </is>
      </c>
      <c r="I115" s="29" t="inlineStr">
        <is>
          <t>啪滋啪滋風格</t>
        </is>
      </c>
      <c r="J115" s="29">
        <f>IFERROR(__xludf.DUMMYFUNCTION("GOOGLETRANSLATE(I115,""zh_HANT"",""zh_HANS"")"),"啪滋啪滋风格")</f>
        <v/>
      </c>
      <c r="K115" s="29">
        <f>F115</f>
        <v/>
      </c>
    </row>
    <row r="116">
      <c r="A116" s="29" t="inlineStr">
        <is>
          <t>NAME_FORM_PAUSTYLE</t>
        </is>
      </c>
      <c r="B116" s="29" t="inlineStr">
        <is>
          <t>Pa'u Style</t>
        </is>
      </c>
      <c r="C116" s="29" t="inlineStr">
        <is>
          <t>ふらふらスタイル</t>
        </is>
      </c>
      <c r="D116" s="29" t="inlineStr">
        <is>
          <t>Style Hula</t>
        </is>
      </c>
      <c r="E116" s="29" t="inlineStr">
        <is>
          <t>Hula-Stil</t>
        </is>
      </c>
      <c r="F116" s="29" t="inlineStr">
        <is>
          <t>Estilo Plácido</t>
        </is>
      </c>
      <c r="G116" s="29" t="inlineStr">
        <is>
          <t>Stile Hula</t>
        </is>
      </c>
      <c r="H116" s="29" t="inlineStr">
        <is>
          <t>훌라훌라스타일</t>
        </is>
      </c>
      <c r="I116" s="29" t="inlineStr">
        <is>
          <t>呼拉呼拉風格</t>
        </is>
      </c>
      <c r="J116" s="29">
        <f>IFERROR(__xludf.DUMMYFUNCTION("GOOGLETRANSLATE(I116,""zh_HANT"",""zh_HANS"")"),"呼拉呼拉风格")</f>
        <v/>
      </c>
      <c r="K116" s="29">
        <f>F116</f>
        <v/>
      </c>
    </row>
    <row r="117">
      <c r="A117" s="29">
        <f>CONCATENATE("NAME_FORM_", SUBSTITUTE(UPPER(B117), " ", ""))</f>
        <v/>
      </c>
      <c r="B117" s="29" t="inlineStr">
        <is>
          <t>Sensu Style</t>
        </is>
      </c>
      <c r="C117" s="29" t="inlineStr">
        <is>
          <t>まいまいスタイル</t>
        </is>
      </c>
      <c r="D117" s="29" t="inlineStr">
        <is>
          <t>Style Buyō</t>
        </is>
      </c>
      <c r="E117" s="29" t="inlineStr">
        <is>
          <t>Buyo-Stil</t>
        </is>
      </c>
      <c r="F117" s="29" t="inlineStr">
        <is>
          <t>Estilo Refinado</t>
        </is>
      </c>
      <c r="G117" s="29" t="inlineStr">
        <is>
          <t>Stile Buyō</t>
        </is>
      </c>
      <c r="H117" s="29" t="inlineStr">
        <is>
          <t>하늘하늘스타일</t>
        </is>
      </c>
      <c r="I117" s="29" t="inlineStr">
        <is>
          <t>輕盈輕盈風格</t>
        </is>
      </c>
      <c r="J117" s="29">
        <f>IFERROR(__xludf.DUMMYFUNCTION("GOOGLETRANSLATE(I117,""zh_HANT"",""zh_HANS"")"),"轻盈轻盈风格")</f>
        <v/>
      </c>
      <c r="K117" s="29">
        <f>F117</f>
        <v/>
      </c>
    </row>
    <row r="118">
      <c r="A118" s="29">
        <f>CONCATENATE("NAME_FORM_", SUBSTITUTE(UPPER(B118), " ", ""))</f>
        <v/>
      </c>
      <c r="B118" s="29" t="inlineStr">
        <is>
          <t>Midday Form</t>
        </is>
      </c>
      <c r="C118" s="29" t="inlineStr">
        <is>
          <t>まひるのすがた</t>
        </is>
      </c>
      <c r="D118" s="29" t="inlineStr">
        <is>
          <t>Forme Diurne</t>
        </is>
      </c>
      <c r="E118" s="29" t="inlineStr">
        <is>
          <t>Tagform</t>
        </is>
      </c>
      <c r="F118" s="29" t="inlineStr">
        <is>
          <t>Forma Diurna</t>
        </is>
      </c>
      <c r="G118" s="29" t="inlineStr">
        <is>
          <t>Forma Giorno</t>
        </is>
      </c>
      <c r="H118" s="29" t="inlineStr">
        <is>
          <t>한낮의 모습</t>
        </is>
      </c>
      <c r="I118" s="29" t="inlineStr">
        <is>
          <t>白晝的樣子</t>
        </is>
      </c>
      <c r="J118" s="29">
        <f>IFERROR(__xludf.DUMMYFUNCTION("GOOGLETRANSLATE(I118,""zh_HANT"",""zh_HANS"")"),"白昼的样子")</f>
        <v/>
      </c>
      <c r="K118" s="29">
        <f>F118</f>
        <v/>
      </c>
    </row>
    <row r="119">
      <c r="A119" s="29">
        <f>CONCATENATE("NAME_FORM_", SUBSTITUTE(UPPER(B119), " ", ""))</f>
        <v/>
      </c>
      <c r="B119" s="29" t="inlineStr">
        <is>
          <t>Midnight Form</t>
        </is>
      </c>
      <c r="C119" s="29" t="inlineStr">
        <is>
          <t>まよなのすがた</t>
        </is>
      </c>
      <c r="D119" s="29" t="inlineStr">
        <is>
          <t>Forme Nocturne</t>
        </is>
      </c>
      <c r="E119" s="29" t="inlineStr">
        <is>
          <t>Nachtform</t>
        </is>
      </c>
      <c r="F119" s="29" t="inlineStr">
        <is>
          <t>Forma Nocturna</t>
        </is>
      </c>
      <c r="G119" s="29" t="inlineStr">
        <is>
          <t>Forma Notte</t>
        </is>
      </c>
      <c r="H119" s="29" t="inlineStr">
        <is>
          <t>한밤중의 모습</t>
        </is>
      </c>
      <c r="I119" s="29" t="inlineStr">
        <is>
          <t>黑夜的樣子</t>
        </is>
      </c>
      <c r="J119" s="29">
        <f>IFERROR(__xludf.DUMMYFUNCTION("GOOGLETRANSLATE(I119,""zh_HANT"",""zh_HANS"")"),"黑夜的样子")</f>
        <v/>
      </c>
      <c r="K119" s="29">
        <f>F119</f>
        <v/>
      </c>
    </row>
    <row r="120">
      <c r="A120" s="29">
        <f>CONCATENATE("NAME_FORM_", SUBSTITUTE(UPPER(B120), " ", ""))</f>
        <v/>
      </c>
      <c r="B120" s="29" t="inlineStr">
        <is>
          <t>Dusk Form</t>
        </is>
      </c>
      <c r="C120" s="29" t="inlineStr">
        <is>
          <t>たそがれのすがた</t>
        </is>
      </c>
      <c r="D120" s="29" t="inlineStr">
        <is>
          <t>Forme Crépusculaire</t>
        </is>
      </c>
      <c r="E120" s="29" t="inlineStr">
        <is>
          <t>Zwielichtform</t>
        </is>
      </c>
      <c r="F120" s="29" t="inlineStr">
        <is>
          <t>Forma Crepuscular</t>
        </is>
      </c>
      <c r="G120" s="29" t="inlineStr">
        <is>
          <t>Forma Crepuscolo</t>
        </is>
      </c>
      <c r="H120" s="29" t="inlineStr">
        <is>
          <t>황혼의 모습</t>
        </is>
      </c>
      <c r="I120" s="29" t="inlineStr">
        <is>
          <t>黃昏的樣子</t>
        </is>
      </c>
      <c r="J120" s="29">
        <f>IFERROR(__xludf.DUMMYFUNCTION("GOOGLETRANSLATE(I120,""zh_HANT"",""zh_HANS"")"),"黄昏的样子")</f>
        <v/>
      </c>
      <c r="K120" s="29">
        <f>F120</f>
        <v/>
      </c>
    </row>
    <row r="121">
      <c r="A121" s="29">
        <f>CONCATENATE("NAME_FORM_", SUBSTITUTE(UPPER(B121), " ", ""))</f>
        <v/>
      </c>
      <c r="B121" s="29" t="inlineStr">
        <is>
          <t>Solo Form</t>
        </is>
      </c>
      <c r="C121" s="29" t="inlineStr">
        <is>
          <t>たんどくのすがた</t>
        </is>
      </c>
      <c r="D121" s="29" t="inlineStr">
        <is>
          <t>Forme Solitaire</t>
        </is>
      </c>
      <c r="E121" s="29" t="inlineStr">
        <is>
          <t>Einzelform</t>
        </is>
      </c>
      <c r="F121" s="29" t="inlineStr">
        <is>
          <t>Forma Individual</t>
        </is>
      </c>
      <c r="G121" s="29" t="inlineStr">
        <is>
          <t>Forma Individuale</t>
        </is>
      </c>
      <c r="H121" s="29" t="inlineStr">
        <is>
          <t>단독의 모습</t>
        </is>
      </c>
      <c r="I121" s="29" t="inlineStr">
        <is>
          <t>單獨的樣子</t>
        </is>
      </c>
      <c r="J121" s="29">
        <f>IFERROR(__xludf.DUMMYFUNCTION("GOOGLETRANSLATE(I121,""zh_HANT"",""zh_HANS"")"),"单独的样子")</f>
        <v/>
      </c>
      <c r="K121" s="29">
        <f>F121</f>
        <v/>
      </c>
    </row>
    <row r="122">
      <c r="A122" s="29">
        <f>CONCATENATE("NAME_FORM_", SUBSTITUTE(UPPER(B122), " ", ""))</f>
        <v/>
      </c>
      <c r="B122" s="29" t="inlineStr">
        <is>
          <t>School Form</t>
        </is>
      </c>
      <c r="C122" s="29" t="inlineStr">
        <is>
          <t>むれたすがた</t>
        </is>
      </c>
      <c r="D122" s="29" t="inlineStr">
        <is>
          <t>Forme Banc</t>
        </is>
      </c>
      <c r="E122" s="29" t="inlineStr">
        <is>
          <t>Schwarmform</t>
        </is>
      </c>
      <c r="F122" s="29">
        <f>G122</f>
        <v/>
      </c>
      <c r="G122" s="29" t="inlineStr">
        <is>
          <t>Forma Banco</t>
        </is>
      </c>
      <c r="H122" s="29" t="inlineStr">
        <is>
          <t>군집의 모습</t>
        </is>
      </c>
      <c r="I122" s="29" t="inlineStr">
        <is>
          <t>魚群的樣子</t>
        </is>
      </c>
      <c r="J122" s="29">
        <f>IFERROR(__xludf.DUMMYFUNCTION("GOOGLETRANSLATE(I122,""zh_HANT"",""zh_HANS"")"),"鱼群的样子")</f>
        <v/>
      </c>
      <c r="K122" s="29">
        <f>F122</f>
        <v/>
      </c>
    </row>
    <row r="123">
      <c r="A123" s="29">
        <f>CONCATENATE("NAME_FORM_", SUBSTITUTE(UPPER(B123), " ", ""))</f>
        <v/>
      </c>
      <c r="B123" s="29" t="inlineStr">
        <is>
          <t>Type: Normal</t>
        </is>
      </c>
      <c r="C123" s="29">
        <f>CONCATENATE("タイプ：", Types!C2)</f>
        <v/>
      </c>
      <c r="D123" s="29" t="inlineStr">
        <is>
          <t>Type: Normal</t>
        </is>
      </c>
      <c r="E123" s="29">
        <f>CONCATENATE("Typ:",Types!E2)</f>
        <v/>
      </c>
      <c r="F123" s="29">
        <f>CONCATENATE("Tipo ",Types!F2)</f>
        <v/>
      </c>
      <c r="G123" s="29">
        <f>CONCATENATE("Tipo ",Types!G2)</f>
        <v/>
      </c>
      <c r="H123" s="29">
        <f>CONCATENATE("타입：",Types!H2)</f>
        <v/>
      </c>
      <c r="I123" s="29">
        <f>IFERROR(__xludf.DUMMYFUNCTION("GOOGLETRANSLATE(J123,""zh_HANS"",""zh_HANT"")"),"屬性：一般")</f>
        <v/>
      </c>
      <c r="J123" s="29">
        <f>CONCATENATE("属性：",Types!J2)</f>
        <v/>
      </c>
      <c r="K123" s="29">
        <f>F123</f>
        <v/>
      </c>
    </row>
    <row r="124">
      <c r="A124" s="29">
        <f>CONCATENATE("NAME_FORM_", SUBSTITUTE(UPPER(B124), " ", ""))</f>
        <v/>
      </c>
      <c r="B124" s="29" t="inlineStr">
        <is>
          <t>Type: Fighting</t>
        </is>
      </c>
      <c r="C124" s="29">
        <f>CONCATENATE("タイプ：", Types!C3)</f>
        <v/>
      </c>
      <c r="D124" s="29" t="inlineStr">
        <is>
          <t>Type: Combat</t>
        </is>
      </c>
      <c r="E124" s="29">
        <f>CONCATENATE("Typ:",Types!E3)</f>
        <v/>
      </c>
      <c r="F124" s="29">
        <f>CONCATENATE("Tipo ",Types!F3)</f>
        <v/>
      </c>
      <c r="G124" s="29">
        <f>CONCATENATE("Tipo ",Types!G3)</f>
        <v/>
      </c>
      <c r="H124" s="29">
        <f>CONCATENATE("타입：",Types!H3)</f>
        <v/>
      </c>
      <c r="I124" s="29">
        <f>IFERROR(__xludf.DUMMYFUNCTION("GOOGLETRANSLATE(J124,""zh_HANS"",""zh_HANT"")"),"屬性：格鬥")</f>
        <v/>
      </c>
      <c r="J124" s="29">
        <f>CONCATENATE("属性：",Types!J3)</f>
        <v/>
      </c>
      <c r="K124" s="29">
        <f>F124</f>
        <v/>
      </c>
    </row>
    <row r="125">
      <c r="A125" s="29">
        <f>CONCATENATE("NAME_FORM_", SUBSTITUTE(UPPER(B125), " ", ""))</f>
        <v/>
      </c>
      <c r="B125" s="29" t="inlineStr">
        <is>
          <t>Type: Flying</t>
        </is>
      </c>
      <c r="C125" s="29">
        <f>CONCATENATE("タイプ：", Types!C4)</f>
        <v/>
      </c>
      <c r="D125" s="29" t="inlineStr">
        <is>
          <t>Type: Vol</t>
        </is>
      </c>
      <c r="E125" s="29">
        <f>CONCATENATE("Typ:",Types!E4)</f>
        <v/>
      </c>
      <c r="F125" s="29">
        <f>CONCATENATE("Tipo ",Types!F4)</f>
        <v/>
      </c>
      <c r="G125" s="29">
        <f>CONCATENATE("Tipo ",Types!G4)</f>
        <v/>
      </c>
      <c r="H125" s="29">
        <f>CONCATENATE("타입：",Types!H4)</f>
        <v/>
      </c>
      <c r="I125" s="29">
        <f>IFERROR(__xludf.DUMMYFUNCTION("GOOGLETRANSLATE(J125,""zh_HANS"",""zh_HANT"")"),"屬性：飛行")</f>
        <v/>
      </c>
      <c r="J125" s="29">
        <f>CONCATENATE("属性：",Types!J4)</f>
        <v/>
      </c>
      <c r="K125" s="29">
        <f>F125</f>
        <v/>
      </c>
    </row>
    <row r="126">
      <c r="A126" s="29">
        <f>CONCATENATE("NAME_FORM_", SUBSTITUTE(UPPER(B126), " ", ""))</f>
        <v/>
      </c>
      <c r="B126" s="29" t="inlineStr">
        <is>
          <t>Type: Poison</t>
        </is>
      </c>
      <c r="C126" s="29">
        <f>CONCATENATE("タイプ：", Types!C5)</f>
        <v/>
      </c>
      <c r="D126" s="29" t="inlineStr">
        <is>
          <t>Type: Poison</t>
        </is>
      </c>
      <c r="E126" s="29">
        <f>CONCATENATE("Typ:",Types!E5)</f>
        <v/>
      </c>
      <c r="F126" s="29">
        <f>CONCATENATE("Tipo ",Types!F5)</f>
        <v/>
      </c>
      <c r="G126" s="29">
        <f>CONCATENATE("Tipo ",Types!G5)</f>
        <v/>
      </c>
      <c r="H126" s="29">
        <f>CONCATENATE("타입：",Types!H5)</f>
        <v/>
      </c>
      <c r="I126" s="29">
        <f>IFERROR(__xludf.DUMMYFUNCTION("GOOGLETRANSLATE(J126,""zh_HANS"",""zh_HANT"")"),"屬性：毒")</f>
        <v/>
      </c>
      <c r="J126" s="29">
        <f>CONCATENATE("属性：",Types!J5)</f>
        <v/>
      </c>
      <c r="K126" s="29">
        <f>F126</f>
        <v/>
      </c>
    </row>
    <row r="127">
      <c r="A127" s="29">
        <f>CONCATENATE("NAME_FORM_", SUBSTITUTE(UPPER(B127), " ", ""))</f>
        <v/>
      </c>
      <c r="B127" s="29" t="inlineStr">
        <is>
          <t>Type: Ground</t>
        </is>
      </c>
      <c r="C127" s="29">
        <f>CONCATENATE("タイプ：", Types!C6)</f>
        <v/>
      </c>
      <c r="D127" s="29" t="inlineStr">
        <is>
          <t>Type: Sol</t>
        </is>
      </c>
      <c r="E127" s="29">
        <f>CONCATENATE("Typ:",Types!E6)</f>
        <v/>
      </c>
      <c r="F127" s="29">
        <f>CONCATENATE("Tipo ",Types!F6)</f>
        <v/>
      </c>
      <c r="G127" s="29">
        <f>CONCATENATE("Tipo ",Types!G6)</f>
        <v/>
      </c>
      <c r="H127" s="29">
        <f>CONCATENATE("타입：",Types!H6)</f>
        <v/>
      </c>
      <c r="I127" s="29">
        <f>IFERROR(__xludf.DUMMYFUNCTION("GOOGLETRANSLATE(J127,""zh_HANS"",""zh_HANT"")"),"屬性：地面")</f>
        <v/>
      </c>
      <c r="J127" s="29">
        <f>CONCATENATE("属性：",Types!J6)</f>
        <v/>
      </c>
      <c r="K127" s="29">
        <f>F127</f>
        <v/>
      </c>
    </row>
    <row r="128">
      <c r="A128" s="29">
        <f>CONCATENATE("NAME_FORM_", SUBSTITUTE(UPPER(B128), " ", ""))</f>
        <v/>
      </c>
      <c r="B128" s="29" t="inlineStr">
        <is>
          <t>Type: Rock</t>
        </is>
      </c>
      <c r="C128" s="29">
        <f>CONCATENATE("タイプ：", Types!C7)</f>
        <v/>
      </c>
      <c r="D128" s="29" t="inlineStr">
        <is>
          <t>Type: Roche</t>
        </is>
      </c>
      <c r="E128" s="29">
        <f>CONCATENATE("Typ:",Types!E7)</f>
        <v/>
      </c>
      <c r="F128" s="29">
        <f>CONCATENATE("Tipo ",Types!F7)</f>
        <v/>
      </c>
      <c r="G128" s="29">
        <f>CONCATENATE("Tipo ",Types!G7)</f>
        <v/>
      </c>
      <c r="H128" s="29">
        <f>CONCATENATE("타입：",Types!H7)</f>
        <v/>
      </c>
      <c r="I128" s="29">
        <f>IFERROR(__xludf.DUMMYFUNCTION("GOOGLETRANSLATE(J128,""zh_HANS"",""zh_HANT"")"),"屬性：岩石")</f>
        <v/>
      </c>
      <c r="J128" s="29">
        <f>CONCATENATE("属性：",Types!J7)</f>
        <v/>
      </c>
      <c r="K128" s="29">
        <f>F128</f>
        <v/>
      </c>
    </row>
    <row r="129">
      <c r="A129" s="29">
        <f>CONCATENATE("NAME_FORM_", SUBSTITUTE(UPPER(B129), " ", ""))</f>
        <v/>
      </c>
      <c r="B129" s="29" t="inlineStr">
        <is>
          <t>Type: Bug</t>
        </is>
      </c>
      <c r="C129" s="29">
        <f>CONCATENATE("タイプ：", Types!C8)</f>
        <v/>
      </c>
      <c r="D129" s="29" t="inlineStr">
        <is>
          <t>Type: Insecte</t>
        </is>
      </c>
      <c r="E129" s="29">
        <f>CONCATENATE("Typ:",Types!E8)</f>
        <v/>
      </c>
      <c r="F129" s="29">
        <f>CONCATENATE("Tipo ",Types!F8)</f>
        <v/>
      </c>
      <c r="G129" s="29">
        <f>CONCATENATE("Tipo ",Types!G8)</f>
        <v/>
      </c>
      <c r="H129" s="29">
        <f>CONCATENATE("타입：",Types!H8)</f>
        <v/>
      </c>
      <c r="I129" s="29">
        <f>IFERROR(__xludf.DUMMYFUNCTION("GOOGLETRANSLATE(J129,""zh_HANS"",""zh_HANT"")"),"屬性：蟲")</f>
        <v/>
      </c>
      <c r="J129" s="29">
        <f>CONCATENATE("属性：",Types!J8)</f>
        <v/>
      </c>
      <c r="K129" s="29">
        <f>F129</f>
        <v/>
      </c>
    </row>
    <row r="130">
      <c r="A130" s="29">
        <f>CONCATENATE("NAME_FORM_", SUBSTITUTE(UPPER(B130), " ", ""))</f>
        <v/>
      </c>
      <c r="B130" s="29" t="inlineStr">
        <is>
          <t>Type: Ghost</t>
        </is>
      </c>
      <c r="C130" s="29">
        <f>CONCATENATE("タイプ：", Types!C9)</f>
        <v/>
      </c>
      <c r="D130" s="29" t="inlineStr">
        <is>
          <t>Type: Spectre</t>
        </is>
      </c>
      <c r="E130" s="29">
        <f>CONCATENATE("Typ:",Types!E9)</f>
        <v/>
      </c>
      <c r="F130" s="29">
        <f>CONCATENATE("Tipo ",Types!F9)</f>
        <v/>
      </c>
      <c r="G130" s="29">
        <f>CONCATENATE("Tipo ",Types!G9)</f>
        <v/>
      </c>
      <c r="H130" s="29">
        <f>CONCATENATE("타입：",Types!H9)</f>
        <v/>
      </c>
      <c r="I130" s="29">
        <f>IFERROR(__xludf.DUMMYFUNCTION("GOOGLETRANSLATE(J130,""zh_HANS"",""zh_HANT"")"),"屬性：幽靈")</f>
        <v/>
      </c>
      <c r="J130" s="29">
        <f>CONCATENATE("属性：",Types!J9)</f>
        <v/>
      </c>
      <c r="K130" s="29">
        <f>F130</f>
        <v/>
      </c>
    </row>
    <row r="131">
      <c r="A131" s="29">
        <f>CONCATENATE("NAME_FORM_", SUBSTITUTE(UPPER(B131), " ", ""))</f>
        <v/>
      </c>
      <c r="B131" s="29" t="inlineStr">
        <is>
          <t>Type: Steel</t>
        </is>
      </c>
      <c r="C131" s="29">
        <f>CONCATENATE("タイプ：", Types!C10)</f>
        <v/>
      </c>
      <c r="D131" s="29" t="inlineStr">
        <is>
          <t>Type: Acier</t>
        </is>
      </c>
      <c r="E131" s="29">
        <f>CONCATENATE("Typ:",Types!E10)</f>
        <v/>
      </c>
      <c r="F131" s="29">
        <f>CONCATENATE("Tipo ",Types!F10)</f>
        <v/>
      </c>
      <c r="G131" s="29">
        <f>CONCATENATE("Tipo ",Types!G10)</f>
        <v/>
      </c>
      <c r="H131" s="29">
        <f>CONCATENATE("타입：",Types!H10)</f>
        <v/>
      </c>
      <c r="I131" s="29">
        <f>IFERROR(__xludf.DUMMYFUNCTION("GOOGLETRANSLATE(J131,""zh_HANS"",""zh_HANT"")"),"屬性：鋼")</f>
        <v/>
      </c>
      <c r="J131" s="29">
        <f>CONCATENATE("属性：",Types!J10)</f>
        <v/>
      </c>
      <c r="K131" s="29">
        <f>F131</f>
        <v/>
      </c>
    </row>
    <row r="132">
      <c r="A132" s="29">
        <f>CONCATENATE("NAME_FORM_", SUBSTITUTE(UPPER(B132), " ", ""))</f>
        <v/>
      </c>
      <c r="B132" s="29" t="inlineStr">
        <is>
          <t>Type: Fire</t>
        </is>
      </c>
      <c r="C132" s="29">
        <f>CONCATENATE("タイプ：", Types!C11)</f>
        <v/>
      </c>
      <c r="D132" s="29" t="inlineStr">
        <is>
          <t>Type: Feu</t>
        </is>
      </c>
      <c r="E132" s="29">
        <f>CONCATENATE("Typ:",Types!E11)</f>
        <v/>
      </c>
      <c r="F132" s="29">
        <f>CONCATENATE("Tipo ",Types!F11)</f>
        <v/>
      </c>
      <c r="G132" s="29">
        <f>CONCATENATE("Tipo ",Types!G11)</f>
        <v/>
      </c>
      <c r="H132" s="29">
        <f>CONCATENATE("타입：",Types!H11)</f>
        <v/>
      </c>
      <c r="I132" s="29">
        <f>IFERROR(__xludf.DUMMYFUNCTION("GOOGLETRANSLATE(J132,""zh_HANS"",""zh_HANT"")"),"屬性：火")</f>
        <v/>
      </c>
      <c r="J132" s="29">
        <f>CONCATENATE("属性：",Types!J11)</f>
        <v/>
      </c>
      <c r="K132" s="29">
        <f>F132</f>
        <v/>
      </c>
    </row>
    <row r="133">
      <c r="A133" s="29">
        <f>CONCATENATE("NAME_FORM_", SUBSTITUTE(UPPER(B133), " ", ""))</f>
        <v/>
      </c>
      <c r="B133" s="29" t="inlineStr">
        <is>
          <t>Type: Water</t>
        </is>
      </c>
      <c r="C133" s="29">
        <f>CONCATENATE("タイプ：", Types!C12)</f>
        <v/>
      </c>
      <c r="D133" s="29" t="inlineStr">
        <is>
          <t>Type: Eau</t>
        </is>
      </c>
      <c r="E133" s="29">
        <f>CONCATENATE("Typ:",Types!E12)</f>
        <v/>
      </c>
      <c r="F133" s="29">
        <f>CONCATENATE("Tipo ",Types!F12)</f>
        <v/>
      </c>
      <c r="G133" s="29">
        <f>CONCATENATE("Tipo ",Types!G12)</f>
        <v/>
      </c>
      <c r="H133" s="29">
        <f>CONCATENATE("타입：",Types!H12)</f>
        <v/>
      </c>
      <c r="I133" s="29">
        <f>IFERROR(__xludf.DUMMYFUNCTION("GOOGLETRANSLATE(J133,""zh_HANS"",""zh_HANT"")"),"屬性：水")</f>
        <v/>
      </c>
      <c r="J133" s="29">
        <f>CONCATENATE("属性：",Types!J12)</f>
        <v/>
      </c>
      <c r="K133" s="29">
        <f>F133</f>
        <v/>
      </c>
    </row>
    <row r="134">
      <c r="A134" s="29">
        <f>CONCATENATE("NAME_FORM_", SUBSTITUTE(UPPER(B134), " ", ""))</f>
        <v/>
      </c>
      <c r="B134" s="29" t="inlineStr">
        <is>
          <t>Type: Grass</t>
        </is>
      </c>
      <c r="C134" s="29">
        <f>CONCATENATE("タイプ：", Types!C13)</f>
        <v/>
      </c>
      <c r="D134" s="29" t="inlineStr">
        <is>
          <t>Type: Plante</t>
        </is>
      </c>
      <c r="E134" s="29">
        <f>CONCATENATE("Typ:",Types!E13)</f>
        <v/>
      </c>
      <c r="F134" s="29">
        <f>CONCATENATE("Tipo ",Types!F13)</f>
        <v/>
      </c>
      <c r="G134" s="29">
        <f>CONCATENATE("Tipo ",Types!G13)</f>
        <v/>
      </c>
      <c r="H134" s="29">
        <f>CONCATENATE("타입：",Types!H13)</f>
        <v/>
      </c>
      <c r="I134" s="29">
        <f>IFERROR(__xludf.DUMMYFUNCTION("GOOGLETRANSLATE(J134,""zh_HANS"",""zh_HANT"")"),"屬性：草")</f>
        <v/>
      </c>
      <c r="J134" s="29">
        <f>CONCATENATE("属性：",Types!J13)</f>
        <v/>
      </c>
      <c r="K134" s="29">
        <f>F134</f>
        <v/>
      </c>
    </row>
    <row r="135">
      <c r="A135" s="29">
        <f>CONCATENATE("NAME_FORM_", SUBSTITUTE(UPPER(B135), " ", ""))</f>
        <v/>
      </c>
      <c r="B135" s="29" t="inlineStr">
        <is>
          <t>Type: Electric</t>
        </is>
      </c>
      <c r="C135" s="29">
        <f>CONCATENATE("タイプ：", Types!C14)</f>
        <v/>
      </c>
      <c r="D135" s="29" t="inlineStr">
        <is>
          <t>Type: Électrik</t>
        </is>
      </c>
      <c r="E135" s="29">
        <f>CONCATENATE("Typ:",Types!E14)</f>
        <v/>
      </c>
      <c r="F135" s="29">
        <f>CONCATENATE("Tipo ",Types!F14)</f>
        <v/>
      </c>
      <c r="G135" s="29">
        <f>CONCATENATE("Tipo ",Types!G14)</f>
        <v/>
      </c>
      <c r="H135" s="29">
        <f>CONCATENATE("타입：",Types!H14)</f>
        <v/>
      </c>
      <c r="I135" s="29">
        <f>IFERROR(__xludf.DUMMYFUNCTION("GOOGLETRANSLATE(J135,""zh_HANS"",""zh_HANT"")"),"屬性：電")</f>
        <v/>
      </c>
      <c r="J135" s="29">
        <f>CONCATENATE("属性：",Types!J14)</f>
        <v/>
      </c>
      <c r="K135" s="29">
        <f>F135</f>
        <v/>
      </c>
    </row>
    <row r="136">
      <c r="A136" s="29">
        <f>CONCATENATE("NAME_FORM_", SUBSTITUTE(UPPER(B136), " ", ""))</f>
        <v/>
      </c>
      <c r="B136" s="29" t="inlineStr">
        <is>
          <t>Type: Psychic</t>
        </is>
      </c>
      <c r="C136" s="29">
        <f>CONCATENATE("タイプ：", Types!C15)</f>
        <v/>
      </c>
      <c r="D136" s="29" t="inlineStr">
        <is>
          <t>Type: Psy</t>
        </is>
      </c>
      <c r="E136" s="29">
        <f>CONCATENATE("Typ:",Types!E15)</f>
        <v/>
      </c>
      <c r="F136" s="29">
        <f>CONCATENATE("Tipo ",Types!F15)</f>
        <v/>
      </c>
      <c r="G136" s="29">
        <f>CONCATENATE("Tipo ",Types!G15)</f>
        <v/>
      </c>
      <c r="H136" s="29">
        <f>CONCATENATE("타입：",Types!H15)</f>
        <v/>
      </c>
      <c r="I136" s="29">
        <f>IFERROR(__xludf.DUMMYFUNCTION("GOOGLETRANSLATE(J136,""zh_HANS"",""zh_HANT"")"),"屬性：超能力")</f>
        <v/>
      </c>
      <c r="J136" s="29">
        <f>CONCATENATE("属性：",Types!J15)</f>
        <v/>
      </c>
      <c r="K136" s="29">
        <f>F136</f>
        <v/>
      </c>
    </row>
    <row r="137">
      <c r="A137" s="29">
        <f>CONCATENATE("NAME_FORM_", SUBSTITUTE(UPPER(B137), " ", ""))</f>
        <v/>
      </c>
      <c r="B137" s="29" t="inlineStr">
        <is>
          <t>Type: Ice</t>
        </is>
      </c>
      <c r="C137" s="29">
        <f>CONCATENATE("タイプ：", Types!C16)</f>
        <v/>
      </c>
      <c r="D137" s="29" t="inlineStr">
        <is>
          <t>Type: Glace</t>
        </is>
      </c>
      <c r="E137" s="29">
        <f>CONCATENATE("Typ:",Types!E16)</f>
        <v/>
      </c>
      <c r="F137" s="29">
        <f>CONCATENATE("Tipo ",Types!F16)</f>
        <v/>
      </c>
      <c r="G137" s="29">
        <f>CONCATENATE("Tipo ",Types!G16)</f>
        <v/>
      </c>
      <c r="H137" s="29">
        <f>CONCATENATE("타입：",Types!H16)</f>
        <v/>
      </c>
      <c r="I137" s="29">
        <f>IFERROR(__xludf.DUMMYFUNCTION("GOOGLETRANSLATE(J137,""zh_HANS"",""zh_HANT"")"),"屬性：冰")</f>
        <v/>
      </c>
      <c r="J137" s="29">
        <f>CONCATENATE("属性：",Types!J16)</f>
        <v/>
      </c>
      <c r="K137" s="29">
        <f>F137</f>
        <v/>
      </c>
    </row>
    <row r="138">
      <c r="A138" s="29">
        <f>CONCATENATE("NAME_FORM_", SUBSTITUTE(UPPER(B138), " ", ""))</f>
        <v/>
      </c>
      <c r="B138" s="29" t="inlineStr">
        <is>
          <t>Type: Dragon</t>
        </is>
      </c>
      <c r="C138" s="29">
        <f>CONCATENATE("タイプ：", Types!C17)</f>
        <v/>
      </c>
      <c r="D138" s="29" t="inlineStr">
        <is>
          <t>Type: Dragon</t>
        </is>
      </c>
      <c r="E138" s="29">
        <f>CONCATENATE("Typ:",Types!E17)</f>
        <v/>
      </c>
      <c r="F138" s="29">
        <f>CONCATENATE("Tipo ",Types!F17)</f>
        <v/>
      </c>
      <c r="G138" s="29">
        <f>CONCATENATE("Tipo ",Types!G17)</f>
        <v/>
      </c>
      <c r="H138" s="29">
        <f>CONCATENATE("타입：",Types!H17)</f>
        <v/>
      </c>
      <c r="I138" s="29">
        <f>IFERROR(__xludf.DUMMYFUNCTION("GOOGLETRANSLATE(J138,""zh_HANS"",""zh_HANT"")"),"屬性：龍")</f>
        <v/>
      </c>
      <c r="J138" s="29">
        <f>CONCATENATE("属性：",Types!J17)</f>
        <v/>
      </c>
      <c r="K138" s="29">
        <f>F138</f>
        <v/>
      </c>
    </row>
    <row r="139">
      <c r="A139" s="29">
        <f>CONCATENATE("NAME_FORM_", SUBSTITUTE(UPPER(B139), " ", ""))</f>
        <v/>
      </c>
      <c r="B139" s="29" t="inlineStr">
        <is>
          <t>Type: Dark</t>
        </is>
      </c>
      <c r="C139" s="29">
        <f>CONCATENATE("タイプ：", Types!C18)</f>
        <v/>
      </c>
      <c r="D139" s="29" t="inlineStr">
        <is>
          <t>Type: Ténèbres</t>
        </is>
      </c>
      <c r="E139" s="29">
        <f>CONCATENATE("Typ:",Types!E18)</f>
        <v/>
      </c>
      <c r="F139" s="29">
        <f>CONCATENATE("Tipo ",Types!F18)</f>
        <v/>
      </c>
      <c r="G139" s="29">
        <f>CONCATENATE("Tipo ",Types!G18)</f>
        <v/>
      </c>
      <c r="H139" s="29">
        <f>CONCATENATE("타입：",Types!H18)</f>
        <v/>
      </c>
      <c r="I139" s="29">
        <f>IFERROR(__xludf.DUMMYFUNCTION("GOOGLETRANSLATE(J139,""zh_HANS"",""zh_HANT"")"),"屬性：惡")</f>
        <v/>
      </c>
      <c r="J139" s="29">
        <f>CONCATENATE("属性：",Types!J18)</f>
        <v/>
      </c>
      <c r="K139" s="29">
        <f>F139</f>
        <v/>
      </c>
    </row>
    <row r="140">
      <c r="A140" s="29">
        <f>CONCATENATE("NAME_FORM_", SUBSTITUTE(UPPER(B140), " ", ""))</f>
        <v/>
      </c>
      <c r="B140" s="29" t="inlineStr">
        <is>
          <t>Type: Fairy</t>
        </is>
      </c>
      <c r="C140" s="29">
        <f>CONCATENATE("タイプ：", Types!C19)</f>
        <v/>
      </c>
      <c r="D140" s="29" t="inlineStr">
        <is>
          <t>Type: Fée</t>
        </is>
      </c>
      <c r="E140" s="29">
        <f>CONCATENATE("Typ:",Types!E19)</f>
        <v/>
      </c>
      <c r="F140" s="29">
        <f>CONCATENATE("Tipo ",Types!F19)</f>
        <v/>
      </c>
      <c r="G140" s="29">
        <f>CONCATENATE("Tipo ",Types!G19)</f>
        <v/>
      </c>
      <c r="H140" s="29">
        <f>CONCATENATE("타입：",Types!H19)</f>
        <v/>
      </c>
      <c r="I140" s="29">
        <f>IFERROR(__xludf.DUMMYFUNCTION("GOOGLETRANSLATE(J140,""zh_HANS"",""zh_HANT"")"),"屬性：妖精")</f>
        <v/>
      </c>
      <c r="J140" s="29">
        <f>CONCATENATE("属性：",Types!J19)</f>
        <v/>
      </c>
      <c r="K140" s="29">
        <f>F140</f>
        <v/>
      </c>
    </row>
    <row r="141">
      <c r="A141" s="29">
        <f>CONCATENATE("NAME_FORM_", SUBSTITUTE(UPPER(B141), " ", ""))</f>
        <v/>
      </c>
      <c r="B141" s="29" t="inlineStr">
        <is>
          <t>Meteor Form</t>
        </is>
      </c>
      <c r="C141" s="29" t="inlineStr">
        <is>
          <t>りゅうせいのすがた</t>
        </is>
      </c>
      <c r="D141" s="29" t="inlineStr">
        <is>
          <t>Forme Météore</t>
        </is>
      </c>
      <c r="E141" s="29" t="inlineStr">
        <is>
          <t>Meteorform</t>
        </is>
      </c>
      <c r="F141" s="29" t="inlineStr">
        <is>
          <t>Forma Meteorito</t>
        </is>
      </c>
      <c r="G141" s="29" t="inlineStr">
        <is>
          <t>Forma Meteora</t>
        </is>
      </c>
      <c r="H141" s="29" t="inlineStr">
        <is>
          <t>유성의 모습</t>
        </is>
      </c>
      <c r="I141" s="29" t="inlineStr">
        <is>
          <t>流星的样子</t>
        </is>
      </c>
      <c r="J141" s="29">
        <f>IFERROR(__xludf.DUMMYFUNCTION("GOOGLETRANSLATE(I141,""zh_HANT"",""zh_HANS"")"),"流星的样子")</f>
        <v/>
      </c>
      <c r="K141" s="29">
        <f>F141</f>
        <v/>
      </c>
    </row>
    <row r="142">
      <c r="A142" s="29">
        <f>CONCATENATE("NAME_FORM_", SUBSTITUTE(UPPER(B142), " ", ""))</f>
        <v/>
      </c>
      <c r="B142" s="29" t="inlineStr">
        <is>
          <t>Red Core</t>
        </is>
      </c>
      <c r="C142" s="29" t="inlineStr">
        <is>
          <t>あかりろのコア</t>
        </is>
      </c>
      <c r="D142" s="29" t="inlineStr">
        <is>
          <t>Noyau Rouge</t>
        </is>
      </c>
      <c r="E142" s="29" t="inlineStr">
        <is>
          <t>Roter Kern</t>
        </is>
      </c>
      <c r="F142" s="29" t="inlineStr">
        <is>
          <t>Núcleo Rojo</t>
        </is>
      </c>
      <c r="G142" s="29" t="inlineStr">
        <is>
          <t>Nucleo Rosso</t>
        </is>
      </c>
      <c r="H142" s="29" t="inlineStr">
        <is>
          <t>빨간색 코어</t>
        </is>
      </c>
      <c r="I142" s="29" t="inlineStr">
        <is>
          <t>紅色核心</t>
        </is>
      </c>
      <c r="J142" s="29">
        <f>IFERROR(__xludf.DUMMYFUNCTION("GOOGLETRANSLATE(I142,""zh_HANT"",""zh_HANS"")"),"红色核心")</f>
        <v/>
      </c>
      <c r="K142" s="29">
        <f>F142</f>
        <v/>
      </c>
    </row>
    <row r="143">
      <c r="A143" s="29">
        <f>CONCATENATE("NAME_FORM_", SUBSTITUTE(UPPER(B143), " ", ""))</f>
        <v/>
      </c>
      <c r="B143" s="29" t="inlineStr">
        <is>
          <t>Orange Core</t>
        </is>
      </c>
      <c r="C143" s="29" t="inlineStr">
        <is>
          <t>だいだいいろのコア</t>
        </is>
      </c>
      <c r="D143" s="29" t="inlineStr">
        <is>
          <t>Noyau Orange</t>
        </is>
      </c>
      <c r="E143" s="29" t="inlineStr">
        <is>
          <t>Oranger Kern</t>
        </is>
      </c>
      <c r="F143" s="29" t="inlineStr">
        <is>
          <t>Núcleo Naranja</t>
        </is>
      </c>
      <c r="G143" s="29" t="inlineStr">
        <is>
          <t>Nucleo Arancione</t>
        </is>
      </c>
      <c r="H143" s="29" t="inlineStr">
        <is>
          <t>주황색 코어</t>
        </is>
      </c>
      <c r="I143" s="29" t="inlineStr">
        <is>
          <t>橙色核心</t>
        </is>
      </c>
      <c r="J143" s="29">
        <f>I143</f>
        <v/>
      </c>
      <c r="K143" s="29">
        <f>F143</f>
        <v/>
      </c>
    </row>
    <row r="144">
      <c r="A144" s="29">
        <f>CONCATENATE("NAME_FORM_", SUBSTITUTE(UPPER(B144), " ", ""))</f>
        <v/>
      </c>
      <c r="B144" s="29" t="inlineStr">
        <is>
          <t>Yellow Core</t>
        </is>
      </c>
      <c r="C144" s="29" t="inlineStr">
        <is>
          <t>きりろのコア</t>
        </is>
      </c>
      <c r="D144" s="29" t="inlineStr">
        <is>
          <t>Noyau Jaune</t>
        </is>
      </c>
      <c r="E144" s="29" t="inlineStr">
        <is>
          <t>Gelber Kern</t>
        </is>
      </c>
      <c r="F144" s="29" t="inlineStr">
        <is>
          <t>Núcleo Amarillo</t>
        </is>
      </c>
      <c r="G144" s="29" t="inlineStr">
        <is>
          <t>Nucleo Giallo</t>
        </is>
      </c>
      <c r="H144" s="29" t="inlineStr">
        <is>
          <t>노란색 코어</t>
        </is>
      </c>
      <c r="I144" s="29" t="inlineStr">
        <is>
          <t>黃色核心</t>
        </is>
      </c>
      <c r="J144" s="29">
        <f>IFERROR(__xludf.DUMMYFUNCTION("GOOGLETRANSLATE(I144,""zh_HANT"",""zh_HANS"")"),"黄色核心")</f>
        <v/>
      </c>
      <c r="K144" s="29">
        <f>F144</f>
        <v/>
      </c>
    </row>
    <row r="145">
      <c r="A145" s="29">
        <f>CONCATENATE("NAME_FORM_", SUBSTITUTE(UPPER(B145), " ", ""))</f>
        <v/>
      </c>
      <c r="B145" s="29" t="inlineStr">
        <is>
          <t>Green Core</t>
        </is>
      </c>
      <c r="C145" s="29" t="inlineStr">
        <is>
          <t>みどりろのコア</t>
        </is>
      </c>
      <c r="D145" s="29" t="inlineStr">
        <is>
          <t>Noyau Vert</t>
        </is>
      </c>
      <c r="E145" s="29" t="inlineStr">
        <is>
          <t>Grüner Kern</t>
        </is>
      </c>
      <c r="F145" s="29" t="inlineStr">
        <is>
          <t>Núcleo Verde</t>
        </is>
      </c>
      <c r="G145" s="29" t="inlineStr">
        <is>
          <t>Nucleo Verde</t>
        </is>
      </c>
      <c r="H145" s="29" t="inlineStr">
        <is>
          <t>초록색 코어</t>
        </is>
      </c>
      <c r="I145" s="29" t="inlineStr">
        <is>
          <t>綠色核心</t>
        </is>
      </c>
      <c r="J145" s="29">
        <f>IFERROR(__xludf.DUMMYFUNCTION("GOOGLETRANSLATE(I145,""zh_HANT"",""zh_HANS"")"),"绿色核心")</f>
        <v/>
      </c>
      <c r="K145" s="29">
        <f>F145</f>
        <v/>
      </c>
    </row>
    <row r="146">
      <c r="A146" s="29">
        <f>CONCATENATE("NAME_FORM_", SUBSTITUTE(UPPER(B146), " ", ""))</f>
        <v/>
      </c>
      <c r="B146" s="29" t="inlineStr">
        <is>
          <t>Blue Core</t>
        </is>
      </c>
      <c r="C146" s="29" t="inlineStr">
        <is>
          <t>みずりろのコア</t>
        </is>
      </c>
      <c r="D146" s="29" t="inlineStr">
        <is>
          <t>Noyau Bleu</t>
        </is>
      </c>
      <c r="E146" s="29" t="inlineStr">
        <is>
          <t>Hellblauer Kern</t>
        </is>
      </c>
      <c r="F146" s="29" t="inlineStr">
        <is>
          <t>Núcleo Azul</t>
        </is>
      </c>
      <c r="G146" s="29" t="inlineStr">
        <is>
          <t>Nucleo Azzurro</t>
        </is>
      </c>
      <c r="H146" s="29" t="inlineStr">
        <is>
          <t>옥색 코어</t>
        </is>
      </c>
      <c r="I146" s="29" t="inlineStr">
        <is>
          <t>淺藍色核心</t>
        </is>
      </c>
      <c r="J146" s="29">
        <f>IFERROR(__xludf.DUMMYFUNCTION("GOOGLETRANSLATE(I146,""zh_HANT"",""zh_HANS"")"),"浅蓝色核心")</f>
        <v/>
      </c>
      <c r="K146" s="29">
        <f>F146</f>
        <v/>
      </c>
    </row>
    <row r="147">
      <c r="A147" s="29">
        <f>CONCATENATE("NAME_FORM_", SUBSTITUTE(UPPER(B147), " ", ""))</f>
        <v/>
      </c>
      <c r="B147" s="29" t="inlineStr">
        <is>
          <t>Indigo Core</t>
        </is>
      </c>
      <c r="C147" s="29" t="inlineStr">
        <is>
          <t>あおりろのコア</t>
        </is>
      </c>
      <c r="D147" s="29" t="inlineStr">
        <is>
          <t>Noyau Indigo</t>
        </is>
      </c>
      <c r="E147" s="29" t="inlineStr">
        <is>
          <t>Blauer Kern</t>
        </is>
      </c>
      <c r="F147" s="29" t="inlineStr">
        <is>
          <t>Núcleo Añil</t>
        </is>
      </c>
      <c r="G147" s="29" t="inlineStr">
        <is>
          <t>Nucleo Indaco</t>
        </is>
      </c>
      <c r="H147" s="29" t="inlineStr">
        <is>
          <t>파란색 코어</t>
        </is>
      </c>
      <c r="I147" s="29" t="inlineStr">
        <is>
          <t>藍色核心</t>
        </is>
      </c>
      <c r="J147" s="29">
        <f>IFERROR(__xludf.DUMMYFUNCTION("GOOGLETRANSLATE(I147,""zh_HANT"",""zh_HANS"")"),"蓝色核心")</f>
        <v/>
      </c>
      <c r="K147" s="29">
        <f>F147</f>
        <v/>
      </c>
    </row>
    <row r="148">
      <c r="A148" s="29">
        <f>CONCATENATE("NAME_FORM_", SUBSTITUTE(UPPER(B148), " ", ""))</f>
        <v/>
      </c>
      <c r="B148" s="29" t="inlineStr">
        <is>
          <t>Violet Core</t>
        </is>
      </c>
      <c r="C148" s="29" t="inlineStr">
        <is>
          <t>むらさきりろのコア</t>
        </is>
      </c>
      <c r="D148" s="29" t="inlineStr">
        <is>
          <t>Noyau Violet</t>
        </is>
      </c>
      <c r="E148" s="29" t="inlineStr">
        <is>
          <t>Violetter Kern</t>
        </is>
      </c>
      <c r="F148" s="29" t="inlineStr">
        <is>
          <t>Núcleo Violeta</t>
        </is>
      </c>
      <c r="G148" s="29" t="inlineStr">
        <is>
          <t>Nucleo Violetto</t>
        </is>
      </c>
      <c r="H148" s="29" t="inlineStr">
        <is>
          <t>보라색 코어</t>
        </is>
      </c>
      <c r="I148" s="29" t="inlineStr">
        <is>
          <t>紫色核心</t>
        </is>
      </c>
      <c r="J148" s="29">
        <f>I148</f>
        <v/>
      </c>
      <c r="K148" s="29">
        <f>F148</f>
        <v/>
      </c>
    </row>
    <row r="149">
      <c r="A149" s="29">
        <f>CONCATENATE("NAME_FORM_", SUBSTITUTE(UPPER(B149), " ", ""))</f>
        <v/>
      </c>
      <c r="B149" s="29" t="inlineStr">
        <is>
          <t>Disguised Form</t>
        </is>
      </c>
      <c r="C149" s="29" t="inlineStr">
        <is>
          <t>ばけたすがた</t>
        </is>
      </c>
      <c r="D149" s="29" t="inlineStr">
        <is>
          <t>Forme Déguisée</t>
        </is>
      </c>
      <c r="E149" s="29" t="inlineStr">
        <is>
          <t>Verkleidete Form</t>
        </is>
      </c>
      <c r="F149" s="29" t="inlineStr">
        <is>
          <t>Forma Encubierta</t>
        </is>
      </c>
      <c r="G149" s="29" t="inlineStr">
        <is>
          <t>Forma Mascherata</t>
        </is>
      </c>
      <c r="H149" s="29" t="inlineStr">
        <is>
          <t>둔갑한 모습</t>
        </is>
      </c>
      <c r="I149" s="29" t="inlineStr">
        <is>
          <t>化形的樣子</t>
        </is>
      </c>
      <c r="J149" s="29">
        <f>IFERROR(__xludf.DUMMYFUNCTION("GOOGLETRANSLATE(I149,""zh_HANT"",""zh_HANS"")"),"化形的样子")</f>
        <v/>
      </c>
      <c r="K149" s="29">
        <f>F149</f>
        <v/>
      </c>
    </row>
    <row r="150">
      <c r="A150" s="29">
        <f>CONCATENATE("NAME_FORM_", SUBSTITUTE(UPPER(B150), " ", ""))</f>
        <v/>
      </c>
      <c r="B150" s="29" t="inlineStr">
        <is>
          <t>Busted Form</t>
        </is>
      </c>
      <c r="C150" s="29" t="inlineStr">
        <is>
          <t>ばれたすがた</t>
        </is>
      </c>
      <c r="D150" s="29" t="inlineStr">
        <is>
          <t>Forme Démasquée</t>
        </is>
      </c>
      <c r="E150" s="29" t="inlineStr">
        <is>
          <t>Entlarvte Form</t>
        </is>
      </c>
      <c r="F150" s="29" t="inlineStr">
        <is>
          <t>Forma Descubierta</t>
        </is>
      </c>
      <c r="G150" s="29" t="inlineStr">
        <is>
          <t>Forma Smascherata</t>
        </is>
      </c>
      <c r="H150" s="29" t="inlineStr">
        <is>
          <t>들킨 모습</t>
        </is>
      </c>
      <c r="I150" s="29" t="inlineStr">
        <is>
          <t>現形的樣子</t>
        </is>
      </c>
      <c r="J150" s="29">
        <f>IFERROR(__xludf.DUMMYFUNCTION("GOOGLETRANSLATE(I150,""zh_HANT"",""zh_HANS"")"),"现形的样子")</f>
        <v/>
      </c>
      <c r="K150" s="29">
        <f>F150</f>
        <v/>
      </c>
    </row>
    <row r="151">
      <c r="A151" s="29">
        <f>CONCATENATE("NAME_FORM_", SUBSTITUTE(UPPER(B151), " ", ""))</f>
        <v/>
      </c>
      <c r="B151" s="29" t="inlineStr">
        <is>
          <t>Dusk Mane</t>
        </is>
      </c>
      <c r="C151" s="29" t="inlineStr">
        <is>
          <t>たそがれのたてがみ</t>
        </is>
      </c>
      <c r="D151" s="29" t="inlineStr">
        <is>
          <t>Crinière du Couchant</t>
        </is>
      </c>
      <c r="E151" s="29" t="inlineStr">
        <is>
          <t>Abendmähne</t>
        </is>
      </c>
      <c r="F151" s="29" t="inlineStr">
        <is>
          <t>Melena Crepuscular</t>
        </is>
      </c>
      <c r="G151" s="29" t="inlineStr">
        <is>
          <t>Criniera del Vespro</t>
        </is>
      </c>
      <c r="H151" s="29" t="inlineStr">
        <is>
          <t>황혼의 갈기</t>
        </is>
      </c>
      <c r="I151" s="29" t="inlineStr">
        <is>
          <t>黃昏之鬃</t>
        </is>
      </c>
      <c r="J151" s="29">
        <f>IFERROR(__xludf.DUMMYFUNCTION("GOOGLETRANSLATE(I151,""zh_HANT"",""zh_HANS"")"),"黄昏之鬃")</f>
        <v/>
      </c>
      <c r="K151" s="29">
        <f>F151</f>
        <v/>
      </c>
    </row>
    <row r="152">
      <c r="A152" s="29">
        <f>CONCATENATE("NAME_FORM_", SUBSTITUTE(UPPER(B152), " ", ""))</f>
        <v/>
      </c>
      <c r="B152" s="29" t="inlineStr">
        <is>
          <t>Dawn Wings</t>
        </is>
      </c>
      <c r="C152" s="29" t="inlineStr">
        <is>
          <t>あかつものつばさ</t>
        </is>
      </c>
      <c r="D152" s="29" t="inlineStr">
        <is>
          <t>Ailes du Crépuscule</t>
        </is>
      </c>
      <c r="E152" s="29" t="inlineStr">
        <is>
          <t>Morgenschwingen</t>
        </is>
      </c>
      <c r="F152" s="29" t="inlineStr">
        <is>
          <t>Alas del Alba</t>
        </is>
      </c>
      <c r="G152" s="29" t="inlineStr">
        <is>
          <t>Ali dell'Aurora</t>
        </is>
      </c>
      <c r="H152" s="29" t="inlineStr">
        <is>
          <t>새벽의 날개</t>
        </is>
      </c>
      <c r="I152" s="29" t="inlineStr">
        <is>
          <t>拂曉之翼</t>
        </is>
      </c>
      <c r="J152" s="29">
        <f>IFERROR(__xludf.DUMMYFUNCTION("GOOGLETRANSLATE(I152,""zh_HANT"",""zh_HANS"")"),"拂晓之翼")</f>
        <v/>
      </c>
      <c r="K152" s="29">
        <f>F152</f>
        <v/>
      </c>
    </row>
    <row r="153">
      <c r="A153" s="29">
        <f>CONCATENATE("NAME_FORM_", SUBSTITUTE(UPPER(B153), " ", ""))</f>
        <v/>
      </c>
      <c r="B153" s="29" t="inlineStr">
        <is>
          <t>Ultra Necrozma</t>
        </is>
      </c>
      <c r="C153" s="29" t="inlineStr">
        <is>
          <t>ウルトラネクロスマ</t>
        </is>
      </c>
      <c r="D153" s="29" t="inlineStr">
        <is>
          <t>Ultra-Necrozma</t>
        </is>
      </c>
      <c r="E153" s="29">
        <f>D153</f>
        <v/>
      </c>
      <c r="F153" s="29">
        <f>D153</f>
        <v/>
      </c>
      <c r="G153" s="29" t="inlineStr">
        <is>
          <t>UltraNecrozma</t>
        </is>
      </c>
      <c r="H153" s="29" t="inlineStr">
        <is>
          <t>울트라네크로즈마</t>
        </is>
      </c>
      <c r="I153" s="29" t="inlineStr">
        <is>
          <t>究極奈克洛茲瑪</t>
        </is>
      </c>
      <c r="J153" s="29">
        <f>IFERROR(__xludf.DUMMYFUNCTION("GOOGLETRANSLATE(I153,""zh_HANT"",""zh_HANS"")"),"究极奈克洛兹玛")</f>
        <v/>
      </c>
      <c r="K153" s="29">
        <f>F153</f>
        <v/>
      </c>
    </row>
    <row r="154">
      <c r="A154" s="29">
        <f>CONCATENATE("NAME_FORM_", SUBSTITUTE(UPPER(B154), " ", ""))</f>
        <v/>
      </c>
      <c r="B154" s="29" t="inlineStr">
        <is>
          <t>Original Color</t>
        </is>
      </c>
      <c r="C154" s="29" t="inlineStr">
        <is>
          <t>５００ねんもえのいろ</t>
        </is>
      </c>
      <c r="D154" s="29" t="inlineStr">
        <is>
          <t>Couleur du Passé</t>
        </is>
      </c>
      <c r="E154" s="29" t="inlineStr">
        <is>
          <t>Originalfarbe</t>
        </is>
      </c>
      <c r="F154" s="29" t="inlineStr">
        <is>
          <t>Color Vetusto</t>
        </is>
      </c>
      <c r="G154" s="29" t="inlineStr">
        <is>
          <t>Colore Antico</t>
        </is>
      </c>
      <c r="H154" s="29" t="inlineStr">
        <is>
          <t>５００년 전의 색</t>
        </is>
      </c>
      <c r="I154" s="29" t="inlineStr">
        <is>
          <t>５００年前的顏色</t>
        </is>
      </c>
      <c r="J154" s="29">
        <f>IFERROR(__xludf.DUMMYFUNCTION("GOOGLETRANSLATE(I154,""zh_HANT"",""zh_HANS"")"),"５００年前的颜色")</f>
        <v/>
      </c>
      <c r="K154" s="29">
        <f>F154</f>
        <v/>
      </c>
    </row>
    <row r="155">
      <c r="A155" s="29">
        <f>CONCATENATE("NAME_FORM_", SUBSTITUTE(UPPER(B155), " ", ""))</f>
        <v/>
      </c>
      <c r="B155" s="29" t="inlineStr">
        <is>
          <t>Galarian Form</t>
        </is>
      </c>
      <c r="C155" s="29" t="inlineStr">
        <is>
          <t>ガラルのすがた</t>
        </is>
      </c>
      <c r="D155" s="29" t="inlineStr">
        <is>
          <t>Forme de Galar</t>
        </is>
      </c>
      <c r="E155" s="29" t="inlineStr">
        <is>
          <t>Galar-Form</t>
        </is>
      </c>
      <c r="F155" s="29" t="inlineStr">
        <is>
          <t>Forma de Galar</t>
        </is>
      </c>
      <c r="G155" s="29" t="inlineStr">
        <is>
          <t>Forma di Galar</t>
        </is>
      </c>
      <c r="H155" s="29" t="inlineStr">
        <is>
          <t>가라르의 모습</t>
        </is>
      </c>
      <c r="I155" s="29" t="inlineStr">
        <is>
          <t>伽勒爾的樣子</t>
        </is>
      </c>
      <c r="J155" s="29">
        <f>IFERROR(__xludf.DUMMYFUNCTION("GOOGLETRANSLATE(I155,""zh_HANT"",""zh_HANS"")"),"伽勒尔的样子")</f>
        <v/>
      </c>
      <c r="K155" s="29">
        <f>F155</f>
        <v/>
      </c>
    </row>
    <row r="156">
      <c r="A156" s="29">
        <f>CONCATENATE("NAME_FORM_", SUBSTITUTE(UPPER(B156), " ", ""))</f>
        <v/>
      </c>
      <c r="B156" s="29" t="inlineStr">
        <is>
          <t>Gulping Form</t>
        </is>
      </c>
      <c r="C156" s="29" t="inlineStr">
        <is>
          <t>うのみのすがた</t>
        </is>
      </c>
      <c r="D156" s="29" t="inlineStr">
        <is>
          <t>Forme Gobe-Tout</t>
        </is>
      </c>
      <c r="E156" s="29" t="inlineStr">
        <is>
          <t>Schlingform</t>
        </is>
      </c>
      <c r="F156" s="29" t="inlineStr">
        <is>
          <t>Forma Tragatodo</t>
        </is>
      </c>
      <c r="G156" s="29" t="inlineStr">
        <is>
          <t>Forma Inghiottitutto</t>
        </is>
      </c>
      <c r="H156" s="29" t="inlineStr">
        <is>
          <t>그대로 삼킨 모습</t>
        </is>
      </c>
      <c r="I156" s="29" t="inlineStr">
        <is>
          <t>一口吞的樣子</t>
        </is>
      </c>
      <c r="J156" s="29">
        <f>IFERROR(__xludf.DUMMYFUNCTION("GOOGLETRANSLATE(I156,""zh_HANT"",""zh_HANS"")"),"一口吞的样子")</f>
        <v/>
      </c>
      <c r="K156" s="29">
        <f>F156</f>
        <v/>
      </c>
    </row>
    <row r="157">
      <c r="A157" s="29">
        <f>CONCATENATE("NAME_FORM_", SUBSTITUTE(UPPER(B157), " ", ""))</f>
        <v/>
      </c>
      <c r="B157" s="29" t="inlineStr">
        <is>
          <t>Gorging Form</t>
        </is>
      </c>
      <c r="C157" s="29" t="inlineStr">
        <is>
          <t>まのみのすがた</t>
        </is>
      </c>
      <c r="D157" s="29" t="inlineStr">
        <is>
          <t>Forme Gobe-Chu</t>
        </is>
      </c>
      <c r="E157" s="29" t="inlineStr">
        <is>
          <t>Stopfform</t>
        </is>
      </c>
      <c r="F157" s="29" t="inlineStr">
        <is>
          <t>Forma Engulletodo</t>
        </is>
      </c>
      <c r="G157" s="29" t="inlineStr">
        <is>
          <t>Forma Inghiottintero</t>
        </is>
      </c>
      <c r="H157" s="29" t="inlineStr">
        <is>
          <t>통째로 삼킨 모습</t>
        </is>
      </c>
      <c r="I157" s="29" t="inlineStr">
        <is>
          <t>大口吞的樣子</t>
        </is>
      </c>
      <c r="J157" s="29">
        <f>IFERROR(__xludf.DUMMYFUNCTION("GOOGLETRANSLATE(I157,""zh_HANT"",""zh_HANS"")"),"大口吞的样子")</f>
        <v/>
      </c>
      <c r="K157" s="29">
        <f>F157</f>
        <v/>
      </c>
    </row>
    <row r="158">
      <c r="A158" s="29">
        <f>CONCATENATE("NAME_FORM_", SUBSTITUTE(UPPER(B158), " ", ""))</f>
        <v/>
      </c>
      <c r="B158" s="29" t="inlineStr">
        <is>
          <t>Amped Form</t>
        </is>
      </c>
      <c r="C158" s="29" t="inlineStr">
        <is>
          <t>ハイなすがた</t>
        </is>
      </c>
      <c r="D158" s="29" t="inlineStr">
        <is>
          <t>Forme Aigüe</t>
        </is>
      </c>
      <c r="E158" s="29" t="inlineStr">
        <is>
          <t>Hoch-Form</t>
        </is>
      </c>
      <c r="F158" s="29" t="inlineStr">
        <is>
          <t>Forma Aguda</t>
        </is>
      </c>
      <c r="G158" s="29" t="inlineStr">
        <is>
          <t>Forma Melodia</t>
        </is>
      </c>
      <c r="H158" s="29" t="inlineStr">
        <is>
          <t>하이한 모습</t>
        </is>
      </c>
      <c r="I158" s="29" t="inlineStr">
        <is>
          <t>高調的樣子</t>
        </is>
      </c>
      <c r="J158" s="29">
        <f>IFERROR(__xludf.DUMMYFUNCTION("GOOGLETRANSLATE(I158,""zh_HANT"",""zh_HANS"")"),"高调的样子")</f>
        <v/>
      </c>
      <c r="K158" s="29">
        <f>F158</f>
        <v/>
      </c>
    </row>
    <row r="159">
      <c r="A159" s="29">
        <f>CONCATENATE("NAME_FORM_", SUBSTITUTE(UPPER(B159), " ", ""))</f>
        <v/>
      </c>
      <c r="B159" s="29" t="inlineStr">
        <is>
          <t>Low Key Form</t>
        </is>
      </c>
      <c r="C159" s="29" t="inlineStr">
        <is>
          <t>ローなすがた</t>
        </is>
      </c>
      <c r="D159" s="29" t="inlineStr">
        <is>
          <t>Forme Grave</t>
        </is>
      </c>
      <c r="E159" s="29" t="inlineStr">
        <is>
          <t>Tief-Form</t>
        </is>
      </c>
      <c r="F159" s="29" t="inlineStr">
        <is>
          <t>Forma Grave</t>
        </is>
      </c>
      <c r="G159" s="29" t="inlineStr">
        <is>
          <t>Forma Basso</t>
        </is>
      </c>
      <c r="H159" s="29" t="inlineStr">
        <is>
          <t>로우한 모습</t>
        </is>
      </c>
      <c r="I159" s="29" t="inlineStr">
        <is>
          <t>低調的樣子</t>
        </is>
      </c>
      <c r="J159" s="29">
        <f>IFERROR(__xludf.DUMMYFUNCTION("GOOGLETRANSLATE(I159,""zh_HANT"",""zh_HANS"")"),"低调的样子")</f>
        <v/>
      </c>
      <c r="K159" s="29">
        <f>F159</f>
        <v/>
      </c>
    </row>
    <row r="160">
      <c r="A160" s="29">
        <f>CONCATENATE("NAME_FORM_", SUBSTITUTE(UPPER(B160), " ", ""))</f>
        <v/>
      </c>
      <c r="B160" s="29" t="inlineStr">
        <is>
          <t>Phony Form</t>
        </is>
      </c>
      <c r="C160" s="29" t="inlineStr">
        <is>
          <t>がんさくフォルム</t>
        </is>
      </c>
      <c r="D160" s="29" t="inlineStr">
        <is>
          <t>Forme Contrefaçon</t>
        </is>
      </c>
      <c r="E160" s="29" t="inlineStr">
        <is>
          <t>Fälschungsform</t>
        </is>
      </c>
      <c r="F160" s="29" t="inlineStr">
        <is>
          <t>Forma Acaica</t>
        </is>
      </c>
      <c r="G160" s="29" t="inlineStr">
        <is>
          <t>Forma Contraffatta</t>
        </is>
      </c>
      <c r="H160" s="29" t="inlineStr">
        <is>
          <t>위작품</t>
        </is>
      </c>
      <c r="I160" s="29" t="inlineStr">
        <is>
          <t>贗品形態</t>
        </is>
      </c>
      <c r="J160" s="29">
        <f>IFERROR(__xludf.DUMMYFUNCTION("GOOGLETRANSLATE(I160,""zh_HANT"",""zh_HANS"")"),"赝品形态")</f>
        <v/>
      </c>
      <c r="K160" s="29">
        <f>F160</f>
        <v/>
      </c>
    </row>
    <row r="161">
      <c r="A161" s="29">
        <f>CONCATENATE("NAME_FORM_", SUBSTITUTE(UPPER(B161), " ", ""))</f>
        <v/>
      </c>
      <c r="B161" s="29" t="inlineStr">
        <is>
          <t>Antique Form</t>
        </is>
      </c>
      <c r="C161" s="29" t="inlineStr">
        <is>
          <t>しんさくフォルム</t>
        </is>
      </c>
      <c r="D161" s="29" t="inlineStr">
        <is>
          <t>Forme Authentique</t>
        </is>
      </c>
      <c r="E161" s="29" t="inlineStr">
        <is>
          <t>Originalform</t>
        </is>
      </c>
      <c r="F161" s="29" t="inlineStr">
        <is>
          <t>Forma Genuina</t>
        </is>
      </c>
      <c r="G161" s="29" t="inlineStr">
        <is>
          <t>Forma Autentica</t>
        </is>
      </c>
      <c r="H161" s="29" t="inlineStr">
        <is>
          <t>진작품</t>
        </is>
      </c>
      <c r="I161" s="29" t="inlineStr">
        <is>
          <t>真品形態</t>
        </is>
      </c>
      <c r="J161" s="29">
        <f>IFERROR(__xludf.DUMMYFUNCTION("GOOGLETRANSLATE(I161,""zh_HANT"",""zh_HANS"")"),"真品形态")</f>
        <v/>
      </c>
      <c r="K161" s="29">
        <f>F161</f>
        <v/>
      </c>
    </row>
    <row r="162">
      <c r="A162" s="29">
        <f>CONCATENATE("NAME_FORM_", SUBSTITUTE(UPPER(B162), " ", ""))</f>
        <v/>
      </c>
      <c r="B162" s="29" t="inlineStr">
        <is>
          <t>Vanilla Cream</t>
        </is>
      </c>
      <c r="C162" s="29" t="inlineStr">
        <is>
          <t>ミルキィバニラ</t>
        </is>
      </c>
      <c r="D162" s="29" t="inlineStr">
        <is>
          <t>Lait Vanille</t>
        </is>
      </c>
      <c r="E162" s="29" t="inlineStr">
        <is>
          <t>Vanille-Creme</t>
        </is>
      </c>
      <c r="F162" s="29" t="inlineStr">
        <is>
          <t>Crema de Vainilla</t>
        </is>
      </c>
      <c r="G162" s="29" t="inlineStr">
        <is>
          <t xml:space="preserve">Lattevaniglia </t>
        </is>
      </c>
      <c r="H162" s="29" t="inlineStr">
        <is>
          <t>밀키바닐라</t>
        </is>
      </c>
      <c r="I162" s="29" t="inlineStr">
        <is>
          <t>奶香香草</t>
        </is>
      </c>
      <c r="J162" s="29">
        <f>I162</f>
        <v/>
      </c>
      <c r="K162" s="29">
        <f>F162</f>
        <v/>
      </c>
    </row>
    <row r="163">
      <c r="A163" s="29">
        <f>CONCATENATE("NAME_FORM_", SUBSTITUTE(UPPER(B163), " ", ""))</f>
        <v/>
      </c>
      <c r="B163" s="29" t="inlineStr">
        <is>
          <t>Ruby Cream</t>
        </is>
      </c>
      <c r="C163" s="29" t="inlineStr">
        <is>
          <t>ミルキィルビー</t>
        </is>
      </c>
      <c r="D163" s="29" t="inlineStr">
        <is>
          <t>Lait Ruby</t>
        </is>
      </c>
      <c r="E163" s="29" t="inlineStr">
        <is>
          <t>Ruby-Creme</t>
        </is>
      </c>
      <c r="F163" s="29" t="inlineStr">
        <is>
          <t>Crema Rosa</t>
        </is>
      </c>
      <c r="G163" s="29" t="inlineStr">
        <is>
          <t xml:space="preserve">Latterosa </t>
        </is>
      </c>
      <c r="H163" s="29" t="inlineStr">
        <is>
          <t>밀키루비</t>
        </is>
      </c>
      <c r="I163" s="29" t="inlineStr">
        <is>
          <t>奶香紅鑽</t>
        </is>
      </c>
      <c r="J163" s="29">
        <f>IFERROR(__xludf.DUMMYFUNCTION("GOOGLETRANSLATE(I163,""zh_HANT"",""zh_HANS"")"),"奶香红钻")</f>
        <v/>
      </c>
      <c r="K163" s="29">
        <f>F163</f>
        <v/>
      </c>
    </row>
    <row r="164">
      <c r="A164" s="29">
        <f>CONCATENATE("NAME_FORM_", SUBSTITUTE(UPPER(B164), " ", ""))</f>
        <v/>
      </c>
      <c r="B164" s="29" t="inlineStr">
        <is>
          <t>Matcha Cream</t>
        </is>
      </c>
      <c r="C164" s="29" t="inlineStr">
        <is>
          <t>ミルキィまっちゃ</t>
        </is>
      </c>
      <c r="D164" s="29" t="inlineStr">
        <is>
          <t>Lait Matcha</t>
        </is>
      </c>
      <c r="E164" s="29" t="inlineStr">
        <is>
          <t>Matcha-Creme</t>
        </is>
      </c>
      <c r="F164" s="29" t="inlineStr">
        <is>
          <t>Crema de Té</t>
        </is>
      </c>
      <c r="G164" s="29" t="inlineStr">
        <is>
          <t xml:space="preserve">Lattematcha </t>
        </is>
      </c>
      <c r="H164" s="29" t="inlineStr">
        <is>
          <t>밀키말차</t>
        </is>
      </c>
      <c r="I164" s="29" t="inlineStr">
        <is>
          <t>奶香抹茶</t>
        </is>
      </c>
      <c r="J164" s="29">
        <f>I164</f>
        <v/>
      </c>
      <c r="K164" s="29">
        <f>F164</f>
        <v/>
      </c>
    </row>
    <row r="165">
      <c r="A165" s="29">
        <f>CONCATENATE("NAME_FORM_", SUBSTITUTE(UPPER(B165), " ", ""))</f>
        <v/>
      </c>
      <c r="B165" s="29" t="inlineStr">
        <is>
          <t>Mint Cream</t>
        </is>
      </c>
      <c r="C165" s="29" t="inlineStr">
        <is>
          <t>ミルキィミント</t>
        </is>
      </c>
      <c r="D165" s="29" t="inlineStr">
        <is>
          <t>Lait Menthe</t>
        </is>
      </c>
      <c r="E165" s="29" t="inlineStr">
        <is>
          <t>Minz-Creme</t>
        </is>
      </c>
      <c r="F165" s="29" t="inlineStr">
        <is>
          <t>Crema de Menta</t>
        </is>
      </c>
      <c r="G165" s="29" t="inlineStr">
        <is>
          <t xml:space="preserve">Lattementa </t>
        </is>
      </c>
      <c r="H165" s="29" t="inlineStr">
        <is>
          <t>밀키민트</t>
        </is>
      </c>
      <c r="I165" s="29" t="inlineStr">
        <is>
          <t>奶香薄荷</t>
        </is>
      </c>
      <c r="J165" s="29">
        <f>I165</f>
        <v/>
      </c>
      <c r="K165" s="29">
        <f>F165</f>
        <v/>
      </c>
    </row>
    <row r="166">
      <c r="A166" s="29">
        <f>CONCATENATE("NAME_FORM_", SUBSTITUTE(UPPER(B166), " ", ""))</f>
        <v/>
      </c>
      <c r="B166" s="29" t="inlineStr">
        <is>
          <t>Lemon Cream</t>
        </is>
      </c>
      <c r="C166" s="29" t="inlineStr">
        <is>
          <t>ミルキィレモン</t>
        </is>
      </c>
      <c r="D166" s="29" t="inlineStr">
        <is>
          <t>Lait Citron</t>
        </is>
      </c>
      <c r="E166" s="29" t="inlineStr">
        <is>
          <t>Zitronen-Creme</t>
        </is>
      </c>
      <c r="F166" s="29" t="inlineStr">
        <is>
          <t>Crema de Limón</t>
        </is>
      </c>
      <c r="G166" s="29" t="inlineStr">
        <is>
          <t xml:space="preserve">Lattelimone </t>
        </is>
      </c>
      <c r="H166" s="29" t="inlineStr">
        <is>
          <t>밀키레몬</t>
        </is>
      </c>
      <c r="I166" s="29" t="inlineStr">
        <is>
          <t>奶香檸檬</t>
        </is>
      </c>
      <c r="J166" s="29">
        <f>IFERROR(__xludf.DUMMYFUNCTION("GOOGLETRANSLATE(I166,""zh_HANT"",""zh_HANS"")"),"奶香柠檬")</f>
        <v/>
      </c>
      <c r="K166" s="29">
        <f>F166</f>
        <v/>
      </c>
    </row>
    <row r="167">
      <c r="A167" s="29">
        <f>CONCATENATE("NAME_FORM_", SUBSTITUTE(UPPER(B167), " ", ""))</f>
        <v/>
      </c>
      <c r="B167" s="29" t="inlineStr">
        <is>
          <t>Salted Cream</t>
        </is>
      </c>
      <c r="C167" s="29" t="inlineStr">
        <is>
          <t>ミルキィサルト</t>
        </is>
      </c>
      <c r="D167" s="29" t="inlineStr">
        <is>
          <t>Lait Salé</t>
        </is>
      </c>
      <c r="E167" s="29" t="inlineStr">
        <is>
          <t>Salz-Creme</t>
        </is>
      </c>
      <c r="F167" s="29" t="inlineStr">
        <is>
          <t>Crema Salada</t>
        </is>
      </c>
      <c r="G167" s="29" t="inlineStr">
        <is>
          <t xml:space="preserve">Lattesale </t>
        </is>
      </c>
      <c r="H167" s="29" t="inlineStr">
        <is>
          <t>밀키솔트</t>
        </is>
      </c>
      <c r="I167" s="29" t="inlineStr">
        <is>
          <t>奶香雪鹽</t>
        </is>
      </c>
      <c r="J167" s="29">
        <f>IFERROR(__xludf.DUMMYFUNCTION("GOOGLETRANSLATE(I167,""zh_HANT"",""zh_HANS"")"),"奶香雪盐")</f>
        <v/>
      </c>
      <c r="K167" s="29">
        <f>F167</f>
        <v/>
      </c>
    </row>
    <row r="168">
      <c r="A168" s="29">
        <f>CONCATENATE("NAME_FORM_", SUBSTITUTE(UPPER(B168), " ", ""))</f>
        <v/>
      </c>
      <c r="B168" s="29" t="inlineStr">
        <is>
          <t>Ruby Swirl</t>
        </is>
      </c>
      <c r="C168" s="29" t="inlineStr">
        <is>
          <t>ルビーミックス</t>
        </is>
      </c>
      <c r="D168" s="29" t="inlineStr">
        <is>
          <t>Mélange Ruby</t>
        </is>
      </c>
      <c r="E168" s="29" t="inlineStr">
        <is>
          <t>Ruby-Mix</t>
        </is>
      </c>
      <c r="F168" s="29" t="inlineStr">
        <is>
          <t>Mezcla Rosa</t>
        </is>
      </c>
      <c r="G168" s="29" t="inlineStr">
        <is>
          <t xml:space="preserve">Rosamix </t>
        </is>
      </c>
      <c r="H168" s="29" t="inlineStr">
        <is>
          <t>루비믹스</t>
        </is>
      </c>
      <c r="I168" s="29" t="inlineStr">
        <is>
          <t>紅鑽綜合</t>
        </is>
      </c>
      <c r="J168" s="29">
        <f>IFERROR(__xludf.DUMMYFUNCTION("GOOGLETRANSLATE(I168,""zh_HANT"",""zh_HANS"")"),"红钻综合")</f>
        <v/>
      </c>
      <c r="K168" s="29">
        <f>F168</f>
        <v/>
      </c>
    </row>
    <row r="169">
      <c r="A169" s="29">
        <f>CONCATENATE("NAME_FORM_", SUBSTITUTE(UPPER(B169), " ", ""))</f>
        <v/>
      </c>
      <c r="B169" s="29" t="inlineStr">
        <is>
          <t>Caramel Swirl</t>
        </is>
      </c>
      <c r="C169" s="29" t="inlineStr">
        <is>
          <t>キャラメルミックス</t>
        </is>
      </c>
      <c r="D169" s="29" t="inlineStr">
        <is>
          <t>Mélange Caramel</t>
        </is>
      </c>
      <c r="E169" s="29" t="inlineStr">
        <is>
          <t>Karamell-Mix</t>
        </is>
      </c>
      <c r="F169" s="29" t="inlineStr">
        <is>
          <t>Mezcla Caramelo</t>
        </is>
      </c>
      <c r="G169" s="29" t="inlineStr">
        <is>
          <t xml:space="preserve">Caramelmix </t>
        </is>
      </c>
      <c r="H169" s="29" t="inlineStr">
        <is>
          <t>캐러멜믹스</t>
        </is>
      </c>
      <c r="I169" s="29" t="inlineStr">
        <is>
          <t>焦糖綜合</t>
        </is>
      </c>
      <c r="J169" s="29">
        <f>IFERROR(__xludf.DUMMYFUNCTION("GOOGLETRANSLATE(I169,""zh_HANT"",""zh_HANS"")"),"焦糖综合")</f>
        <v/>
      </c>
      <c r="K169" s="29">
        <f>F169</f>
        <v/>
      </c>
    </row>
    <row r="170">
      <c r="A170" s="29">
        <f>CONCATENATE("NAME_FORM_", SUBSTITUTE(UPPER(B170), " ", ""))</f>
        <v/>
      </c>
      <c r="B170" s="29" t="inlineStr">
        <is>
          <t>Rainbow Swirl</t>
        </is>
      </c>
      <c r="C170" s="29" t="inlineStr">
        <is>
          <t>トリプルミックス</t>
        </is>
      </c>
      <c r="D170" s="29" t="inlineStr">
        <is>
          <t>Mélange Tricolore</t>
        </is>
      </c>
      <c r="E170" s="29" t="inlineStr">
        <is>
          <t>Trio-Mix</t>
        </is>
      </c>
      <c r="F170" s="29" t="inlineStr">
        <is>
          <t>Tres Sabores</t>
        </is>
      </c>
      <c r="G170" s="29" t="inlineStr">
        <is>
          <t xml:space="preserve">Triplomix </t>
        </is>
      </c>
      <c r="H170" s="29" t="inlineStr">
        <is>
          <t>트리플믹스</t>
        </is>
      </c>
      <c r="I170" s="29" t="inlineStr">
        <is>
          <t>三色綜合</t>
        </is>
      </c>
      <c r="J170" s="29">
        <f>IFERROR(__xludf.DUMMYFUNCTION("GOOGLETRANSLATE(I170,""zh_HANT"",""zh_HANS"")"),"三色综合")</f>
        <v/>
      </c>
      <c r="K170" s="29">
        <f>F170</f>
        <v/>
      </c>
    </row>
    <row r="171">
      <c r="A171" s="29">
        <f>CONCATENATE("NAME_FORM_", SUBSTITUTE(UPPER(B171), " ", ""))</f>
        <v/>
      </c>
      <c r="B171" s="29">
        <f>Abilities!B249</f>
        <v/>
      </c>
      <c r="C171" s="29">
        <f>Abilities!C249</f>
        <v/>
      </c>
      <c r="D171" s="29">
        <f>Abilities!D249</f>
        <v/>
      </c>
      <c r="E171" s="29">
        <f>Abilities!E249</f>
        <v/>
      </c>
      <c r="F171" s="29">
        <f>Abilities!F249</f>
        <v/>
      </c>
      <c r="G171" s="29">
        <f>Abilities!G249</f>
        <v/>
      </c>
      <c r="H171" s="29">
        <f>Abilities!H249</f>
        <v/>
      </c>
      <c r="I171" s="29">
        <f>Abilities!I249</f>
        <v/>
      </c>
      <c r="J171" s="29">
        <f>Abilities!J249</f>
        <v/>
      </c>
      <c r="K171" s="29">
        <f>F171</f>
        <v/>
      </c>
    </row>
    <row r="172">
      <c r="A172" s="29">
        <f>CONCATENATE("NAME_FORM_", SUBSTITUTE(UPPER(B172), " ", ""))</f>
        <v/>
      </c>
      <c r="B172" s="29" t="inlineStr">
        <is>
          <t>Noice Face</t>
        </is>
      </c>
      <c r="C172" s="29" t="inlineStr">
        <is>
          <t>ナイスフェイス</t>
        </is>
      </c>
      <c r="D172" s="29" t="inlineStr">
        <is>
          <t>Tête Dégel</t>
        </is>
      </c>
      <c r="E172" s="29" t="inlineStr">
        <is>
          <t>Wohlfühlkopf</t>
        </is>
      </c>
      <c r="F172" s="29" t="inlineStr">
        <is>
          <t>Cara Deshielo</t>
        </is>
      </c>
      <c r="G172" s="29" t="inlineStr">
        <is>
          <t>Liquefaccia</t>
        </is>
      </c>
      <c r="H172" s="29" t="inlineStr">
        <is>
          <t>나이스페이스</t>
        </is>
      </c>
      <c r="I172" s="29" t="inlineStr">
        <is>
          <t>解凍頭</t>
        </is>
      </c>
      <c r="J172" s="29">
        <f>IFERROR(__xludf.DUMMYFUNCTION("GOOGLETRANSLATE(I172,""zh_HANT"",""zh_HANS"")"),"解冻头")</f>
        <v/>
      </c>
      <c r="K172" s="29">
        <f>F172</f>
        <v/>
      </c>
    </row>
    <row r="173">
      <c r="A173" s="29">
        <f>CONCATENATE("NAME_FORM_", SUBSTITUTE(UPPER(B173), " ", ""))</f>
        <v/>
      </c>
      <c r="B173" s="29" t="inlineStr">
        <is>
          <t>Full Belly Mode</t>
        </is>
      </c>
      <c r="C173" s="29" t="inlineStr">
        <is>
          <t>まんぷくもよう</t>
        </is>
      </c>
      <c r="D173" s="29" t="inlineStr">
        <is>
          <t>Mode Rassasié</t>
        </is>
      </c>
      <c r="E173" s="29" t="inlineStr">
        <is>
          <t>Pappsattmuster</t>
        </is>
      </c>
      <c r="F173" s="29" t="inlineStr">
        <is>
          <t>Forma Saciada</t>
        </is>
      </c>
      <c r="G173" s="29" t="inlineStr">
        <is>
          <t>Motivo Panciapiena</t>
        </is>
      </c>
      <c r="H173" s="29" t="inlineStr">
        <is>
          <t>배부른 모양</t>
        </is>
      </c>
      <c r="I173" s="29" t="inlineStr">
        <is>
          <t>滿腹花紋</t>
        </is>
      </c>
      <c r="J173" s="29">
        <f>IFERROR(__xludf.DUMMYFUNCTION("GOOGLETRANSLATE(I173,""zh_HANT"",""zh_HANS"")"),"满腹花纹")</f>
        <v/>
      </c>
      <c r="K173" s="29">
        <f>F173</f>
        <v/>
      </c>
    </row>
    <row r="174">
      <c r="A174" s="29">
        <f>CONCATENATE("NAME_FORM_", SUBSTITUTE(UPPER(B174), " ", ""))</f>
        <v/>
      </c>
      <c r="B174" s="29" t="inlineStr">
        <is>
          <t>Hangry Mode</t>
        </is>
      </c>
      <c r="C174" s="29" t="inlineStr">
        <is>
          <t>はらぺこもよう</t>
        </is>
      </c>
      <c r="D174" s="29" t="inlineStr">
        <is>
          <t>Mode Affamé</t>
        </is>
      </c>
      <c r="E174" s="29" t="inlineStr">
        <is>
          <t>Kohldampfmuster</t>
        </is>
      </c>
      <c r="F174" s="29" t="inlineStr">
        <is>
          <t>Forma Voraz</t>
        </is>
      </c>
      <c r="G174" s="29" t="inlineStr">
        <is>
          <t>Motivo Panciavuota</t>
        </is>
      </c>
      <c r="H174" s="29" t="inlineStr">
        <is>
          <t>배고픈 모양</t>
        </is>
      </c>
      <c r="I174" s="29" t="inlineStr">
        <is>
          <t>空腹花紋</t>
        </is>
      </c>
      <c r="J174" s="29">
        <f>IFERROR(__xludf.DUMMYFUNCTION("GOOGLETRANSLATE(I174,""zh_HANT"",""zh_HANS"")"),"空腹花纹")</f>
        <v/>
      </c>
      <c r="K174" s="29">
        <f>F174</f>
        <v/>
      </c>
    </row>
    <row r="175">
      <c r="A175" s="29">
        <f>CONCATENATE("NAME_FORM_", SUBSTITUTE(UPPER(B175), " ", ""))</f>
        <v/>
      </c>
      <c r="B175" s="29" t="inlineStr">
        <is>
          <t>Hero of Many Battles</t>
        </is>
      </c>
      <c r="C175" s="29" t="inlineStr">
        <is>
          <t>れきせんのゆうしゃ</t>
        </is>
      </c>
      <c r="D175" s="29" t="inlineStr">
        <is>
          <t>Héros Aguerri</t>
        </is>
      </c>
      <c r="E175" s="29" t="inlineStr">
        <is>
          <t>Heldenhafter Krieger</t>
        </is>
      </c>
      <c r="F175" s="29" t="inlineStr">
        <is>
          <t>Guerrero Avezado</t>
        </is>
      </c>
      <c r="G175" s="29" t="inlineStr">
        <is>
          <t>Eroe di Mille Lotte</t>
        </is>
      </c>
      <c r="H175" s="29" t="inlineStr">
        <is>
          <t>역전의 용사</t>
        </is>
      </c>
      <c r="I175" s="29" t="inlineStr">
        <is>
          <t>百戰勇者</t>
        </is>
      </c>
      <c r="J175" s="29">
        <f>IFERROR(__xludf.DUMMYFUNCTION("GOOGLETRANSLATE(I175,""zh_HANT"",""zh_HANS"")"),"百战勇者")</f>
        <v/>
      </c>
      <c r="K175" s="29">
        <f>F175</f>
        <v/>
      </c>
    </row>
    <row r="176">
      <c r="A176" s="29">
        <f>CONCATENATE("NAME_FORM_", SUBSTITUTE(UPPER(B176), " ", ""))</f>
        <v/>
      </c>
      <c r="B176" s="29" t="inlineStr">
        <is>
          <t>Crowned Sword</t>
        </is>
      </c>
      <c r="C176" s="29" t="inlineStr">
        <is>
          <t>けんのおう</t>
        </is>
      </c>
      <c r="D176" s="29" t="inlineStr">
        <is>
          <t>Épée Suprême</t>
        </is>
      </c>
      <c r="E176" s="29" t="inlineStr">
        <is>
          <t>König des Schwertes</t>
        </is>
      </c>
      <c r="F176" s="29" t="inlineStr">
        <is>
          <t>Espada Suprema</t>
        </is>
      </c>
      <c r="G176" s="29" t="inlineStr">
        <is>
          <t>Re delle Spade</t>
        </is>
      </c>
      <c r="H176" s="29" t="inlineStr">
        <is>
          <t>검왕</t>
        </is>
      </c>
      <c r="I176" s="29" t="inlineStr">
        <is>
          <t>劍之王</t>
        </is>
      </c>
      <c r="J176" s="29">
        <f>IFERROR(__xludf.DUMMYFUNCTION("GOOGLETRANSLATE(I176,""zh_HANT"",""zh_HANS"")"),"剑之王")</f>
        <v/>
      </c>
      <c r="K176" s="29">
        <f>F176</f>
        <v/>
      </c>
    </row>
    <row r="177">
      <c r="A177" s="29">
        <f>CONCATENATE("NAME_FORM_", SUBSTITUTE(UPPER(B177), " ", ""))</f>
        <v/>
      </c>
      <c r="B177" s="29" t="inlineStr">
        <is>
          <t>Crowned Shield</t>
        </is>
      </c>
      <c r="C177" s="29" t="inlineStr">
        <is>
          <t>たてのおう</t>
        </is>
      </c>
      <c r="D177" s="29" t="inlineStr">
        <is>
          <t>Bouclier Suprême</t>
        </is>
      </c>
      <c r="E177" s="29" t="inlineStr">
        <is>
          <t>König des Schildes</t>
        </is>
      </c>
      <c r="F177" s="29" t="inlineStr">
        <is>
          <t>Ecudo Supremo</t>
        </is>
      </c>
      <c r="G177" s="29" t="inlineStr">
        <is>
          <t>Re degli Scudi</t>
        </is>
      </c>
      <c r="H177" s="29" t="inlineStr">
        <is>
          <t>방패왕</t>
        </is>
      </c>
      <c r="I177" s="29" t="inlineStr">
        <is>
          <t>盾之王</t>
        </is>
      </c>
      <c r="J177" s="29">
        <f>I177</f>
        <v/>
      </c>
      <c r="K177" s="29">
        <f>F177</f>
        <v/>
      </c>
    </row>
    <row r="178">
      <c r="A178" s="29">
        <f>CONCATENATE("NAME_FORM_", SUBSTITUTE(UPPER(B178), " ", ""))</f>
        <v/>
      </c>
      <c r="B178" s="29" t="inlineStr">
        <is>
          <t>Eternamax</t>
        </is>
      </c>
      <c r="C178" s="29" t="inlineStr">
        <is>
          <t>ムゲンダイマックス</t>
        </is>
      </c>
      <c r="D178" s="29" t="inlineStr">
        <is>
          <t>Infinimax</t>
        </is>
      </c>
      <c r="E178" s="29" t="inlineStr">
        <is>
          <t>Unendynamax</t>
        </is>
      </c>
      <c r="F178" s="29" t="inlineStr">
        <is>
          <t>Dinamax Infinito</t>
        </is>
      </c>
      <c r="G178" s="29" t="inlineStr">
        <is>
          <t>Dynamax Infinito</t>
        </is>
      </c>
      <c r="H178" s="29" t="inlineStr">
        <is>
          <t>무한다이맥스</t>
        </is>
      </c>
      <c r="I178" s="29" t="inlineStr">
        <is>
          <t>無極巨化</t>
        </is>
      </c>
      <c r="J178" s="29">
        <f>IFERROR(__xludf.DUMMYFUNCTION("GOOGLETRANSLATE(I178,""zh_HANT"",""zh_HANS"")"),"无极巨化")</f>
        <v/>
      </c>
      <c r="K178" s="29">
        <f>F178</f>
        <v/>
      </c>
    </row>
    <row r="179">
      <c r="A179" s="29">
        <f>CONCATENATE("NAME_FORM_", SUBSTITUTE(UPPER(B179), " ", ""))</f>
        <v/>
      </c>
      <c r="B179" s="29" t="inlineStr">
        <is>
          <t>Single Strike Style</t>
        </is>
      </c>
      <c r="C179" s="29" t="inlineStr">
        <is>
          <t>いちげきのかた</t>
        </is>
      </c>
      <c r="D179" s="29" t="inlineStr">
        <is>
          <t>Style Poing Final</t>
        </is>
      </c>
      <c r="E179" s="29" t="inlineStr">
        <is>
          <t>Fokussierten Stil</t>
        </is>
      </c>
      <c r="F179" s="29" t="inlineStr">
        <is>
          <t>Estilo Brusco</t>
        </is>
      </c>
      <c r="G179" s="29" t="inlineStr">
        <is>
          <t>Stile Singolcolpo</t>
        </is>
      </c>
      <c r="H179" s="29" t="inlineStr">
        <is>
          <t>일격의 태세</t>
        </is>
      </c>
      <c r="I179" s="29" t="inlineStr">
        <is>
          <t>一擊流</t>
        </is>
      </c>
      <c r="J179" s="29">
        <f>IFERROR(__xludf.DUMMYFUNCTION("GOOGLETRANSLATE(I179,""zh_HANT"",""zh_HANS"")"),"一击流")</f>
        <v/>
      </c>
      <c r="K179" s="29">
        <f>F179</f>
        <v/>
      </c>
    </row>
    <row r="180">
      <c r="A180" s="29">
        <f>CONCATENATE("NAME_FORM_", SUBSTITUTE(UPPER(B180), " ", ""))</f>
        <v/>
      </c>
      <c r="B180" s="29" t="inlineStr">
        <is>
          <t>Rapid Strike Style</t>
        </is>
      </c>
      <c r="C180" s="29" t="inlineStr">
        <is>
          <t>れんげきのかた</t>
        </is>
      </c>
      <c r="D180" s="29" t="inlineStr">
        <is>
          <t>Style Mille Poings</t>
        </is>
      </c>
      <c r="E180" s="29" t="inlineStr">
        <is>
          <t>Fließenden Stil</t>
        </is>
      </c>
      <c r="F180" s="29" t="inlineStr">
        <is>
          <t>Estilo Fluido</t>
        </is>
      </c>
      <c r="G180" s="29" t="inlineStr">
        <is>
          <t>Stile Pluricolpo</t>
        </is>
      </c>
      <c r="H180" s="29" t="inlineStr">
        <is>
          <t>연격의 태세</t>
        </is>
      </c>
      <c r="I180" s="29" t="inlineStr">
        <is>
          <t>連擊流</t>
        </is>
      </c>
      <c r="J180" s="29">
        <f>IFERROR(__xludf.DUMMYFUNCTION("GOOGLETRANSLATE(I180,""zh_HANT"",""zh_HANS"")"),"连击流")</f>
        <v/>
      </c>
      <c r="K180" s="29">
        <f>F180</f>
        <v/>
      </c>
    </row>
    <row r="181">
      <c r="A181" s="29">
        <f>CONCATENATE("NAME_FORM_", SUBSTITUTE(UPPER(B181), " ", ""))</f>
        <v/>
      </c>
      <c r="B181" s="29" t="inlineStr">
        <is>
          <t>Dada</t>
        </is>
      </c>
      <c r="C181" s="29" t="inlineStr">
        <is>
          <t>とうちゃん</t>
        </is>
      </c>
      <c r="D181" s="29" t="inlineStr">
        <is>
          <t>Papa</t>
        </is>
      </c>
      <c r="E181" s="29">
        <f>D181</f>
        <v/>
      </c>
      <c r="F181" s="29" t="inlineStr">
        <is>
          <t>Papá</t>
        </is>
      </c>
      <c r="G181" s="29" t="inlineStr">
        <is>
          <t>Papà</t>
        </is>
      </c>
      <c r="H181" s="29" t="inlineStr">
        <is>
          <t>아빠</t>
        </is>
      </c>
      <c r="I181" s="29" t="inlineStr">
        <is>
          <t>阿爸</t>
        </is>
      </c>
      <c r="J181" s="29">
        <f>I181</f>
        <v/>
      </c>
      <c r="K181" s="29">
        <f>F181</f>
        <v/>
      </c>
    </row>
    <row r="182">
      <c r="A182" s="29">
        <f>CONCATENATE("NAME_FORM_", SUBSTITUTE(UPPER(B182), " ", ""))</f>
        <v/>
      </c>
      <c r="B182" s="29" t="inlineStr">
        <is>
          <t>Ice Rider</t>
        </is>
      </c>
      <c r="C182" s="29" t="inlineStr">
        <is>
          <t>はくばじょうのすがた</t>
        </is>
      </c>
      <c r="D182" s="29" t="inlineStr">
        <is>
          <t>Cavalier du Froid</t>
        </is>
      </c>
      <c r="E182" s="29" t="inlineStr">
        <is>
          <t>Schimmelreiter</t>
        </is>
      </c>
      <c r="F182" s="29" t="inlineStr">
        <is>
          <t>Jinete Glacial</t>
        </is>
      </c>
      <c r="G182" s="29" t="inlineStr">
        <is>
          <t>Cavaliere Glaciale</t>
        </is>
      </c>
      <c r="H182" s="29" t="inlineStr">
        <is>
          <t>백마 탄 모습</t>
        </is>
      </c>
      <c r="I182" s="29" t="inlineStr">
        <is>
          <t>騎白馬的樣子</t>
        </is>
      </c>
      <c r="J182" s="29">
        <f>IFERROR(__xludf.DUMMYFUNCTION("GOOGLETRANSLATE(I182,""zh_HANT"",""zh_HANS"")"),"骑白马的样子")</f>
        <v/>
      </c>
      <c r="K182" s="29">
        <f>F182</f>
        <v/>
      </c>
    </row>
    <row r="183">
      <c r="A183" s="29">
        <f>CONCATENATE("NAME_FORM_", SUBSTITUTE(UPPER(B183), " ", ""))</f>
        <v/>
      </c>
      <c r="B183" s="29" t="inlineStr">
        <is>
          <t>Shadow Rider</t>
        </is>
      </c>
      <c r="C183" s="29" t="inlineStr">
        <is>
          <t>こくばじょうのすがた</t>
        </is>
      </c>
      <c r="D183" s="29" t="inlineStr">
        <is>
          <t>Cavalier d'Effroi</t>
        </is>
      </c>
      <c r="E183" s="29" t="inlineStr">
        <is>
          <t>Rappenreiter</t>
        </is>
      </c>
      <c r="F183" s="29" t="inlineStr">
        <is>
          <t>Jinete Espectral</t>
        </is>
      </c>
      <c r="G183" s="29" t="inlineStr">
        <is>
          <t>Cavaliere Spettrale</t>
        </is>
      </c>
      <c r="H183" s="29" t="inlineStr">
        <is>
          <t>흑마 탄 모습</t>
        </is>
      </c>
      <c r="I183" s="29" t="inlineStr">
        <is>
          <t>騎黑馬的樣子</t>
        </is>
      </c>
      <c r="J183" s="29">
        <f>IFERROR(__xludf.DUMMYFUNCTION("GOOGLETRANSLATE(I183,""zh_HANT"",""zh_HANS"")"),"骑黑马的样子")</f>
        <v/>
      </c>
      <c r="K183" s="29">
        <f>F183</f>
        <v/>
      </c>
    </row>
    <row r="184">
      <c r="A184" s="29">
        <f>CONCATENATE("NAME_FORM_", SUBSTITUTE(UPPER(B184), " ", ""))</f>
        <v/>
      </c>
      <c r="B184" s="29" t="inlineStr">
        <is>
          <t>Hisuian Form</t>
        </is>
      </c>
      <c r="C184" s="29" t="inlineStr">
        <is>
          <t>ヒスイのすがた</t>
        </is>
      </c>
      <c r="D184" s="29" t="inlineStr">
        <is>
          <t>Forme de Hisui</t>
        </is>
      </c>
      <c r="E184" s="29" t="inlineStr">
        <is>
          <t>Hisui-Form</t>
        </is>
      </c>
      <c r="F184" s="29" t="inlineStr">
        <is>
          <t>Forma de Hisui</t>
        </is>
      </c>
      <c r="G184" s="29" t="inlineStr">
        <is>
          <t>Forma di Hisui</t>
        </is>
      </c>
      <c r="H184" s="29" t="inlineStr">
        <is>
          <t>히스이의 모습</t>
        </is>
      </c>
      <c r="I184" s="12" t="inlineStr">
        <is>
          <t>洗翠的樣子</t>
        </is>
      </c>
      <c r="J184" s="29">
        <f>IFERROR(__xludf.DUMMYFUNCTION("GOOGLETRANSLATE(I184,""zh_HANT"",""zh_HANS"")"),"洗翠的样子")</f>
        <v/>
      </c>
      <c r="K184" s="29">
        <f>F184</f>
        <v/>
      </c>
    </row>
    <row r="185">
      <c r="A185" s="29">
        <f>CONCATENATE("NAME_FORM_", SUBSTITUTE(UPPER(B185), " ", ""))</f>
        <v/>
      </c>
      <c r="B185" s="29" t="inlineStr">
        <is>
          <t>White-Striped Form</t>
        </is>
      </c>
      <c r="C185" s="29" t="inlineStr">
        <is>
          <t>しろすじのすがた</t>
        </is>
      </c>
      <c r="D185" s="29" t="inlineStr">
        <is>
          <t>Motif Blanc</t>
        </is>
      </c>
      <c r="E185" s="29" t="inlineStr">
        <is>
          <t>Weißlinige Form</t>
        </is>
      </c>
      <c r="F185" s="29" t="inlineStr">
        <is>
          <t>Forma Raya Blanca</t>
        </is>
      </c>
      <c r="G185" s="29" t="inlineStr">
        <is>
          <t>Forma Lineabianca</t>
        </is>
      </c>
      <c r="H185" s="29" t="inlineStr">
        <is>
          <t>백색근의 모습</t>
        </is>
      </c>
      <c r="I185" s="4" t="inlineStr">
        <is>
          <t>白条纹的樣子</t>
        </is>
      </c>
      <c r="J185" s="29">
        <f>IFERROR(__xludf.DUMMYFUNCTION("GOOGLETRANSLATE(I185,""zh_HANT"",""zh_HANS"")"),"白条纹的样子")</f>
        <v/>
      </c>
      <c r="K185" s="29">
        <f>F185</f>
        <v/>
      </c>
    </row>
    <row r="186">
      <c r="A186" s="29">
        <f>CONCATENATE("NAME_FORM_", SUBSTITUTE(UPPER(B186), " ", ""))</f>
        <v/>
      </c>
      <c r="B186" s="29" t="inlineStr">
        <is>
          <t>Paldean Form</t>
        </is>
      </c>
      <c r="C186" s="29" t="inlineStr">
        <is>
          <t>パルデアのすがた</t>
        </is>
      </c>
      <c r="D186" s="29" t="inlineStr">
        <is>
          <t>Forme de Paldea</t>
        </is>
      </c>
      <c r="E186" s="29" t="inlineStr">
        <is>
          <t>Paldea-Form</t>
        </is>
      </c>
      <c r="F186" s="29" t="inlineStr">
        <is>
          <t>Forma de Paldea</t>
        </is>
      </c>
      <c r="G186" s="29" t="inlineStr">
        <is>
          <t>Forma di Paldea</t>
        </is>
      </c>
      <c r="H186" s="29" t="inlineStr">
        <is>
          <t>팔데아 모습</t>
        </is>
      </c>
      <c r="I186" s="4" t="inlineStr">
        <is>
          <t>帕底亞的樣子</t>
        </is>
      </c>
      <c r="J186" s="29">
        <f>IFERROR(__xludf.DUMMYFUNCTION("GOOGLETRANSLATE(I186,""zh_HANT"",""zh_HANS"")"),"帕底亚的样子")</f>
        <v/>
      </c>
      <c r="K186" s="29">
        <f>F186</f>
        <v/>
      </c>
    </row>
    <row r="187">
      <c r="A187" s="29">
        <f>CONCATENATE("NAME_FORM_", SUBSTITUTE(UPPER(B187), " ", ""))</f>
        <v/>
      </c>
      <c r="B187" s="29" t="inlineStr">
        <is>
          <t>Combat Breed</t>
        </is>
      </c>
      <c r="C187" s="29" t="inlineStr">
        <is>
          <t>コンバットしゅ</t>
        </is>
      </c>
      <c r="D187" s="29" t="inlineStr">
        <is>
          <t>Race Combative</t>
        </is>
      </c>
      <c r="E187" s="29" t="inlineStr">
        <is>
          <t>Gefechtvariante</t>
        </is>
      </c>
      <c r="F187" s="29" t="inlineStr">
        <is>
          <t>Variedad Combatiente</t>
        </is>
      </c>
      <c r="G187" s="29" t="inlineStr">
        <is>
          <t>Varietà Combattiva</t>
        </is>
      </c>
      <c r="H187" s="29" t="inlineStr">
        <is>
          <t>컴뱃종</t>
        </is>
      </c>
      <c r="I187" s="4" t="inlineStr">
        <is>
          <t>鬥戰種</t>
        </is>
      </c>
      <c r="J187" s="29">
        <f>IFERROR(__xludf.DUMMYFUNCTION("GOOGLETRANSLATE(I187,""zh_HANT"",""zh_HANS"")"),"斗战种")</f>
        <v/>
      </c>
      <c r="K187" s="29">
        <f>F187</f>
        <v/>
      </c>
    </row>
    <row r="188">
      <c r="A188" s="29">
        <f>CONCATENATE("NAME_FORM_", SUBSTITUTE(UPPER(B188), " ", ""))</f>
        <v/>
      </c>
      <c r="B188" s="29" t="inlineStr">
        <is>
          <t>Blaze Breed</t>
        </is>
      </c>
      <c r="C188" s="29" t="inlineStr">
        <is>
          <t>ブレイズしゅ</t>
        </is>
      </c>
      <c r="D188" s="29" t="inlineStr">
        <is>
          <t>Race Flamboyante</t>
        </is>
      </c>
      <c r="E188" s="29" t="inlineStr">
        <is>
          <t>Flammenvariante</t>
        </is>
      </c>
      <c r="F188" s="29" t="inlineStr">
        <is>
          <t>Variedad Ardiente</t>
        </is>
      </c>
      <c r="G188" s="29" t="inlineStr">
        <is>
          <t>Varietà Infuocata</t>
        </is>
      </c>
      <c r="H188" s="29" t="inlineStr">
        <is>
          <t>블레이즈종</t>
        </is>
      </c>
      <c r="I188" s="4" t="inlineStr">
        <is>
          <t>火熾種</t>
        </is>
      </c>
      <c r="J188" s="29">
        <f>IFERROR(__xludf.DUMMYFUNCTION("GOOGLETRANSLATE(I188,""zh_HANT"",""zh_HANS"")"),"火炽种")</f>
        <v/>
      </c>
      <c r="K188" s="29">
        <f>F188</f>
        <v/>
      </c>
    </row>
    <row r="189">
      <c r="A189" s="29">
        <f>CONCATENATE("NAME_FORM_", SUBSTITUTE(UPPER(B189), " ", ""))</f>
        <v/>
      </c>
      <c r="B189" s="29" t="inlineStr">
        <is>
          <t>Aqua Breed</t>
        </is>
      </c>
      <c r="C189" s="29" t="inlineStr">
        <is>
          <t>ウォーターしゅ</t>
        </is>
      </c>
      <c r="D189" s="29" t="inlineStr">
        <is>
          <t>Race Aquatique</t>
        </is>
      </c>
      <c r="E189" s="29" t="inlineStr">
        <is>
          <t>Flutenvariante</t>
        </is>
      </c>
      <c r="F189" s="29" t="inlineStr">
        <is>
          <t>Variedad Acuática</t>
        </is>
      </c>
      <c r="G189" s="29" t="inlineStr">
        <is>
          <t>Varietà Acquatica</t>
        </is>
      </c>
      <c r="H189" s="29" t="inlineStr">
        <is>
          <t>워터종</t>
        </is>
      </c>
      <c r="I189" s="4" t="inlineStr">
        <is>
          <t>水瀾種</t>
        </is>
      </c>
      <c r="J189" s="29">
        <f>IFERROR(__xludf.DUMMYFUNCTION("GOOGLETRANSLATE(I189,""zh_HANT"",""zh_HANS"")"),"水澜种")</f>
        <v/>
      </c>
      <c r="K189" s="29">
        <f>F189</f>
        <v/>
      </c>
    </row>
    <row r="190">
      <c r="A190" s="29">
        <f>CONCATENATE("NAME_FORM_", SUBSTITUTE(UPPER(B190), " ", ""))</f>
        <v/>
      </c>
      <c r="B190" s="29" t="inlineStr">
        <is>
          <t>Family of Three</t>
        </is>
      </c>
      <c r="C190" s="29" t="inlineStr">
        <is>
          <t>３びきかぞく</t>
        </is>
      </c>
      <c r="D190" s="29" t="inlineStr">
        <is>
          <t>Familie de Trois</t>
        </is>
      </c>
      <c r="E190" s="29" t="inlineStr">
        <is>
          <t>Dreierfamilie</t>
        </is>
      </c>
      <c r="F190" s="29" t="inlineStr">
        <is>
          <t>Familia de Tres</t>
        </is>
      </c>
      <c r="G190" s="29" t="inlineStr">
        <is>
          <t>Trifamiglia</t>
        </is>
      </c>
      <c r="H190" s="29" t="inlineStr">
        <is>
          <t>세 식구</t>
        </is>
      </c>
      <c r="I190" s="4" t="inlineStr">
        <is>
          <t>三隻家庭</t>
        </is>
      </c>
      <c r="J190" s="29">
        <f>IFERROR(__xludf.DUMMYFUNCTION("GOOGLETRANSLATE(I190,""zh_HANT"",""zh_HANS"")"),"三只家庭")</f>
        <v/>
      </c>
      <c r="K190" s="29">
        <f>F190</f>
        <v/>
      </c>
    </row>
    <row r="191">
      <c r="A191" s="29">
        <f>CONCATENATE("NAME_FORM_", SUBSTITUTE(UPPER(B191), " ", ""))</f>
        <v/>
      </c>
      <c r="B191" s="29" t="inlineStr">
        <is>
          <t>Family of Four</t>
        </is>
      </c>
      <c r="C191" s="29" t="inlineStr">
        <is>
          <t>４びきかぞく</t>
        </is>
      </c>
      <c r="D191" s="29" t="inlineStr">
        <is>
          <t>Familie de Quatre</t>
        </is>
      </c>
      <c r="E191" s="29" t="inlineStr">
        <is>
          <t>Viererfamilie</t>
        </is>
      </c>
      <c r="F191" s="29" t="inlineStr">
        <is>
          <t>Familia de Cuatro</t>
        </is>
      </c>
      <c r="G191" s="29" t="inlineStr">
        <is>
          <t>Quadrifamiglia</t>
        </is>
      </c>
      <c r="H191" s="29" t="inlineStr">
        <is>
          <t>네 식구</t>
        </is>
      </c>
      <c r="I191" s="4" t="inlineStr">
        <is>
          <t>四隻家庭</t>
        </is>
      </c>
      <c r="J191" s="29">
        <f>IFERROR(__xludf.DUMMYFUNCTION("GOOGLETRANSLATE(I191,""zh_HANT"",""zh_HANS"")"),"四只家庭")</f>
        <v/>
      </c>
      <c r="K191" s="29">
        <f>F191</f>
        <v/>
      </c>
    </row>
    <row r="192">
      <c r="A192" s="29">
        <f>CONCATENATE("NAME_FORM_", SUBSTITUTE(UPPER(B192), " ", ""))</f>
        <v/>
      </c>
      <c r="B192" s="29" t="inlineStr">
        <is>
          <t>Green Plumage</t>
        </is>
      </c>
      <c r="C192" s="29" t="inlineStr">
        <is>
          <t>グリーンフェザー</t>
        </is>
      </c>
      <c r="D192" s="29" t="inlineStr">
        <is>
          <t>Plumage Vert</t>
        </is>
      </c>
      <c r="E192" s="29" t="inlineStr">
        <is>
          <t>Grüngefiedert</t>
        </is>
      </c>
      <c r="F192" s="29" t="inlineStr">
        <is>
          <t>Plumaje Verde</t>
        </is>
      </c>
      <c r="G192" s="29" t="inlineStr">
        <is>
          <t>Piume Verdi</t>
        </is>
      </c>
      <c r="H192" s="6" t="inlineStr">
        <is>
          <t>그린 페더</t>
        </is>
      </c>
      <c r="I192" s="4" t="inlineStr">
        <is>
          <t>綠羽毛</t>
        </is>
      </c>
      <c r="J192" s="29">
        <f>IFERROR(__xludf.DUMMYFUNCTION("GOOGLETRANSLATE(I192,""zh_HANT"",""zh_HANS"")"),"绿羽毛")</f>
        <v/>
      </c>
      <c r="K192" s="29">
        <f>F192</f>
        <v/>
      </c>
    </row>
    <row r="193">
      <c r="A193" s="29">
        <f>CONCATENATE("NAME_FORM_", SUBSTITUTE(UPPER(B193), " ", ""))</f>
        <v/>
      </c>
      <c r="B193" s="29" t="inlineStr">
        <is>
          <t>Blue Plumage</t>
        </is>
      </c>
      <c r="C193" s="29" t="inlineStr">
        <is>
          <t>ブルーフェザー</t>
        </is>
      </c>
      <c r="D193" s="29" t="inlineStr">
        <is>
          <t>Plumage Bleu</t>
        </is>
      </c>
      <c r="E193" s="29" t="inlineStr">
        <is>
          <t>Blaugefiedert</t>
        </is>
      </c>
      <c r="F193" s="29" t="inlineStr">
        <is>
          <t>Plumaje Azul</t>
        </is>
      </c>
      <c r="G193" s="29" t="inlineStr">
        <is>
          <t>Piume Azzurre</t>
        </is>
      </c>
      <c r="H193" s="6" t="inlineStr">
        <is>
          <t>블루 페더</t>
        </is>
      </c>
      <c r="I193" s="4" t="inlineStr">
        <is>
          <t>藍羽毛</t>
        </is>
      </c>
      <c r="J193" s="29">
        <f>IFERROR(__xludf.DUMMYFUNCTION("GOOGLETRANSLATE(I193,""zh_HANT"",""zh_HANS"")"),"蓝羽毛")</f>
        <v/>
      </c>
      <c r="K193" s="29">
        <f>F193</f>
        <v/>
      </c>
    </row>
    <row r="194">
      <c r="A194" s="29">
        <f>CONCATENATE("NAME_FORM_", SUBSTITUTE(UPPER(B194), " ", ""))</f>
        <v/>
      </c>
      <c r="B194" s="29" t="inlineStr">
        <is>
          <t>Yellow Plumage</t>
        </is>
      </c>
      <c r="C194" s="29" t="inlineStr">
        <is>
          <t>イエローフェザー</t>
        </is>
      </c>
      <c r="D194" s="29" t="inlineStr">
        <is>
          <t>Plumage Jaune</t>
        </is>
      </c>
      <c r="E194" s="29" t="inlineStr">
        <is>
          <t>Gelbgefiedert</t>
        </is>
      </c>
      <c r="F194" s="29" t="inlineStr">
        <is>
          <t>Plumaje Amarillo</t>
        </is>
      </c>
      <c r="G194" s="29" t="inlineStr">
        <is>
          <t>Piume Gialle</t>
        </is>
      </c>
      <c r="H194" s="6" t="inlineStr">
        <is>
          <t>옐로 페더</t>
        </is>
      </c>
      <c r="I194" s="4" t="inlineStr">
        <is>
          <t>黃羽毛</t>
        </is>
      </c>
      <c r="J194" s="29">
        <f>IFERROR(__xludf.DUMMYFUNCTION("GOOGLETRANSLATE(I194,""zh_HANT"",""zh_HANS"")"),"黄羽毛")</f>
        <v/>
      </c>
      <c r="K194" s="29">
        <f>F194</f>
        <v/>
      </c>
    </row>
    <row r="195">
      <c r="A195" s="29">
        <f>CONCATENATE("NAME_FORM_", SUBSTITUTE(UPPER(B195), " ", ""))</f>
        <v/>
      </c>
      <c r="B195" s="29" t="inlineStr">
        <is>
          <t>White Plumage</t>
        </is>
      </c>
      <c r="C195" s="29" t="inlineStr">
        <is>
          <t>ホワイトフェザー</t>
        </is>
      </c>
      <c r="D195" s="29" t="inlineStr">
        <is>
          <t>Plumage Blanc</t>
        </is>
      </c>
      <c r="E195" s="29" t="inlineStr">
        <is>
          <t>Weißgefiedert</t>
        </is>
      </c>
      <c r="F195" s="29" t="inlineStr">
        <is>
          <t>Plumaje Blanco</t>
        </is>
      </c>
      <c r="G195" s="29" t="inlineStr">
        <is>
          <t>Piume Bianche</t>
        </is>
      </c>
      <c r="H195" s="29" t="inlineStr">
        <is>
          <t>화이트 페더</t>
        </is>
      </c>
      <c r="I195" s="4" t="inlineStr">
        <is>
          <t>白羽毛</t>
        </is>
      </c>
      <c r="J195" s="29">
        <f>I195</f>
        <v/>
      </c>
      <c r="K195" s="29">
        <f>F195</f>
        <v/>
      </c>
    </row>
    <row r="196">
      <c r="A196" s="29">
        <f>CONCATENATE("NAME_FORM_", SUBSTITUTE(UPPER(B196), " ", ""))</f>
        <v/>
      </c>
      <c r="B196" s="29" t="inlineStr">
        <is>
          <t>Two-Segment Form</t>
        </is>
      </c>
      <c r="C196" s="29" t="inlineStr">
        <is>
          <t>ふたふしフォルム</t>
        </is>
      </c>
      <c r="D196" s="29" t="inlineStr">
        <is>
          <t>Forme Double</t>
        </is>
      </c>
      <c r="E196" s="29" t="inlineStr">
        <is>
          <t>Zweisegmentform</t>
        </is>
      </c>
      <c r="F196" s="29" t="inlineStr">
        <is>
          <t>Forma Binodular</t>
        </is>
      </c>
      <c r="G196" s="29" t="inlineStr">
        <is>
          <t>Forma Bimetamero</t>
        </is>
      </c>
      <c r="H196" s="29" t="inlineStr">
        <is>
          <t>두 마디폼</t>
        </is>
      </c>
      <c r="I196" s="29">
        <f>IFERROR(__xludf.DUMMYFUNCTION("GOOGLETRANSLATE(J196,""zh_HANS"",""zh_HANT"")"),"二節形態")</f>
        <v/>
      </c>
      <c r="J196" s="29" t="inlineStr">
        <is>
          <t>二节形态</t>
        </is>
      </c>
      <c r="K196" s="29">
        <f>F196</f>
        <v/>
      </c>
    </row>
    <row r="197">
      <c r="A197" s="29">
        <f>CONCATENATE("NAME_FORM_", SUBSTITUTE(UPPER(B197), " ", ""))</f>
        <v/>
      </c>
      <c r="B197" s="29" t="inlineStr">
        <is>
          <t>Three-Segment Form</t>
        </is>
      </c>
      <c r="C197" s="29" t="inlineStr">
        <is>
          <t>みつふしフォルム</t>
        </is>
      </c>
      <c r="D197" s="29" t="inlineStr">
        <is>
          <t>Forme Triple</t>
        </is>
      </c>
      <c r="E197" s="29" t="inlineStr">
        <is>
          <t>Dreisegmentform</t>
        </is>
      </c>
      <c r="F197" s="29" t="inlineStr">
        <is>
          <t>Forma Trinodular</t>
        </is>
      </c>
      <c r="G197" s="29" t="inlineStr">
        <is>
          <t>Forma Trimetamero</t>
        </is>
      </c>
      <c r="H197" s="29" t="inlineStr">
        <is>
          <t>세 마디폼</t>
        </is>
      </c>
      <c r="I197" s="29">
        <f>IFERROR(__xludf.DUMMYFUNCTION("GOOGLETRANSLATE(J197,""zh_HANS"",""zh_HANT"")"),"三節形態")</f>
        <v/>
      </c>
      <c r="J197" s="29" t="inlineStr">
        <is>
          <t>三节形态</t>
        </is>
      </c>
      <c r="K197" s="29">
        <f>F197</f>
        <v/>
      </c>
    </row>
    <row r="198">
      <c r="A198" s="29">
        <f>CONCATENATE("NAME_FORM_", SUBSTITUTE(UPPER(B198), " ", ""))</f>
        <v/>
      </c>
      <c r="B198" s="29" t="inlineStr">
        <is>
          <t>Zero Form</t>
        </is>
      </c>
      <c r="C198" s="29" t="inlineStr">
        <is>
          <t>ナイーブフォルム</t>
        </is>
      </c>
      <c r="D198" s="29" t="inlineStr">
        <is>
          <t>Forme Ordinaire</t>
        </is>
      </c>
      <c r="E198" s="29" t="inlineStr">
        <is>
          <t>Alltagsform</t>
        </is>
      </c>
      <c r="F198" s="29" t="inlineStr">
        <is>
          <t>Forma Ingenua</t>
        </is>
      </c>
      <c r="G198" s="29">
        <f>F198</f>
        <v/>
      </c>
      <c r="H198" s="29" t="inlineStr">
        <is>
          <t>나이브폼</t>
        </is>
      </c>
      <c r="I198" s="29">
        <f>IFERROR(__xludf.DUMMYFUNCTION("GOOGLETRANSLATE(J198,""zh_HANS"",""zh_HANT"")"),"平凡形態")</f>
        <v/>
      </c>
      <c r="J198" s="29" t="inlineStr">
        <is>
          <t>平凡形态</t>
        </is>
      </c>
      <c r="K198" s="29">
        <f>F198</f>
        <v/>
      </c>
    </row>
    <row r="199">
      <c r="A199" s="29">
        <f>CONCATENATE("NAME_FORM_", SUBSTITUTE(UPPER(B199), " ", ""))</f>
        <v/>
      </c>
      <c r="B199" s="29" t="inlineStr">
        <is>
          <t>Hero Form</t>
        </is>
      </c>
      <c r="C199" s="29" t="inlineStr">
        <is>
          <t>マイティフォルム</t>
        </is>
      </c>
      <c r="D199" s="29" t="inlineStr">
        <is>
          <t>Forme Super</t>
        </is>
      </c>
      <c r="E199" s="29" t="inlineStr">
        <is>
          <t>Heldenform</t>
        </is>
      </c>
      <c r="F199" s="29" t="inlineStr">
        <is>
          <t>Forma Heroica</t>
        </is>
      </c>
      <c r="G199" s="29" t="inlineStr">
        <is>
          <t>Forma Possente</t>
        </is>
      </c>
      <c r="H199" s="29" t="inlineStr">
        <is>
          <t>마이티폼</t>
        </is>
      </c>
      <c r="I199" s="29">
        <f>IFERROR(__xludf.DUMMYFUNCTION("GOOGLETRANSLATE(J199,""zh_HANS"",""zh_HANT"")"),"全能形態")</f>
        <v/>
      </c>
      <c r="J199" s="29" t="inlineStr">
        <is>
          <t>全能形态</t>
        </is>
      </c>
      <c r="K199" s="29">
        <f>F199</f>
        <v/>
      </c>
    </row>
    <row r="200">
      <c r="A200" s="29">
        <f>CONCATENATE("NAME_FORM_", SUBSTITUTE(UPPER(B200), " ", ""))</f>
        <v/>
      </c>
      <c r="B200" s="29" t="inlineStr">
        <is>
          <t>Curly Form</t>
        </is>
      </c>
      <c r="C200" s="29" t="inlineStr">
        <is>
          <t>そったすがた</t>
        </is>
      </c>
      <c r="D200" s="29" t="inlineStr">
        <is>
          <t>Forme Courbée</t>
        </is>
      </c>
      <c r="E200" s="29" t="inlineStr">
        <is>
          <t>Gebogene Form</t>
        </is>
      </c>
      <c r="F200" s="29" t="inlineStr">
        <is>
          <t>Forma Curvada</t>
        </is>
      </c>
      <c r="G200" s="29" t="inlineStr">
        <is>
          <t>Forma Arcuata</t>
        </is>
      </c>
      <c r="H200" s="29" t="inlineStr">
        <is>
          <t>젖힌 모습</t>
        </is>
      </c>
      <c r="I200" s="4" t="inlineStr">
        <is>
          <t>上弓姿勢</t>
        </is>
      </c>
      <c r="J200" s="29">
        <f>IFERROR(__xludf.DUMMYFUNCTION("GOOGLETRANSLATE(I200,""zh_HANT"",""zh_HANS"")"),"上弓姿势")</f>
        <v/>
      </c>
      <c r="K200" s="29">
        <f>F200</f>
        <v/>
      </c>
    </row>
    <row r="201">
      <c r="A201" s="29">
        <f>CONCATENATE("NAME_FORM_", SUBSTITUTE(UPPER(B201), " ", ""))</f>
        <v/>
      </c>
      <c r="B201" s="29" t="inlineStr">
        <is>
          <t>Droopy Form</t>
        </is>
      </c>
      <c r="C201" s="29" t="inlineStr">
        <is>
          <t>たれたすがた</t>
        </is>
      </c>
      <c r="D201" s="29" t="inlineStr">
        <is>
          <t>Forme Affalée</t>
        </is>
      </c>
      <c r="E201" s="29" t="inlineStr">
        <is>
          <t>Hängende Form</t>
        </is>
      </c>
      <c r="F201" s="29" t="inlineStr">
        <is>
          <t>Forma Lánguida</t>
        </is>
      </c>
      <c r="G201" s="29" t="inlineStr">
        <is>
          <t>Forma Adagiata</t>
        </is>
      </c>
      <c r="H201" s="29" t="inlineStr">
        <is>
          <t>늘어진 모습</t>
        </is>
      </c>
      <c r="I201" s="4" t="inlineStr">
        <is>
          <t>下垂姿勢</t>
        </is>
      </c>
      <c r="J201" s="29">
        <f>IFERROR(__xludf.DUMMYFUNCTION("GOOGLETRANSLATE(I201,""zh_HANT"",""zh_HANS"")"),"下垂姿势")</f>
        <v/>
      </c>
      <c r="K201" s="29">
        <f>F201</f>
        <v/>
      </c>
    </row>
    <row r="202">
      <c r="A202" s="29">
        <f>CONCATENATE("NAME_FORM_", SUBSTITUTE(UPPER(B202), " ", ""))</f>
        <v/>
      </c>
      <c r="B202" s="29" t="inlineStr">
        <is>
          <t>Stretchy Form</t>
        </is>
      </c>
      <c r="C202" s="29" t="inlineStr">
        <is>
          <t>のびたすがた</t>
        </is>
      </c>
      <c r="D202" s="29" t="inlineStr">
        <is>
          <t>Forme Raide</t>
        </is>
      </c>
      <c r="E202" s="29" t="inlineStr">
        <is>
          <t>Gestreckte Form</t>
        </is>
      </c>
      <c r="F202" s="29" t="inlineStr">
        <is>
          <t>Forma Racta</t>
        </is>
      </c>
      <c r="G202" s="29" t="inlineStr">
        <is>
          <t>Forma Tesa</t>
        </is>
      </c>
      <c r="H202" s="29" t="inlineStr">
        <is>
          <t>뻗은 모습</t>
        </is>
      </c>
      <c r="I202" s="4" t="inlineStr">
        <is>
          <t>平挺姿勢</t>
        </is>
      </c>
      <c r="J202" s="29">
        <f>IFERROR(__xludf.DUMMYFUNCTION("GOOGLETRANSLATE(I202,""zh_HANT"",""zh_HANS"")"),"平挺姿势")</f>
        <v/>
      </c>
      <c r="K202" s="29">
        <f>F202</f>
        <v/>
      </c>
    </row>
    <row r="203">
      <c r="A203" s="29">
        <f>CONCATENATE("NAME_FORM_", SUBSTITUTE(UPPER(B203), " ", ""))</f>
        <v/>
      </c>
      <c r="B203" s="29" t="inlineStr">
        <is>
          <t>Chest Form</t>
        </is>
      </c>
      <c r="C203" s="29" t="inlineStr">
        <is>
          <t>はこフォルム</t>
        </is>
      </c>
      <c r="D203" s="29" t="inlineStr">
        <is>
          <t>Forme Coffre</t>
        </is>
      </c>
      <c r="E203" s="29" t="inlineStr">
        <is>
          <t>Truhenform</t>
        </is>
      </c>
      <c r="F203" s="29" t="inlineStr">
        <is>
          <t>Forma Cofre</t>
        </is>
      </c>
      <c r="G203" s="29" t="inlineStr">
        <is>
          <t>Forma Scrigno</t>
        </is>
      </c>
      <c r="H203" s="29" t="inlineStr">
        <is>
          <t>상자폼</t>
        </is>
      </c>
      <c r="I203" s="4" t="inlineStr">
        <is>
          <t>寶箱形態</t>
        </is>
      </c>
      <c r="J203" s="29">
        <f>IFERROR(__xludf.DUMMYFUNCTION("GOOGLETRANSLATE(I203,""zh_HANT"",""zh_HANS"")"),"宝箱形态")</f>
        <v/>
      </c>
      <c r="K203" s="29">
        <f>F203</f>
        <v/>
      </c>
    </row>
    <row r="204">
      <c r="A204" s="29">
        <f>CONCATENATE("NAME_FORM_", SUBSTITUTE(UPPER(B204), " ", ""))</f>
        <v/>
      </c>
      <c r="B204" s="29" t="inlineStr">
        <is>
          <t>Roaming Form</t>
        </is>
      </c>
      <c r="C204" s="29" t="inlineStr">
        <is>
          <t>とほフォルム</t>
        </is>
      </c>
      <c r="D204" s="29" t="inlineStr">
        <is>
          <t>Forme Marche</t>
        </is>
      </c>
      <c r="E204" s="29" t="inlineStr">
        <is>
          <t>Wanderform</t>
        </is>
      </c>
      <c r="F204" s="29" t="inlineStr">
        <is>
          <t>Forma Andante</t>
        </is>
      </c>
      <c r="G204" s="29" t="inlineStr">
        <is>
          <t>Forma Ambulante</t>
        </is>
      </c>
      <c r="H204" s="29" t="inlineStr">
        <is>
          <t>도보폼</t>
        </is>
      </c>
      <c r="I204" s="4" t="inlineStr">
        <is>
          <t>徒步形態</t>
        </is>
      </c>
      <c r="J204" s="29">
        <f>IFERROR(__xludf.DUMMYFUNCTION("GOOGLETRANSLATE(I204,""zh_HANT"",""zh_HANS"")"),"徒步形态")</f>
        <v/>
      </c>
      <c r="K204" s="29">
        <f>F204</f>
        <v/>
      </c>
    </row>
    <row r="205">
      <c r="A205" s="29">
        <f>CONCATENATE("NAME_FORM_", SUBSTITUTE(UPPER(B205), " ", ""))</f>
        <v/>
      </c>
      <c r="B205" s="29" t="inlineStr">
        <is>
          <t>Limited Power</t>
        </is>
      </c>
      <c r="C205" s="29" t="inlineStr">
        <is>
          <t>せいげんけいたい</t>
        </is>
      </c>
      <c r="D205" s="29" t="inlineStr">
        <is>
          <t>Forme Limitée</t>
        </is>
      </c>
      <c r="E205" s="29" t="inlineStr">
        <is>
          <t>Gehemmte Gestalt</t>
        </is>
      </c>
      <c r="F205" s="29" t="inlineStr">
        <is>
          <t>Fisonomía Limitada</t>
        </is>
      </c>
      <c r="G205" s="29" t="inlineStr">
        <is>
          <t>Foggia Parziale</t>
        </is>
      </c>
      <c r="H205" s="29" t="inlineStr">
        <is>
          <t>제한형태</t>
        </is>
      </c>
      <c r="I205" s="4" t="inlineStr">
        <is>
          <t>制限形態</t>
        </is>
      </c>
      <c r="J205" s="29">
        <f>IFERROR(__xludf.DUMMYFUNCTION("GOOGLETRANSLATE(I205,""zh_HANT"",""zh_HANS"")"),"制限形态")</f>
        <v/>
      </c>
      <c r="K205" s="29">
        <f>F205</f>
        <v/>
      </c>
    </row>
    <row r="206">
      <c r="A206" s="29">
        <f>CONCATENATE("NAME_FORM_", SUBSTITUTE(UPPER(B206), " ", ""))</f>
        <v/>
      </c>
      <c r="B206" s="29" t="inlineStr">
        <is>
          <t>Sprinting Build</t>
        </is>
      </c>
      <c r="C206" s="29" t="inlineStr">
        <is>
          <t>しっそうけいたい</t>
        </is>
      </c>
      <c r="D206" s="29" t="inlineStr">
        <is>
          <t>Forme de Course</t>
        </is>
      </c>
      <c r="E206" s="29" t="inlineStr">
        <is>
          <t>Sprintgestalt</t>
        </is>
      </c>
      <c r="F206" s="29" t="inlineStr">
        <is>
          <t>Fisonomía Carrera</t>
        </is>
      </c>
      <c r="G206" s="29" t="inlineStr">
        <is>
          <t>Foggia Scattante</t>
        </is>
      </c>
      <c r="H206" s="29" t="inlineStr">
        <is>
          <t>질주형태</t>
        </is>
      </c>
      <c r="I206" s="4" t="inlineStr">
        <is>
          <t>疾馳形態</t>
        </is>
      </c>
      <c r="J206" s="29">
        <f>IFERROR(__xludf.DUMMYFUNCTION("GOOGLETRANSLATE(I206,""zh_HANT"",""zh_HANS"")"),"疾驰形态")</f>
        <v/>
      </c>
      <c r="K206" s="29">
        <f>F206</f>
        <v/>
      </c>
    </row>
    <row r="207">
      <c r="A207" s="29">
        <f>CONCATENATE("NAME_FORM_", SUBSTITUTE(UPPER(B207), " ", ""))</f>
        <v/>
      </c>
      <c r="B207" s="29" t="inlineStr">
        <is>
          <t>Swimming Build</t>
        </is>
      </c>
      <c r="C207" s="29" t="inlineStr">
        <is>
          <t>ゆうえいけいたい</t>
        </is>
      </c>
      <c r="D207" s="29" t="inlineStr">
        <is>
          <t>Forme de Nage</t>
        </is>
      </c>
      <c r="E207" s="29" t="inlineStr">
        <is>
          <t>Schwimmgestalt</t>
        </is>
      </c>
      <c r="F207" s="29" t="inlineStr">
        <is>
          <t>Fisonomía Nado</t>
        </is>
      </c>
      <c r="G207" s="29" t="inlineStr">
        <is>
          <t>Foggia Nautica</t>
        </is>
      </c>
      <c r="H207" s="29" t="inlineStr">
        <is>
          <t>유영형태</t>
        </is>
      </c>
      <c r="I207" s="4" t="inlineStr">
        <is>
          <t>破浪形態</t>
        </is>
      </c>
      <c r="J207" s="29">
        <f>IFERROR(__xludf.DUMMYFUNCTION("GOOGLETRANSLATE(I207,""zh_HANT"",""zh_HANS"")"),"破浪形态")</f>
        <v/>
      </c>
      <c r="K207" s="29">
        <f>F207</f>
        <v/>
      </c>
    </row>
    <row r="208">
      <c r="A208" s="29">
        <f>CONCATENATE("NAME_FORM_", SUBSTITUTE(UPPER(B208), " ", ""))</f>
        <v/>
      </c>
      <c r="B208" s="29" t="inlineStr">
        <is>
          <t>Gliding Build</t>
        </is>
      </c>
      <c r="C208" s="29" t="inlineStr">
        <is>
          <t>かっくうけいたい</t>
        </is>
      </c>
      <c r="D208" s="29" t="inlineStr">
        <is>
          <t>Forme de Vol</t>
        </is>
      </c>
      <c r="E208" s="29" t="inlineStr">
        <is>
          <t>Schwingengestalt</t>
        </is>
      </c>
      <c r="F208" s="29" t="inlineStr">
        <is>
          <t>Fisonomía Planeo</t>
        </is>
      </c>
      <c r="G208" s="29" t="inlineStr">
        <is>
          <t>Foggia Librata</t>
        </is>
      </c>
      <c r="H208" s="29" t="inlineStr">
        <is>
          <t>활공형태</t>
        </is>
      </c>
      <c r="I208" s="4" t="inlineStr">
        <is>
          <t>乘風形態</t>
        </is>
      </c>
      <c r="J208" s="29">
        <f>IFERROR(__xludf.DUMMYFUNCTION("GOOGLETRANSLATE(I208,""zh_HANT"",""zh_HANS"")"),"乘风形态")</f>
        <v/>
      </c>
      <c r="K208" s="29">
        <f>F208</f>
        <v/>
      </c>
    </row>
    <row r="209">
      <c r="A209" s="29">
        <f>CONCATENATE("NAME_FORM_", SUBSTITUTE(UPPER(B209), " ", ""))</f>
        <v/>
      </c>
      <c r="B209" s="29" t="inlineStr">
        <is>
          <t>Apex Build</t>
        </is>
      </c>
      <c r="C209" s="29" t="inlineStr">
        <is>
          <t>かんぜんけいたい</t>
        </is>
      </c>
      <c r="D209" s="29" t="inlineStr">
        <is>
          <t>Forme Finale</t>
        </is>
      </c>
      <c r="E209" s="29" t="inlineStr">
        <is>
          <t>Volkommene Gestalt</t>
        </is>
      </c>
      <c r="F209" s="29" t="inlineStr">
        <is>
          <t>Fisonomía Plena</t>
        </is>
      </c>
      <c r="G209" s="29" t="inlineStr">
        <is>
          <t>Foggia Integrale</t>
        </is>
      </c>
      <c r="H209" s="29" t="inlineStr">
        <is>
          <t>완전형태</t>
        </is>
      </c>
      <c r="I209" s="4" t="inlineStr">
        <is>
          <t>完全形態</t>
        </is>
      </c>
      <c r="J209" s="29">
        <f>IFERROR(__xludf.DUMMYFUNCTION("GOOGLETRANSLATE(I209,""zh_HANT"",""zh_HANS"")"),"完全形态")</f>
        <v/>
      </c>
      <c r="K209" s="29">
        <f>F209</f>
        <v/>
      </c>
    </row>
    <row r="210">
      <c r="A210" s="29">
        <f>CONCATENATE("NAME_FORM_", SUBSTITUTE(UPPER(B210), " ", ""))</f>
        <v/>
      </c>
      <c r="B210" s="29" t="inlineStr">
        <is>
          <t>Lower Power</t>
        </is>
      </c>
      <c r="C210" s="29" t="inlineStr">
        <is>
          <t>リミテッドモード</t>
        </is>
      </c>
      <c r="D210" s="29" t="inlineStr">
        <is>
          <t>Mode Bridé</t>
        </is>
      </c>
      <c r="E210" s="29" t="inlineStr">
        <is>
          <t>Begranzter Modus</t>
        </is>
      </c>
      <c r="F210" s="29" t="inlineStr">
        <is>
          <t>Modo Limitado</t>
        </is>
      </c>
      <c r="G210" s="29" t="inlineStr">
        <is>
          <t>Assetto Limitato</t>
        </is>
      </c>
      <c r="H210" s="29" t="inlineStr">
        <is>
          <t>리미티드모드</t>
        </is>
      </c>
      <c r="I210" s="4" t="inlineStr">
        <is>
          <t>受限模式</t>
        </is>
      </c>
      <c r="J210" s="29">
        <f>IFERROR(__xludf.DUMMYFUNCTION("GOOGLETRANSLATE(I210,""zh_HANT"",""zh_HANS"")"),"受限模式")</f>
        <v/>
      </c>
      <c r="K210" s="29">
        <f>F210</f>
        <v/>
      </c>
    </row>
    <row r="211">
      <c r="A211" s="29">
        <f>CONCATENATE("NAME_FORM_", SUBSTITUTE(UPPER(B211), " ", ""))</f>
        <v/>
      </c>
      <c r="B211" s="29" t="inlineStr">
        <is>
          <t>Drive Mode</t>
        </is>
      </c>
      <c r="C211" s="29" t="inlineStr">
        <is>
          <t>ドライブモード</t>
        </is>
      </c>
      <c r="D211" s="29" t="inlineStr">
        <is>
          <t>Mode Terrestre</t>
        </is>
      </c>
      <c r="E211" s="29" t="inlineStr">
        <is>
          <t>Fahrmodus</t>
        </is>
      </c>
      <c r="F211" s="29" t="inlineStr">
        <is>
          <t>Modo Conducción</t>
        </is>
      </c>
      <c r="G211" s="29" t="inlineStr">
        <is>
          <t>Assetto Sprint</t>
        </is>
      </c>
      <c r="H211" s="29" t="inlineStr">
        <is>
          <t>드라이브모드</t>
        </is>
      </c>
      <c r="I211" s="4" t="inlineStr">
        <is>
          <t>行駛模式</t>
        </is>
      </c>
      <c r="J211" s="29">
        <f>IFERROR(__xludf.DUMMYFUNCTION("GOOGLETRANSLATE(I211,""zh_HANT"",""zh_HANS"")"),"行驶模式")</f>
        <v/>
      </c>
      <c r="K211" s="29">
        <f>F211</f>
        <v/>
      </c>
    </row>
    <row r="212">
      <c r="A212" s="29">
        <f>CONCATENATE("NAME_FORM_", SUBSTITUTE(UPPER(B212), " ", ""))</f>
        <v/>
      </c>
      <c r="B212" s="29" t="inlineStr">
        <is>
          <t>Aquatic Mode</t>
        </is>
      </c>
      <c r="C212" s="29" t="inlineStr">
        <is>
          <t>フロートモード</t>
        </is>
      </c>
      <c r="D212" s="29" t="inlineStr">
        <is>
          <t>Mode Aquatique</t>
        </is>
      </c>
      <c r="E212" s="29" t="inlineStr">
        <is>
          <t>Wassermodus</t>
        </is>
      </c>
      <c r="F212" s="29" t="inlineStr">
        <is>
          <t>Modo Flote</t>
        </is>
      </c>
      <c r="G212" s="29" t="inlineStr">
        <is>
          <t>Assetto Nuoto</t>
        </is>
      </c>
      <c r="H212" s="29" t="inlineStr">
        <is>
          <t>플로트모드</t>
        </is>
      </c>
      <c r="I212" s="4" t="inlineStr">
        <is>
          <t>浮水模式</t>
        </is>
      </c>
      <c r="J212" s="29">
        <f>I212</f>
        <v/>
      </c>
      <c r="K212" s="29">
        <f>F212</f>
        <v/>
      </c>
    </row>
    <row r="213">
      <c r="A213" s="29">
        <f>CONCATENATE("NAME_FORM_", SUBSTITUTE(UPPER(B213), " ", ""))</f>
        <v/>
      </c>
      <c r="B213" s="29" t="inlineStr">
        <is>
          <t>Glide Mode</t>
        </is>
      </c>
      <c r="C213" s="29" t="inlineStr">
        <is>
          <t>グライドモード</t>
        </is>
      </c>
      <c r="D213" s="29" t="inlineStr">
        <is>
          <t>Mode Aérien</t>
        </is>
      </c>
      <c r="E213" s="29" t="inlineStr">
        <is>
          <t>Gleitmodus</t>
        </is>
      </c>
      <c r="F213" s="29" t="inlineStr">
        <is>
          <t>Modo Planeo</t>
        </is>
      </c>
      <c r="G213" s="29" t="inlineStr">
        <is>
          <t>Assetto Planata</t>
        </is>
      </c>
      <c r="H213" s="29" t="inlineStr">
        <is>
          <t>글라이드모드</t>
        </is>
      </c>
      <c r="I213" s="4" t="inlineStr">
        <is>
          <t>滑翔模式</t>
        </is>
      </c>
      <c r="J213" s="29">
        <f>I213</f>
        <v/>
      </c>
      <c r="K213" s="29">
        <f>F213</f>
        <v/>
      </c>
    </row>
    <row r="214">
      <c r="A214" s="29">
        <f>CONCATENATE("NAME_FORM_", SUBSTITUTE(UPPER(B214), " ", ""))</f>
        <v/>
      </c>
      <c r="B214" s="29" t="inlineStr">
        <is>
          <t>Ultimate Mode</t>
        </is>
      </c>
      <c r="C214" s="29" t="inlineStr">
        <is>
          <t>コンプリートモード</t>
        </is>
      </c>
      <c r="D214" s="29" t="inlineStr">
        <is>
          <t>Mode Ultime</t>
        </is>
      </c>
      <c r="E214" s="29" t="inlineStr">
        <is>
          <t>Kompletter Modus</t>
        </is>
      </c>
      <c r="F214" s="29" t="inlineStr">
        <is>
          <t>Modo Pleno</t>
        </is>
      </c>
      <c r="G214" s="29" t="inlineStr">
        <is>
          <t>Assetto Completo</t>
        </is>
      </c>
      <c r="H214" s="29" t="inlineStr">
        <is>
          <t>컴플리트모드</t>
        </is>
      </c>
      <c r="I214" s="4" t="inlineStr">
        <is>
          <t>完整模式</t>
        </is>
      </c>
      <c r="J214" s="29">
        <f>I214</f>
        <v/>
      </c>
      <c r="K214" s="29">
        <f>F214</f>
        <v/>
      </c>
    </row>
    <row r="215">
      <c r="A215" s="29">
        <f>CONCATENATE("NAME_FORM_", SUBSTITUTE(UPPER(B215), " ", ""))</f>
        <v/>
      </c>
      <c r="B215" s="29" t="inlineStr">
        <is>
          <t>Bloodmoon</t>
        </is>
      </c>
      <c r="C215" s="29" t="inlineStr">
        <is>
          <t>アカツキ</t>
        </is>
      </c>
      <c r="D215" s="29" t="inlineStr">
        <is>
          <t>Lune Vermeille</t>
        </is>
      </c>
      <c r="E215" s="29" t="inlineStr">
        <is>
          <t>Blutmond</t>
        </is>
      </c>
      <c r="F215" s="29" t="inlineStr">
        <is>
          <t>Luna Carmesí</t>
        </is>
      </c>
      <c r="G215" s="29" t="inlineStr">
        <is>
          <t>Luna Cremisi</t>
        </is>
      </c>
      <c r="H215" s="29" t="inlineStr">
        <is>
          <t>붉은 달</t>
        </is>
      </c>
      <c r="I215" s="29" t="inlineStr">
        <is>
          <t>赫月</t>
        </is>
      </c>
      <c r="J215" s="29">
        <f>I215</f>
        <v/>
      </c>
      <c r="K215" s="29">
        <f>F215</f>
        <v/>
      </c>
    </row>
    <row r="216">
      <c r="A216" s="29">
        <f>CONCATENATE("NAME_FORM_", SUBSTITUTE(UPPER(B216), " ", ""))</f>
        <v/>
      </c>
      <c r="B216" s="29" t="inlineStr">
        <is>
          <t>Counterfeit Form</t>
        </is>
      </c>
      <c r="C216" s="29" t="inlineStr">
        <is>
          <t>マガイモノのすがた</t>
        </is>
      </c>
      <c r="D216" s="29" t="inlineStr">
        <is>
          <t>Forme Imitation</t>
        </is>
      </c>
      <c r="E216" s="29" t="inlineStr">
        <is>
          <t>Imitationsform</t>
        </is>
      </c>
      <c r="F216" s="29" t="inlineStr">
        <is>
          <t>Forma Fraudulenta</t>
        </is>
      </c>
      <c r="G216" s="29" t="inlineStr">
        <is>
          <t>Forma Taroccata</t>
        </is>
      </c>
      <c r="H216" s="29" t="inlineStr">
        <is>
          <t>가짜배기의 모습</t>
        </is>
      </c>
      <c r="I216" s="29">
        <f>IFERROR(__xludf.DUMMYFUNCTION("GOOGLETRANSLATE(J216,""zh_HANS"",""zh_HANT"")"),"冒牌貨的樣子")</f>
        <v/>
      </c>
      <c r="J216" s="29" t="inlineStr">
        <is>
          <t>冒牌货的样子</t>
        </is>
      </c>
      <c r="K216" s="29">
        <f>F216</f>
        <v/>
      </c>
    </row>
    <row r="217">
      <c r="A217" s="29">
        <f>CONCATENATE("NAME_FORM_", SUBSTITUTE(UPPER(B217), " ", ""))</f>
        <v/>
      </c>
      <c r="B217" s="29" t="inlineStr">
        <is>
          <t>Artisan Form</t>
        </is>
      </c>
      <c r="C217" s="29" t="inlineStr">
        <is>
          <t>タカイモノのすがた</t>
        </is>
      </c>
      <c r="D217" s="29" t="inlineStr">
        <is>
          <t>Forme Onéreuse</t>
        </is>
      </c>
      <c r="E217" s="29" t="inlineStr">
        <is>
          <t>Kostbarkeitsform</t>
        </is>
      </c>
      <c r="F217" s="29" t="inlineStr">
        <is>
          <t>Forma Opulenta</t>
        </is>
      </c>
      <c r="G217" s="29" t="inlineStr">
        <is>
          <t>Forma Pregiata</t>
        </is>
      </c>
      <c r="H217" s="29" t="inlineStr">
        <is>
          <t>알짜배기의 모습</t>
        </is>
      </c>
      <c r="I217" s="29">
        <f>IFERROR(__xludf.DUMMYFUNCTION("GOOGLETRANSLATE(J217,""zh_HANS"",""zh_HANT"")"),"高檔貨的樣子")</f>
        <v/>
      </c>
      <c r="J217" s="29" t="inlineStr">
        <is>
          <t>高档货的样子</t>
        </is>
      </c>
      <c r="K217" s="29">
        <f>F217</f>
        <v/>
      </c>
    </row>
    <row r="218">
      <c r="A218" s="29">
        <f>CONCATENATE("NAME_FORM_", SUBSTITUTE(UPPER(B218), " ", ""))</f>
        <v/>
      </c>
      <c r="B218" s="29" t="inlineStr">
        <is>
          <t>Unremarkable Form</t>
        </is>
      </c>
      <c r="C218" s="29" t="inlineStr">
        <is>
          <t>ボンサクのすがた</t>
        </is>
      </c>
      <c r="D218" s="29" t="inlineStr">
        <is>
          <t>Forme Médiocre</t>
        </is>
      </c>
      <c r="E218" s="29" t="inlineStr">
        <is>
          <t>Simple Form</t>
        </is>
      </c>
      <c r="F218" s="29" t="inlineStr">
        <is>
          <t>Forma Mediocre</t>
        </is>
      </c>
      <c r="G218" s="29" t="inlineStr">
        <is>
          <t>Forma Dozzinale</t>
        </is>
      </c>
      <c r="H218" s="29" t="inlineStr">
        <is>
          <t>범작의 모습</t>
        </is>
      </c>
      <c r="I218" s="29">
        <f>IFERROR(__xludf.DUMMYFUNCTION("GOOGLETRANSLATE(J218,""zh_HANS"",""zh_HANT"")"),"凡作的樣子")</f>
        <v/>
      </c>
      <c r="J218" s="29" t="inlineStr">
        <is>
          <t>凡作的样子</t>
        </is>
      </c>
      <c r="K218" s="29">
        <f>F218</f>
        <v/>
      </c>
    </row>
    <row r="219">
      <c r="A219" s="29">
        <f>CONCATENATE("NAME_FORM_", SUBSTITUTE(UPPER(B217), " ", ""))</f>
        <v/>
      </c>
      <c r="B219" s="29" t="inlineStr">
        <is>
          <t>Masterpiece Form</t>
        </is>
      </c>
      <c r="C219" s="29" t="inlineStr">
        <is>
          <t>ケッサクのすがた</t>
        </is>
      </c>
      <c r="D219" s="29" t="inlineStr">
        <is>
          <t>Forme Exceptionnelle</t>
        </is>
      </c>
      <c r="E219" s="29" t="inlineStr">
        <is>
          <t>Edle Form</t>
        </is>
      </c>
      <c r="F219" s="29" t="inlineStr">
        <is>
          <t>Forma Exquisita</t>
        </is>
      </c>
      <c r="G219" s="29" t="inlineStr">
        <is>
          <t>Forma Eccezionale</t>
        </is>
      </c>
      <c r="H219" s="29" t="inlineStr">
        <is>
          <t>걸작의 모습</t>
        </is>
      </c>
      <c r="I219" s="29">
        <f>IFERROR(__xludf.DUMMYFUNCTION("GOOGLETRANSLATE(J219,""zh_HANS"",""zh_HANT"")"),"傑作的樣子")</f>
        <v/>
      </c>
      <c r="J219" s="29" t="inlineStr">
        <is>
          <t>杰作的样子</t>
        </is>
      </c>
      <c r="K219" s="29">
        <f>F219</f>
        <v/>
      </c>
    </row>
    <row r="220">
      <c r="A220" s="29">
        <f>CONCATENATE("NAME_FORM_", SUBSTITUTE(UPPER(B220), " ", ""))</f>
        <v/>
      </c>
      <c r="B220" s="29" t="inlineStr">
        <is>
          <t>Teal Mask</t>
        </is>
      </c>
      <c r="C220" s="29" t="inlineStr">
        <is>
          <t>みどりのめん</t>
        </is>
      </c>
      <c r="D220" s="29" t="inlineStr">
        <is>
          <t>Masque Turquoise</t>
        </is>
      </c>
      <c r="E220" s="29" t="inlineStr">
        <is>
          <t>Türkisgrüne Maske</t>
        </is>
      </c>
      <c r="F220" s="29" t="inlineStr">
        <is>
          <t>Máscara Turquesa</t>
        </is>
      </c>
      <c r="G220" s="29" t="inlineStr">
        <is>
          <t>Maschera Turchese</t>
        </is>
      </c>
      <c r="H220" s="29" t="inlineStr">
        <is>
          <t>벽록의 가면</t>
        </is>
      </c>
      <c r="I220" s="29">
        <f>J220</f>
        <v/>
      </c>
      <c r="J220" s="29" t="inlineStr">
        <is>
          <t>碧草面具</t>
        </is>
      </c>
      <c r="K220" s="29">
        <f>F220</f>
        <v/>
      </c>
    </row>
    <row r="221">
      <c r="A221" s="29">
        <f>CONCATENATE("NAME_FORM_", SUBSTITUTE(UPPER(B221), " ", ""))</f>
        <v/>
      </c>
      <c r="B221" s="29" t="inlineStr">
        <is>
          <t>Wellspring Mask</t>
        </is>
      </c>
      <c r="C221" s="29" t="inlineStr">
        <is>
          <t>いどのめん</t>
        </is>
      </c>
      <c r="D221" s="29" t="inlineStr">
        <is>
          <t>Masque du Puits</t>
        </is>
      </c>
      <c r="E221" s="29" t="inlineStr">
        <is>
          <t>Brunnenmaske</t>
        </is>
      </c>
      <c r="F221" s="29" t="inlineStr">
        <is>
          <t>Máscara Fuente</t>
        </is>
      </c>
      <c r="G221" s="29" t="inlineStr">
        <is>
          <t>Maschera Pozzo</t>
        </is>
      </c>
      <c r="H221" s="29" t="inlineStr">
        <is>
          <t>우물의 가면</t>
        </is>
      </c>
      <c r="I221" s="29">
        <f>J221</f>
        <v/>
      </c>
      <c r="J221" s="29" t="inlineStr">
        <is>
          <t>水井面具</t>
        </is>
      </c>
      <c r="K221" s="29">
        <f>F221</f>
        <v/>
      </c>
    </row>
    <row r="222">
      <c r="A222" s="29">
        <f>CONCATENATE("NAME_FORM_", SUBSTITUTE(UPPER(B222), " ", ""))</f>
        <v/>
      </c>
      <c r="B222" s="29" t="inlineStr">
        <is>
          <t>Hearthflame Mask</t>
        </is>
      </c>
      <c r="C222" s="29" t="inlineStr">
        <is>
          <t>かまどのめん</t>
        </is>
      </c>
      <c r="D222" s="29" t="inlineStr">
        <is>
          <t>Masque du Fourneau</t>
        </is>
      </c>
      <c r="E222" s="29" t="inlineStr">
        <is>
          <t>Ofenmaske</t>
        </is>
      </c>
      <c r="F222" s="29" t="inlineStr">
        <is>
          <t>Máscara Horno</t>
        </is>
      </c>
      <c r="G222" s="29" t="inlineStr">
        <is>
          <t>Maschera Focolare</t>
        </is>
      </c>
      <c r="H222" s="29" t="inlineStr">
        <is>
          <t>화덕의 가면</t>
        </is>
      </c>
      <c r="I222" s="29">
        <f>J222</f>
        <v/>
      </c>
      <c r="J222" s="29" t="inlineStr">
        <is>
          <t>火灶面具</t>
        </is>
      </c>
      <c r="K222" s="29">
        <f>F222</f>
        <v/>
      </c>
    </row>
    <row r="223">
      <c r="A223" s="29">
        <f>CONCATENATE("NAME_FORM_", SUBSTITUTE(UPPER(B223), " ", ""))</f>
        <v/>
      </c>
      <c r="B223" s="29" t="inlineStr">
        <is>
          <t>Cornerstone Mask</t>
        </is>
      </c>
      <c r="C223" s="29" t="inlineStr">
        <is>
          <t>いしずえのめん</t>
        </is>
      </c>
      <c r="D223" s="29" t="inlineStr">
        <is>
          <t>Masque de la Pierre</t>
        </is>
      </c>
      <c r="E223" s="29" t="inlineStr">
        <is>
          <t>Fundamentmaske</t>
        </is>
      </c>
      <c r="F223" s="29" t="inlineStr">
        <is>
          <t>Máscara Cimiento</t>
        </is>
      </c>
      <c r="G223" s="29" t="inlineStr">
        <is>
          <t>Maschera Fondamenta</t>
        </is>
      </c>
      <c r="H223" s="29" t="inlineStr">
        <is>
          <t>주춧돌의 가면</t>
        </is>
      </c>
      <c r="I223" s="29">
        <f>IFERROR(__xludf.DUMMYFUNCTION("GOOGLETRANSLATE(J223,""zh_HANS"",""zh_HANT"")"),"石岩面具")</f>
        <v/>
      </c>
      <c r="J223" s="29" t="inlineStr">
        <is>
          <t>础石面具</t>
        </is>
      </c>
      <c r="K223" s="29">
        <f>F223</f>
        <v/>
      </c>
    </row>
    <row r="224">
      <c r="A224" s="29">
        <f>CONCATENATE(A5,"-T")</f>
        <v/>
      </c>
      <c r="B224" s="29">
        <f>B5</f>
        <v/>
      </c>
      <c r="C224" s="29">
        <f>CONCATENATE(Types!C2,"フォルム")</f>
        <v/>
      </c>
      <c r="D224" s="29">
        <f>D5</f>
        <v/>
      </c>
      <c r="E224" s="29">
        <f>E5</f>
        <v/>
      </c>
      <c r="F224" s="29">
        <f>F5</f>
        <v/>
      </c>
      <c r="G224" s="29">
        <f>CONCATENATE("Forma ",Types!G2)</f>
        <v/>
      </c>
      <c r="H224" s="29">
        <f>H5</f>
        <v/>
      </c>
      <c r="I224" s="29">
        <f>IFERROR(__xludf.DUMMYFUNCTION("GOOGLETRANSLATE(J224,""zh_HANS"",""zh_HANT"")"),"普通形態")</f>
        <v/>
      </c>
      <c r="J224" s="29" t="inlineStr">
        <is>
          <t>普通形态</t>
        </is>
      </c>
      <c r="K224" s="29">
        <f>F224</f>
        <v/>
      </c>
    </row>
    <row r="225">
      <c r="A225" s="29">
        <f>CONCATENATE("NAME_FORM_", SUBSTITUTE(UPPER(B225), " ", ""))</f>
        <v/>
      </c>
      <c r="B225" s="29" t="inlineStr">
        <is>
          <t>Terastal Form</t>
        </is>
      </c>
      <c r="C225" s="29">
        <f>CONCATENATE(Categories!C1055,"フォルム")</f>
        <v/>
      </c>
      <c r="D225" s="29">
        <f>CONCATENATE("Forme ",Categories!D1055)</f>
        <v/>
      </c>
      <c r="E225" s="29">
        <f>CONCATENATE(Categories!E1055, "-Form")</f>
        <v/>
      </c>
      <c r="F225" s="29">
        <f>CONCATENATE("Forma ",Categories!F1055)</f>
        <v/>
      </c>
      <c r="G225" s="29">
        <f>CONCATENATE("Forma ",Categories!G1055)</f>
        <v/>
      </c>
      <c r="H225" s="29">
        <f>CONCATENATE(Categories!H1055, " 모습")</f>
        <v/>
      </c>
      <c r="I225" s="29">
        <f>IFERROR(__xludf.DUMMYFUNCTION("GOOGLETRANSLATE(J225,""zh_HANS"",""zh_HANT"")"),"太晶形態")</f>
        <v/>
      </c>
      <c r="J225" s="29" t="inlineStr">
        <is>
          <t>太晶形态</t>
        </is>
      </c>
      <c r="K225" s="29">
        <f>F225</f>
        <v/>
      </c>
    </row>
    <row r="226">
      <c r="A226" s="29">
        <f>CONCATENATE("NAME_FORM_", SUBSTITUTE(UPPER(B226), " ", ""))</f>
        <v/>
      </c>
      <c r="B226" s="29">
        <f>CONCATENATE(Types!B20, " Form")</f>
        <v/>
      </c>
      <c r="C226" s="29">
        <f>CONCATENATE(Types!C20,"フォルム")</f>
        <v/>
      </c>
      <c r="D226" s="29">
        <f>CONCATENATE("Forme ",Types!D20)</f>
        <v/>
      </c>
      <c r="E226" s="29">
        <f>CONCATENATE(Types!E20, "form")</f>
        <v/>
      </c>
      <c r="F226" s="29">
        <f>CONCATENATE("Forma ",Types!F20)</f>
        <v/>
      </c>
      <c r="G226" s="29">
        <f>CONCATENATE("Forma ",Types!G20)</f>
        <v/>
      </c>
      <c r="H226" s="29">
        <f>CONCATENATE(Types!H20, " 모습")</f>
        <v/>
      </c>
      <c r="I226" s="29">
        <f>CONCATENATE(Types!I20, "形態")</f>
        <v/>
      </c>
      <c r="J226" s="29">
        <f>IFERROR(__xludf.DUMMYFUNCTION("GOOGLETRANSLATE(I226,""zh_HANT"",""zh_HANS"")"),"星晶形态")</f>
        <v/>
      </c>
      <c r="K226" s="29">
        <f>F226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Z1056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2.63" defaultRowHeight="15.75" customHeight="1"/>
  <cols>
    <col width="24.88" customWidth="1" style="31" min="1" max="1"/>
    <col width="16.63" customWidth="1" style="31" min="7" max="7"/>
  </cols>
  <sheetData>
    <row r="1">
      <c r="A1" s="2">
        <f>Pokemon!A1</f>
        <v/>
      </c>
      <c r="B1" s="2">
        <f>Pokemon!B1</f>
        <v/>
      </c>
      <c r="C1" s="2">
        <f>Pokemon!C1</f>
        <v/>
      </c>
      <c r="D1" s="2">
        <f>Pokemon!D1</f>
        <v/>
      </c>
      <c r="E1" s="2">
        <f>Pokemon!E1</f>
        <v/>
      </c>
      <c r="F1" s="2">
        <f>Pokemon!F1</f>
        <v/>
      </c>
      <c r="G1" s="2">
        <f>Pokemon!G1</f>
        <v/>
      </c>
      <c r="H1" s="2">
        <f>Pokemon!H1</f>
        <v/>
      </c>
      <c r="I1" s="2">
        <f>Pokemon!I1</f>
        <v/>
      </c>
      <c r="J1" s="2">
        <f>Pokemon!J1</f>
        <v/>
      </c>
      <c r="K1" s="2">
        <f>Pokemon!K1</f>
        <v/>
      </c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</row>
    <row r="2">
      <c r="A2" s="29">
        <f>CONCATENATE("CATEGORY_",UPPER(Pokemon!B2))</f>
        <v/>
      </c>
      <c r="B2" s="29" t="inlineStr">
        <is>
          <t>Seed</t>
        </is>
      </c>
      <c r="C2" s="29" t="inlineStr">
        <is>
          <t>たね</t>
        </is>
      </c>
      <c r="D2" s="29" t="inlineStr">
        <is>
          <t>Graine</t>
        </is>
      </c>
      <c r="E2" s="29" t="inlineStr">
        <is>
          <t>Samen</t>
        </is>
      </c>
      <c r="F2" s="29" t="inlineStr">
        <is>
          <t>Semilla</t>
        </is>
      </c>
      <c r="G2" s="29" t="inlineStr">
        <is>
          <t>Seme</t>
        </is>
      </c>
      <c r="H2" s="29" t="inlineStr">
        <is>
          <t>씨앗</t>
        </is>
      </c>
      <c r="I2" s="29" t="inlineStr">
        <is>
          <t>種子</t>
        </is>
      </c>
      <c r="J2" s="29">
        <f>IFERROR(__xludf.DUMMYFUNCTION("GOOGLETRANSLATE(I2, ""zh_HANT"",""zh_HANS"")"),"种子")</f>
        <v/>
      </c>
      <c r="K2" s="29">
        <f>F2</f>
        <v/>
      </c>
    </row>
    <row r="3">
      <c r="A3" s="29">
        <f>CONCATENATE("CATEGORY_",UPPER(Pokemon!B3))</f>
        <v/>
      </c>
      <c r="B3" s="29">
        <f>B2</f>
        <v/>
      </c>
      <c r="C3" s="29">
        <f>C2</f>
        <v/>
      </c>
      <c r="D3" s="29">
        <f>D2</f>
        <v/>
      </c>
      <c r="E3" s="29">
        <f>E2</f>
        <v/>
      </c>
      <c r="F3" s="29">
        <f>F2</f>
        <v/>
      </c>
      <c r="G3" s="29">
        <f>G2</f>
        <v/>
      </c>
      <c r="H3" s="29">
        <f>H2</f>
        <v/>
      </c>
      <c r="I3" s="29">
        <f>I2</f>
        <v/>
      </c>
      <c r="J3" s="29">
        <f>J2</f>
        <v/>
      </c>
      <c r="K3" s="29">
        <f>F3</f>
        <v/>
      </c>
    </row>
    <row r="4">
      <c r="A4" s="29">
        <f>CONCATENATE("CATEGORY_",UPPER(Pokemon!B4))</f>
        <v/>
      </c>
      <c r="B4" s="29">
        <f>B2</f>
        <v/>
      </c>
      <c r="C4" s="29">
        <f>C2</f>
        <v/>
      </c>
      <c r="D4" s="29">
        <f>D2</f>
        <v/>
      </c>
      <c r="E4" s="29">
        <f>E2</f>
        <v/>
      </c>
      <c r="F4" s="29">
        <f>F2</f>
        <v/>
      </c>
      <c r="G4" s="29">
        <f>G2</f>
        <v/>
      </c>
      <c r="H4" s="29">
        <f>H2</f>
        <v/>
      </c>
      <c r="I4" s="29">
        <f>I2</f>
        <v/>
      </c>
      <c r="J4" s="29">
        <f>J2</f>
        <v/>
      </c>
      <c r="K4" s="29">
        <f>F4</f>
        <v/>
      </c>
    </row>
    <row r="5">
      <c r="A5" s="29">
        <f>CONCATENATE("CATEGORY_",UPPER(Pokemon!B5))</f>
        <v/>
      </c>
      <c r="B5" s="29" t="inlineStr">
        <is>
          <t>Lizard</t>
        </is>
      </c>
      <c r="C5" s="29" t="inlineStr">
        <is>
          <t>とかげ</t>
        </is>
      </c>
      <c r="D5" s="29" t="inlineStr">
        <is>
          <t>Lézard</t>
        </is>
      </c>
      <c r="E5" s="29" t="inlineStr">
        <is>
          <t>Echse</t>
        </is>
      </c>
      <c r="F5" s="29" t="inlineStr">
        <is>
          <t>Lagartija</t>
        </is>
      </c>
      <c r="G5" s="29" t="inlineStr">
        <is>
          <t>Lucertola</t>
        </is>
      </c>
      <c r="H5" s="29" t="inlineStr">
        <is>
          <t>도롱뇽</t>
        </is>
      </c>
      <c r="I5" s="29" t="inlineStr">
        <is>
          <t>蜥蜴</t>
        </is>
      </c>
      <c r="J5" s="29">
        <f>I5</f>
        <v/>
      </c>
      <c r="K5" s="29">
        <f>F5</f>
        <v/>
      </c>
    </row>
    <row r="6">
      <c r="A6" s="29">
        <f>CONCATENATE("CATEGORY_",UPPER(Pokemon!B6))</f>
        <v/>
      </c>
      <c r="B6" s="29" t="inlineStr">
        <is>
          <t>Flame</t>
        </is>
      </c>
      <c r="C6" s="29" t="inlineStr">
        <is>
          <t>かえん</t>
        </is>
      </c>
      <c r="D6" s="29" t="inlineStr">
        <is>
          <t>Flamme</t>
        </is>
      </c>
      <c r="E6" s="29">
        <f>D6</f>
        <v/>
      </c>
      <c r="F6" s="29" t="inlineStr">
        <is>
          <t>Llama</t>
        </is>
      </c>
      <c r="G6" s="29" t="inlineStr">
        <is>
          <t>Fiamma</t>
        </is>
      </c>
      <c r="H6" s="29" t="inlineStr">
        <is>
          <t>화염</t>
        </is>
      </c>
      <c r="I6" s="29" t="inlineStr">
        <is>
          <t>火焰</t>
        </is>
      </c>
      <c r="J6" s="29">
        <f>I6</f>
        <v/>
      </c>
      <c r="K6" s="29">
        <f>F6</f>
        <v/>
      </c>
    </row>
    <row r="7">
      <c r="A7" s="29">
        <f>CONCATENATE("CATEGORY_",UPPER(Pokemon!B7))</f>
        <v/>
      </c>
      <c r="B7" s="29">
        <f>B6</f>
        <v/>
      </c>
      <c r="C7" s="29">
        <f>C6</f>
        <v/>
      </c>
      <c r="D7" s="29">
        <f>D6</f>
        <v/>
      </c>
      <c r="E7" s="29">
        <f>E6</f>
        <v/>
      </c>
      <c r="F7" s="29">
        <f>F6</f>
        <v/>
      </c>
      <c r="G7" s="29">
        <f>G6</f>
        <v/>
      </c>
      <c r="H7" s="29">
        <f>H6</f>
        <v/>
      </c>
      <c r="I7" s="29">
        <f>I6</f>
        <v/>
      </c>
      <c r="J7" s="29">
        <f>J6</f>
        <v/>
      </c>
      <c r="K7" s="29">
        <f>F7</f>
        <v/>
      </c>
    </row>
    <row r="8">
      <c r="A8" s="29">
        <f>CONCATENATE("CATEGORY_",UPPER(Pokemon!B8))</f>
        <v/>
      </c>
      <c r="B8" s="29" t="inlineStr">
        <is>
          <t>Tiny Turtle</t>
        </is>
      </c>
      <c r="C8" s="29" t="inlineStr">
        <is>
          <t>かめのこ</t>
        </is>
      </c>
      <c r="D8" s="29" t="inlineStr">
        <is>
          <t>Minitortue</t>
        </is>
      </c>
      <c r="E8" s="29" t="inlineStr">
        <is>
          <t>Minikröte</t>
        </is>
      </c>
      <c r="F8" s="29" t="inlineStr">
        <is>
          <t>Tortuguita</t>
        </is>
      </c>
      <c r="G8" s="29" t="inlineStr">
        <is>
          <t>Tartaghina</t>
        </is>
      </c>
      <c r="H8" s="29" t="inlineStr">
        <is>
          <t>꼬마거북</t>
        </is>
      </c>
      <c r="I8" s="29" t="inlineStr">
        <is>
          <t>小龜</t>
        </is>
      </c>
      <c r="J8" s="29">
        <f>IFERROR(__xludf.DUMMYFUNCTION("GOOGLETRANSLATE(I8, ""zh_HANT"",""zh_HANS"")"),"小龟")</f>
        <v/>
      </c>
      <c r="K8" s="29">
        <f>F8</f>
        <v/>
      </c>
    </row>
    <row r="9">
      <c r="A9" s="29">
        <f>CONCATENATE("CATEGORY_",UPPER(Pokemon!B9))</f>
        <v/>
      </c>
      <c r="B9" s="29" t="inlineStr">
        <is>
          <t>Turtle</t>
        </is>
      </c>
      <c r="C9" s="29" t="inlineStr">
        <is>
          <t>かめ</t>
        </is>
      </c>
      <c r="D9" s="29" t="inlineStr">
        <is>
          <t>Tortue</t>
        </is>
      </c>
      <c r="E9" s="29" t="inlineStr">
        <is>
          <t>Kröte</t>
        </is>
      </c>
      <c r="F9" s="29" t="inlineStr">
        <is>
          <t>Tortuga</t>
        </is>
      </c>
      <c r="G9" s="29" t="inlineStr">
        <is>
          <t>Tartaruga</t>
        </is>
      </c>
      <c r="H9" s="29" t="inlineStr">
        <is>
          <t>거북</t>
        </is>
      </c>
      <c r="I9" s="29">
        <f>IFERROR(__xludf.DUMMYFUNCTION("GOOGLETRANSLATE(J9,""zh_HANS"",""zh_HANT"")"),"龜")</f>
        <v/>
      </c>
      <c r="J9" s="29" t="inlineStr">
        <is>
          <t>龟</t>
        </is>
      </c>
      <c r="K9" s="29">
        <f>F9</f>
        <v/>
      </c>
    </row>
    <row r="10">
      <c r="A10" s="29">
        <f>CONCATENATE("CATEGORY_",UPPER(Pokemon!B10))</f>
        <v/>
      </c>
      <c r="B10" s="29" t="inlineStr">
        <is>
          <t>Shellfish</t>
        </is>
      </c>
      <c r="C10" s="29" t="inlineStr">
        <is>
          <t>こうら</t>
        </is>
      </c>
      <c r="D10" s="29" t="inlineStr">
        <is>
          <t>Carapace</t>
        </is>
      </c>
      <c r="E10" s="29" t="inlineStr">
        <is>
          <t>Schaltier</t>
        </is>
      </c>
      <c r="F10" s="29" t="inlineStr">
        <is>
          <t>Marisco</t>
        </is>
      </c>
      <c r="G10" s="29" t="inlineStr">
        <is>
          <t>Crostaceo</t>
        </is>
      </c>
      <c r="H10" s="29" t="inlineStr">
        <is>
          <t>껍질</t>
        </is>
      </c>
      <c r="I10" s="29" t="inlineStr">
        <is>
          <t>甲殼</t>
        </is>
      </c>
      <c r="J10" s="29">
        <f>IFERROR(__xludf.DUMMYFUNCTION("GOOGLETRANSLATE(I10, ""zh_HANT"",""zh_HANS"")"),"甲壳")</f>
        <v/>
      </c>
      <c r="K10" s="29">
        <f>F10</f>
        <v/>
      </c>
    </row>
    <row r="11">
      <c r="A11" s="29">
        <f>CONCATENATE("CATEGORY_",UPPER(Pokemon!B11))</f>
        <v/>
      </c>
      <c r="B11" s="29" t="inlineStr">
        <is>
          <t>Worm</t>
        </is>
      </c>
      <c r="C11" s="29" t="inlineStr">
        <is>
          <t>いもむし</t>
        </is>
      </c>
      <c r="D11" s="29" t="inlineStr">
        <is>
          <t>Ver</t>
        </is>
      </c>
      <c r="E11" s="29" t="inlineStr">
        <is>
          <t>Wurm</t>
        </is>
      </c>
      <c r="F11" s="29" t="inlineStr">
        <is>
          <t>Gusano</t>
        </is>
      </c>
      <c r="G11" s="29" t="inlineStr">
        <is>
          <t>Baco</t>
        </is>
      </c>
      <c r="H11" s="29" t="inlineStr">
        <is>
          <t>애벌레</t>
        </is>
      </c>
      <c r="I11" s="29" t="inlineStr">
        <is>
          <t>蟲寶寶</t>
        </is>
      </c>
      <c r="J11" s="29">
        <f>IFERROR(__xludf.DUMMYFUNCTION("GOOGLETRANSLATE(I11, ""zh_HANT"",""zh_HANS"")"),"虫宝宝")</f>
        <v/>
      </c>
      <c r="K11" s="29">
        <f>F11</f>
        <v/>
      </c>
    </row>
    <row r="12">
      <c r="A12" s="29">
        <f>CONCATENATE("CATEGORY_",UPPER(Pokemon!B12))</f>
        <v/>
      </c>
      <c r="B12" s="29" t="inlineStr">
        <is>
          <t>Cocoon</t>
        </is>
      </c>
      <c r="C12" s="29" t="inlineStr">
        <is>
          <t>さなぎ</t>
        </is>
      </c>
      <c r="D12" s="29" t="inlineStr">
        <is>
          <t>Cocon</t>
        </is>
      </c>
      <c r="E12" s="29" t="inlineStr">
        <is>
          <t>Kokon</t>
        </is>
      </c>
      <c r="F12" s="29" t="inlineStr">
        <is>
          <t>Capullo</t>
        </is>
      </c>
      <c r="G12" s="29" t="inlineStr">
        <is>
          <t>Bozzolo</t>
        </is>
      </c>
      <c r="H12" s="29" t="inlineStr">
        <is>
          <t>번데기</t>
        </is>
      </c>
      <c r="I12" s="29" t="inlineStr">
        <is>
          <t>蛹</t>
        </is>
      </c>
      <c r="J12" s="29">
        <f>I12</f>
        <v/>
      </c>
      <c r="K12" s="29">
        <f>F12</f>
        <v/>
      </c>
    </row>
    <row r="13">
      <c r="A13" s="29">
        <f>CONCATENATE("CATEGORY_",UPPER(Pokemon!B13))</f>
        <v/>
      </c>
      <c r="B13" s="29" t="inlineStr">
        <is>
          <t>Butterfly</t>
        </is>
      </c>
      <c r="C13" s="29" t="inlineStr">
        <is>
          <t>ちょうちょ</t>
        </is>
      </c>
      <c r="D13" s="29" t="inlineStr">
        <is>
          <t>Papillon</t>
        </is>
      </c>
      <c r="E13" s="29" t="inlineStr">
        <is>
          <t>Falter</t>
        </is>
      </c>
      <c r="F13" s="29" t="inlineStr">
        <is>
          <t>Mariposa</t>
        </is>
      </c>
      <c r="G13" s="29" t="inlineStr">
        <is>
          <t>Farfalla</t>
        </is>
      </c>
      <c r="H13" s="29" t="inlineStr">
        <is>
          <t>나비</t>
        </is>
      </c>
      <c r="I13" s="29" t="inlineStr">
        <is>
          <t>蝴蝶</t>
        </is>
      </c>
      <c r="J13" s="29">
        <f>I13</f>
        <v/>
      </c>
      <c r="K13" s="29">
        <f>F13</f>
        <v/>
      </c>
    </row>
    <row r="14">
      <c r="A14" s="29">
        <f>CONCATENATE("CATEGORY_",UPPER(Pokemon!B14))</f>
        <v/>
      </c>
      <c r="B14" s="29" t="inlineStr">
        <is>
          <t>Hairy Bug</t>
        </is>
      </c>
      <c r="C14" s="29" t="inlineStr">
        <is>
          <t>えむし</t>
        </is>
      </c>
      <c r="D14" s="29" t="inlineStr">
        <is>
          <t>Insectopic</t>
        </is>
      </c>
      <c r="E14" s="29" t="inlineStr">
        <is>
          <t>Raupe</t>
        </is>
      </c>
      <c r="F14" s="29" t="inlineStr">
        <is>
          <t>Oruga</t>
        </is>
      </c>
      <c r="G14" s="29" t="inlineStr">
        <is>
          <t>Millepiedi</t>
        </is>
      </c>
      <c r="H14" s="29" t="inlineStr">
        <is>
          <t>송충이</t>
        </is>
      </c>
      <c r="I14" s="29" t="inlineStr">
        <is>
          <t>毛毛蟲</t>
        </is>
      </c>
      <c r="J14" s="29">
        <f>IFERROR(__xludf.DUMMYFUNCTION("GOOGLETRANSLATE(I14, ""zh_HANT"",""zh_HANS"")"),"毛毛虫")</f>
        <v/>
      </c>
      <c r="K14" s="29">
        <f>F14</f>
        <v/>
      </c>
    </row>
    <row r="15">
      <c r="A15" s="29">
        <f>CONCATENATE("CATEGORY_",UPPER(Pokemon!B15))</f>
        <v/>
      </c>
      <c r="B15" s="29">
        <f>B12</f>
        <v/>
      </c>
      <c r="C15" s="29">
        <f>C12</f>
        <v/>
      </c>
      <c r="D15" s="29">
        <f>D12</f>
        <v/>
      </c>
      <c r="E15" s="29">
        <f>E12</f>
        <v/>
      </c>
      <c r="F15" s="29">
        <f>F12</f>
        <v/>
      </c>
      <c r="G15" s="29">
        <f>G12</f>
        <v/>
      </c>
      <c r="H15" s="29">
        <f>H12</f>
        <v/>
      </c>
      <c r="I15" s="29">
        <f>I12</f>
        <v/>
      </c>
      <c r="J15" s="29">
        <f>J12</f>
        <v/>
      </c>
      <c r="K15" s="29">
        <f>F15</f>
        <v/>
      </c>
    </row>
    <row r="16">
      <c r="A16" s="29">
        <f>CONCATENATE("CATEGORY_",UPPER(Pokemon!B16))</f>
        <v/>
      </c>
      <c r="B16" s="29" t="inlineStr">
        <is>
          <t>Poison Bee</t>
        </is>
      </c>
      <c r="C16" s="29" t="inlineStr">
        <is>
          <t>どくばち</t>
        </is>
      </c>
      <c r="D16" s="29" t="inlineStr">
        <is>
          <t>Guêpoison</t>
        </is>
      </c>
      <c r="E16" s="29" t="inlineStr">
        <is>
          <t>Giftbiene</t>
        </is>
      </c>
      <c r="F16" s="29" t="inlineStr">
        <is>
          <t>Abeja Ven.</t>
        </is>
      </c>
      <c r="G16" s="29" t="inlineStr">
        <is>
          <t>Velenape</t>
        </is>
      </c>
      <c r="H16" s="29" t="inlineStr">
        <is>
          <t>독벌</t>
        </is>
      </c>
      <c r="I16" s="29" t="inlineStr">
        <is>
          <t>毒蜂</t>
        </is>
      </c>
      <c r="J16" s="29">
        <f>I16</f>
        <v/>
      </c>
      <c r="K16" s="29">
        <f>F16</f>
        <v/>
      </c>
    </row>
    <row r="17">
      <c r="A17" s="29">
        <f>CONCATENATE("CATEGORY_",UPPER(Pokemon!B17))</f>
        <v/>
      </c>
      <c r="B17" s="29" t="inlineStr">
        <is>
          <t>Tiny Bird</t>
        </is>
      </c>
      <c r="C17" s="29" t="inlineStr">
        <is>
          <t>ことり</t>
        </is>
      </c>
      <c r="D17" s="29" t="inlineStr">
        <is>
          <t>Minoiseau</t>
        </is>
      </c>
      <c r="E17" s="29" t="inlineStr">
        <is>
          <t>Kleinvogel</t>
        </is>
      </c>
      <c r="F17" s="29" t="inlineStr">
        <is>
          <t>Pajarito</t>
        </is>
      </c>
      <c r="G17" s="29" t="inlineStr">
        <is>
          <t>Uccellino</t>
        </is>
      </c>
      <c r="H17" s="29" t="inlineStr">
        <is>
          <t>아기새</t>
        </is>
      </c>
      <c r="I17" s="29" t="inlineStr">
        <is>
          <t>小鳥</t>
        </is>
      </c>
      <c r="J17" s="29">
        <f>IFERROR(__xludf.DUMMYFUNCTION("GOOGLETRANSLATE(I17, ""zh_HANT"",""zh_HANS"")"),"小鸟")</f>
        <v/>
      </c>
      <c r="K17" s="29">
        <f>F17</f>
        <v/>
      </c>
    </row>
    <row r="18">
      <c r="A18" s="29">
        <f>CONCATENATE("CATEGORY_",UPPER(Pokemon!B18))</f>
        <v/>
      </c>
      <c r="B18" s="29" t="inlineStr">
        <is>
          <t>Bird</t>
        </is>
      </c>
      <c r="C18" s="29" t="inlineStr">
        <is>
          <t>とり</t>
        </is>
      </c>
      <c r="D18" s="29" t="inlineStr">
        <is>
          <t>Oiseau</t>
        </is>
      </c>
      <c r="E18" s="29" t="inlineStr">
        <is>
          <t>Vogel</t>
        </is>
      </c>
      <c r="F18" s="29" t="inlineStr">
        <is>
          <t>Pájaro</t>
        </is>
      </c>
      <c r="G18" s="29" t="inlineStr">
        <is>
          <t>Uccello</t>
        </is>
      </c>
      <c r="H18" s="29" t="inlineStr">
        <is>
          <t>새</t>
        </is>
      </c>
      <c r="I18" s="29" t="inlineStr">
        <is>
          <t>鳥</t>
        </is>
      </c>
      <c r="J18" s="29">
        <f>IFERROR(__xludf.DUMMYFUNCTION("GOOGLETRANSLATE(I18, ""zh_HANT"",""zh_HANS"")"),"鸟")</f>
        <v/>
      </c>
      <c r="K18" s="29">
        <f>F18</f>
        <v/>
      </c>
    </row>
    <row r="19">
      <c r="A19" s="29">
        <f>CONCATENATE("CATEGORY_",UPPER(Pokemon!B19))</f>
        <v/>
      </c>
      <c r="B19" s="29">
        <f>B18</f>
        <v/>
      </c>
      <c r="C19" s="29">
        <f>C18</f>
        <v/>
      </c>
      <c r="D19" s="29">
        <f>D18</f>
        <v/>
      </c>
      <c r="E19" s="29">
        <f>E18</f>
        <v/>
      </c>
      <c r="F19" s="29">
        <f>F18</f>
        <v/>
      </c>
      <c r="G19" s="29">
        <f>G18</f>
        <v/>
      </c>
      <c r="H19" s="29">
        <f>H18</f>
        <v/>
      </c>
      <c r="I19" s="29">
        <f>I18</f>
        <v/>
      </c>
      <c r="J19" s="29">
        <f>IFERROR(__xludf.DUMMYFUNCTION("GOOGLETRANSLATE(I19, ""zh_HANT"",""zh_HANS"")"),"鸟")</f>
        <v/>
      </c>
      <c r="K19" s="29">
        <f>F19</f>
        <v/>
      </c>
    </row>
    <row r="20">
      <c r="A20" s="29">
        <f>CONCATENATE("CATEGORY_",UPPER(Pokemon!B20))</f>
        <v/>
      </c>
      <c r="B20" s="29" t="inlineStr">
        <is>
          <t>Mouse</t>
        </is>
      </c>
      <c r="C20" s="29" t="inlineStr">
        <is>
          <t>ねずみ</t>
        </is>
      </c>
      <c r="D20" s="29" t="inlineStr">
        <is>
          <t>Souris</t>
        </is>
      </c>
      <c r="E20" s="29" t="inlineStr">
        <is>
          <t>Maus</t>
        </is>
      </c>
      <c r="F20" s="29" t="inlineStr">
        <is>
          <t>Ratón</t>
        </is>
      </c>
      <c r="G20" s="29" t="inlineStr">
        <is>
          <t>Topo</t>
        </is>
      </c>
      <c r="H20" s="29" t="inlineStr">
        <is>
          <t>쥐</t>
        </is>
      </c>
      <c r="I20" s="29" t="inlineStr">
        <is>
          <t>鼠</t>
        </is>
      </c>
      <c r="J20" s="29">
        <f>I20</f>
        <v/>
      </c>
      <c r="K20" s="29">
        <f>F20</f>
        <v/>
      </c>
    </row>
    <row r="21">
      <c r="A21" s="29">
        <f>CONCATENATE("CATEGORY_",UPPER(Pokemon!B21))</f>
        <v/>
      </c>
      <c r="B21" s="29">
        <f>B20</f>
        <v/>
      </c>
      <c r="C21" s="29">
        <f>C20</f>
        <v/>
      </c>
      <c r="D21" s="29">
        <f>D20</f>
        <v/>
      </c>
      <c r="E21" s="29">
        <f>E20</f>
        <v/>
      </c>
      <c r="F21" s="29">
        <f>F20</f>
        <v/>
      </c>
      <c r="G21" s="29">
        <f>G20</f>
        <v/>
      </c>
      <c r="H21" s="29">
        <f>H20</f>
        <v/>
      </c>
      <c r="I21" s="29">
        <f>I20</f>
        <v/>
      </c>
      <c r="J21" s="29">
        <f>J20</f>
        <v/>
      </c>
      <c r="K21" s="29">
        <f>F21</f>
        <v/>
      </c>
    </row>
    <row r="22">
      <c r="A22" s="29">
        <f>CONCATENATE("CATEGORY_",UPPER(Pokemon!B22))</f>
        <v/>
      </c>
      <c r="B22" s="29">
        <f>B17</f>
        <v/>
      </c>
      <c r="C22" s="29">
        <f>C17</f>
        <v/>
      </c>
      <c r="D22" s="29">
        <f>D17</f>
        <v/>
      </c>
      <c r="E22" s="29">
        <f>E17</f>
        <v/>
      </c>
      <c r="F22" s="29">
        <f>F17</f>
        <v/>
      </c>
      <c r="G22" s="29">
        <f>G17</f>
        <v/>
      </c>
      <c r="H22" s="29">
        <f>H17</f>
        <v/>
      </c>
      <c r="I22" s="29">
        <f>I17</f>
        <v/>
      </c>
      <c r="J22" s="29">
        <f>J17</f>
        <v/>
      </c>
      <c r="K22" s="29">
        <f>F22</f>
        <v/>
      </c>
    </row>
    <row r="23">
      <c r="A23" s="29">
        <f>CONCATENATE("CATEGORY_",UPPER(Pokemon!B23))</f>
        <v/>
      </c>
      <c r="B23" s="29" t="inlineStr">
        <is>
          <t>Beak</t>
        </is>
      </c>
      <c r="C23" s="29" t="inlineStr">
        <is>
          <t>くちばし</t>
        </is>
      </c>
      <c r="D23" s="29" t="inlineStr">
        <is>
          <t>Bec-Oiseau</t>
        </is>
      </c>
      <c r="E23" s="29" t="inlineStr">
        <is>
          <t>Pickvogel</t>
        </is>
      </c>
      <c r="F23" s="29" t="inlineStr">
        <is>
          <t>Pico</t>
        </is>
      </c>
      <c r="G23" s="29" t="inlineStr">
        <is>
          <t>Becco</t>
        </is>
      </c>
      <c r="H23" s="29" t="inlineStr">
        <is>
          <t>부리</t>
        </is>
      </c>
      <c r="I23" s="29" t="inlineStr">
        <is>
          <t>鳥嘴</t>
        </is>
      </c>
      <c r="J23" s="29">
        <f>IFERROR(__xludf.DUMMYFUNCTION("GOOGLETRANSLATE(I23, ""zh_HANT"",""zh_HANS"")"),"鸟嘴")</f>
        <v/>
      </c>
      <c r="K23" s="29">
        <f>F23</f>
        <v/>
      </c>
    </row>
    <row r="24">
      <c r="A24" s="29">
        <f>CONCATENATE("CATEGORY_",UPPER(Pokemon!B24))</f>
        <v/>
      </c>
      <c r="B24" s="29" t="inlineStr">
        <is>
          <t>Snake</t>
        </is>
      </c>
      <c r="C24" s="29" t="inlineStr">
        <is>
          <t>へび</t>
        </is>
      </c>
      <c r="D24" s="29" t="inlineStr">
        <is>
          <t>Serpent</t>
        </is>
      </c>
      <c r="E24" s="29" t="inlineStr">
        <is>
          <t>Schlange</t>
        </is>
      </c>
      <c r="F24" s="29" t="inlineStr">
        <is>
          <t>Serpiente</t>
        </is>
      </c>
      <c r="G24" s="29" t="inlineStr">
        <is>
          <t>Serpente</t>
        </is>
      </c>
      <c r="H24" s="29" t="inlineStr">
        <is>
          <t>뱀</t>
        </is>
      </c>
      <c r="I24" s="29" t="inlineStr">
        <is>
          <t>蛇</t>
        </is>
      </c>
      <c r="J24" s="29">
        <f>I24</f>
        <v/>
      </c>
      <c r="K24" s="29">
        <f>F24</f>
        <v/>
      </c>
    </row>
    <row r="25">
      <c r="A25" s="29">
        <f>CONCATENATE("CATEGORY_",UPPER(Pokemon!B25))</f>
        <v/>
      </c>
      <c r="B25" s="29" t="inlineStr">
        <is>
          <t>Cobra</t>
        </is>
      </c>
      <c r="C25" s="29" t="inlineStr">
        <is>
          <t>コブラ</t>
        </is>
      </c>
      <c r="D25" s="29" t="inlineStr">
        <is>
          <t>Cobra</t>
        </is>
      </c>
      <c r="E25" s="29" t="inlineStr">
        <is>
          <t>Kobra</t>
        </is>
      </c>
      <c r="F25" s="29">
        <f>B25</f>
        <v/>
      </c>
      <c r="G25" s="29">
        <f>B25</f>
        <v/>
      </c>
      <c r="H25" s="29" t="inlineStr">
        <is>
          <t>코브라</t>
        </is>
      </c>
      <c r="I25" s="29" t="inlineStr">
        <is>
          <t>眼鏡蛇</t>
        </is>
      </c>
      <c r="J25" s="29">
        <f>IFERROR(__xludf.DUMMYFUNCTION("GOOGLETRANSLATE(I25, ""zh_HANT"",""zh_HANS"")"),"眼镜蛇")</f>
        <v/>
      </c>
      <c r="K25" s="29">
        <f>F25</f>
        <v/>
      </c>
    </row>
    <row r="26">
      <c r="A26" s="29">
        <f>CONCATENATE("CATEGORY_",UPPER(Pokemon!B26))</f>
        <v/>
      </c>
      <c r="B26" s="29">
        <f>B20</f>
        <v/>
      </c>
      <c r="C26" s="29">
        <f>C20</f>
        <v/>
      </c>
      <c r="D26" s="29">
        <f>D20</f>
        <v/>
      </c>
      <c r="E26" s="29">
        <f>E20</f>
        <v/>
      </c>
      <c r="F26" s="29">
        <f>F20</f>
        <v/>
      </c>
      <c r="G26" s="29">
        <f>G20</f>
        <v/>
      </c>
      <c r="H26" s="29">
        <f>H20</f>
        <v/>
      </c>
      <c r="I26" s="29">
        <f>I20</f>
        <v/>
      </c>
      <c r="J26" s="29">
        <f>J20</f>
        <v/>
      </c>
      <c r="K26" s="29">
        <f>F26</f>
        <v/>
      </c>
    </row>
    <row r="27">
      <c r="A27" s="29">
        <f>CONCATENATE("CATEGORY_",UPPER(Pokemon!B27))</f>
        <v/>
      </c>
      <c r="B27" s="29">
        <f>B20</f>
        <v/>
      </c>
      <c r="C27" s="29">
        <f>C20</f>
        <v/>
      </c>
      <c r="D27" s="29">
        <f>D20</f>
        <v/>
      </c>
      <c r="E27" s="29">
        <f>E20</f>
        <v/>
      </c>
      <c r="F27" s="29">
        <f>F20</f>
        <v/>
      </c>
      <c r="G27" s="29">
        <f>G20</f>
        <v/>
      </c>
      <c r="H27" s="29">
        <f>H20</f>
        <v/>
      </c>
      <c r="I27" s="29">
        <f>I20</f>
        <v/>
      </c>
      <c r="J27" s="29">
        <f>J20</f>
        <v/>
      </c>
      <c r="K27" s="29">
        <f>F27</f>
        <v/>
      </c>
    </row>
    <row r="28">
      <c r="A28" s="29">
        <f>CONCATENATE("CATEGORY_",UPPER(Pokemon!B28))</f>
        <v/>
      </c>
      <c r="B28" s="29">
        <f>B20</f>
        <v/>
      </c>
      <c r="C28" s="29">
        <f>C20</f>
        <v/>
      </c>
      <c r="D28" s="29">
        <f>D20</f>
        <v/>
      </c>
      <c r="E28" s="29">
        <f>E20</f>
        <v/>
      </c>
      <c r="F28" s="29">
        <f>F20</f>
        <v/>
      </c>
      <c r="G28" s="29">
        <f>G20</f>
        <v/>
      </c>
      <c r="H28" s="29">
        <f>H20</f>
        <v/>
      </c>
      <c r="I28" s="29">
        <f>I20</f>
        <v/>
      </c>
      <c r="J28" s="29">
        <f>J20</f>
        <v/>
      </c>
      <c r="K28" s="29">
        <f>F28</f>
        <v/>
      </c>
    </row>
    <row r="29">
      <c r="A29" s="29">
        <f>CONCATENATE("CATEGORY_",UPPER(Pokemon!B29))</f>
        <v/>
      </c>
      <c r="B29" s="29">
        <f>B20</f>
        <v/>
      </c>
      <c r="C29" s="29">
        <f>C20</f>
        <v/>
      </c>
      <c r="D29" s="29">
        <f>D20</f>
        <v/>
      </c>
      <c r="E29" s="29">
        <f>E20</f>
        <v/>
      </c>
      <c r="F29" s="29">
        <f>F20</f>
        <v/>
      </c>
      <c r="G29" s="29">
        <f>G20</f>
        <v/>
      </c>
      <c r="H29" s="29">
        <f>H20</f>
        <v/>
      </c>
      <c r="I29" s="29">
        <f>I20</f>
        <v/>
      </c>
      <c r="J29" s="29">
        <f>J20</f>
        <v/>
      </c>
      <c r="K29" s="29">
        <f>F29</f>
        <v/>
      </c>
    </row>
    <row r="30">
      <c r="A30" s="29" t="inlineStr">
        <is>
          <t>CATEGORY_NIDORAN-F</t>
        </is>
      </c>
      <c r="B30" s="29" t="inlineStr">
        <is>
          <t>Poison Pin</t>
        </is>
      </c>
      <c r="C30" s="29" t="inlineStr">
        <is>
          <t>どくばり</t>
        </is>
      </c>
      <c r="D30" s="29" t="inlineStr">
        <is>
          <t>Vénépic</t>
        </is>
      </c>
      <c r="E30" s="29" t="inlineStr">
        <is>
          <t>Giftdorn</t>
        </is>
      </c>
      <c r="F30" s="29" t="inlineStr">
        <is>
          <t>Pin Veneno</t>
        </is>
      </c>
      <c r="G30" s="29" t="inlineStr">
        <is>
          <t>Velenago</t>
        </is>
      </c>
      <c r="H30" s="29" t="inlineStr">
        <is>
          <t>독침</t>
        </is>
      </c>
      <c r="I30" s="29" t="inlineStr">
        <is>
          <t>毒針</t>
        </is>
      </c>
      <c r="J30" s="29">
        <f>IFERROR(__xludf.DUMMYFUNCTION("GOOGLETRANSLATE(I30, ""zh_HANT"",""zh_HANS"")"),"毒针")</f>
        <v/>
      </c>
      <c r="K30" s="29">
        <f>F30</f>
        <v/>
      </c>
    </row>
    <row r="31">
      <c r="A31" s="29">
        <f>CONCATENATE("CATEGORY_",UPPER(Pokemon!B31))</f>
        <v/>
      </c>
      <c r="B31" s="29">
        <f>B30</f>
        <v/>
      </c>
      <c r="C31" s="29">
        <f>C30</f>
        <v/>
      </c>
      <c r="D31" s="29">
        <f>D30</f>
        <v/>
      </c>
      <c r="E31" s="29">
        <f>E30</f>
        <v/>
      </c>
      <c r="F31" s="29">
        <f>F30</f>
        <v/>
      </c>
      <c r="G31" s="29">
        <f>G30</f>
        <v/>
      </c>
      <c r="H31" s="29">
        <f>H30</f>
        <v/>
      </c>
      <c r="I31" s="29">
        <f>I30</f>
        <v/>
      </c>
      <c r="J31" s="29">
        <f>J30</f>
        <v/>
      </c>
      <c r="K31" s="29">
        <f>F31</f>
        <v/>
      </c>
    </row>
    <row r="32">
      <c r="A32" s="29">
        <f>CONCATENATE("CATEGORY_",UPPER(Pokemon!B32))</f>
        <v/>
      </c>
      <c r="B32" s="29" t="inlineStr">
        <is>
          <t>Drill</t>
        </is>
      </c>
      <c r="C32" s="29" t="inlineStr">
        <is>
          <t>ドリル</t>
        </is>
      </c>
      <c r="D32" s="29" t="inlineStr">
        <is>
          <t>Perceur</t>
        </is>
      </c>
      <c r="E32" s="29" t="inlineStr">
        <is>
          <t>Bohrer</t>
        </is>
      </c>
      <c r="F32" s="29" t="inlineStr">
        <is>
          <t>Taladro</t>
        </is>
      </c>
      <c r="G32" s="29" t="inlineStr">
        <is>
          <t>Trapano</t>
        </is>
      </c>
      <c r="H32" s="29" t="inlineStr">
        <is>
          <t>드릴</t>
        </is>
      </c>
      <c r="I32" s="29" t="inlineStr">
        <is>
          <t>鑽錐</t>
        </is>
      </c>
      <c r="J32" s="29">
        <f>IFERROR(__xludf.DUMMYFUNCTION("GOOGLETRANSLATE(I32, ""zh_HANT"",""zh_HANS"")"),"钻锥")</f>
        <v/>
      </c>
      <c r="K32" s="29">
        <f>F32</f>
        <v/>
      </c>
    </row>
    <row r="33">
      <c r="A33" s="29" t="inlineStr">
        <is>
          <t>CATEGORY_NIDORAN-M</t>
        </is>
      </c>
      <c r="B33" s="29">
        <f>B30</f>
        <v/>
      </c>
      <c r="C33" s="29">
        <f>C30</f>
        <v/>
      </c>
      <c r="D33" s="29">
        <f>D30</f>
        <v/>
      </c>
      <c r="E33" s="29">
        <f>E30</f>
        <v/>
      </c>
      <c r="F33" s="29">
        <f>F30</f>
        <v/>
      </c>
      <c r="G33" s="29">
        <f>G30</f>
        <v/>
      </c>
      <c r="H33" s="29">
        <f>H30</f>
        <v/>
      </c>
      <c r="I33" s="29">
        <f>I30</f>
        <v/>
      </c>
      <c r="J33" s="29">
        <f>J30</f>
        <v/>
      </c>
      <c r="K33" s="29">
        <f>F33</f>
        <v/>
      </c>
    </row>
    <row r="34">
      <c r="A34" s="29">
        <f>CONCATENATE("CATEGORY_",UPPER(Pokemon!B34))</f>
        <v/>
      </c>
      <c r="B34" s="29">
        <f>B30</f>
        <v/>
      </c>
      <c r="C34" s="29">
        <f>C30</f>
        <v/>
      </c>
      <c r="D34" s="29">
        <f>D30</f>
        <v/>
      </c>
      <c r="E34" s="29">
        <f>E30</f>
        <v/>
      </c>
      <c r="F34" s="29">
        <f>F30</f>
        <v/>
      </c>
      <c r="G34" s="29">
        <f>G30</f>
        <v/>
      </c>
      <c r="H34" s="29">
        <f>H30</f>
        <v/>
      </c>
      <c r="I34" s="29">
        <f>I30</f>
        <v/>
      </c>
      <c r="J34" s="29">
        <f>J30</f>
        <v/>
      </c>
      <c r="K34" s="29">
        <f>F34</f>
        <v/>
      </c>
    </row>
    <row r="35">
      <c r="A35" s="29">
        <f>CONCATENATE("CATEGORY_",UPPER(Pokemon!B35))</f>
        <v/>
      </c>
      <c r="B35" s="29">
        <f>B32</f>
        <v/>
      </c>
      <c r="C35" s="29">
        <f>C32</f>
        <v/>
      </c>
      <c r="D35" s="29">
        <f>D32</f>
        <v/>
      </c>
      <c r="E35" s="29">
        <f>E32</f>
        <v/>
      </c>
      <c r="F35" s="29">
        <f>F32</f>
        <v/>
      </c>
      <c r="G35" s="29">
        <f>G32</f>
        <v/>
      </c>
      <c r="H35" s="29">
        <f>H32</f>
        <v/>
      </c>
      <c r="I35" s="29">
        <f>I32</f>
        <v/>
      </c>
      <c r="J35" s="29">
        <f>J32</f>
        <v/>
      </c>
      <c r="K35" s="29">
        <f>F35</f>
        <v/>
      </c>
    </row>
    <row r="36">
      <c r="A36" s="29">
        <f>CONCATENATE("CATEGORY_",UPPER(Pokemon!B36))</f>
        <v/>
      </c>
      <c r="B36" s="29">
        <f>Types!B19</f>
        <v/>
      </c>
      <c r="C36" s="29" t="inlineStr">
        <is>
          <t>ようせい</t>
        </is>
      </c>
      <c r="D36" s="29">
        <f>Types!D19</f>
        <v/>
      </c>
      <c r="E36" s="29">
        <f>Types!E19</f>
        <v/>
      </c>
      <c r="F36" s="29">
        <f>Types!F19</f>
        <v/>
      </c>
      <c r="G36" s="29" t="inlineStr">
        <is>
          <t>Fata</t>
        </is>
      </c>
      <c r="H36" s="29" t="inlineStr">
        <is>
          <t>요정</t>
        </is>
      </c>
      <c r="I36" s="29">
        <f>Types!I19</f>
        <v/>
      </c>
      <c r="J36" s="29">
        <f>Types!J19</f>
        <v/>
      </c>
      <c r="K36" s="29">
        <f>F36</f>
        <v/>
      </c>
    </row>
    <row r="37">
      <c r="A37" s="29">
        <f>CONCATENATE("CATEGORY_",UPPER(Pokemon!B37))</f>
        <v/>
      </c>
      <c r="B37" s="29">
        <f>B36</f>
        <v/>
      </c>
      <c r="C37" s="29">
        <f>C36</f>
        <v/>
      </c>
      <c r="D37" s="29">
        <f>D36</f>
        <v/>
      </c>
      <c r="E37" s="29">
        <f>E36</f>
        <v/>
      </c>
      <c r="F37" s="29">
        <f>F36</f>
        <v/>
      </c>
      <c r="G37" s="29">
        <f>G36</f>
        <v/>
      </c>
      <c r="H37" s="29">
        <f>H36</f>
        <v/>
      </c>
      <c r="I37" s="29">
        <f>I36</f>
        <v/>
      </c>
      <c r="J37" s="29">
        <f>J36</f>
        <v/>
      </c>
      <c r="K37" s="29">
        <f>F37</f>
        <v/>
      </c>
    </row>
    <row r="38">
      <c r="A38" s="29">
        <f>CONCATENATE("CATEGORY_",UPPER(Pokemon!B38))</f>
        <v/>
      </c>
      <c r="B38" s="29" t="inlineStr">
        <is>
          <t>Fox</t>
        </is>
      </c>
      <c r="C38" s="29" t="inlineStr">
        <is>
          <t>きつね</t>
        </is>
      </c>
      <c r="D38" s="29" t="inlineStr">
        <is>
          <t>Renard</t>
        </is>
      </c>
      <c r="E38" s="29" t="inlineStr">
        <is>
          <t>Fuchs</t>
        </is>
      </c>
      <c r="F38" s="29" t="inlineStr">
        <is>
          <t>Zorro</t>
        </is>
      </c>
      <c r="G38" s="29" t="inlineStr">
        <is>
          <t>Volpe</t>
        </is>
      </c>
      <c r="H38" s="29" t="inlineStr">
        <is>
          <t>여우</t>
        </is>
      </c>
      <c r="I38" s="29" t="inlineStr">
        <is>
          <t>狐狸</t>
        </is>
      </c>
      <c r="J38" s="29">
        <f>I38</f>
        <v/>
      </c>
      <c r="K38" s="29">
        <f>F38</f>
        <v/>
      </c>
    </row>
    <row r="39">
      <c r="A39" s="29">
        <f>CONCATENATE("CATEGORY_",UPPER(Pokemon!B39))</f>
        <v/>
      </c>
      <c r="B39" s="29">
        <f>B38</f>
        <v/>
      </c>
      <c r="C39" s="29">
        <f>C38</f>
        <v/>
      </c>
      <c r="D39" s="29">
        <f>D38</f>
        <v/>
      </c>
      <c r="E39" s="29">
        <f>E38</f>
        <v/>
      </c>
      <c r="F39" s="29">
        <f>F38</f>
        <v/>
      </c>
      <c r="G39" s="29">
        <f>G38</f>
        <v/>
      </c>
      <c r="H39" s="29">
        <f>H38</f>
        <v/>
      </c>
      <c r="I39" s="29">
        <f>I38</f>
        <v/>
      </c>
      <c r="J39" s="29">
        <f>J38</f>
        <v/>
      </c>
      <c r="K39" s="29">
        <f>F39</f>
        <v/>
      </c>
    </row>
    <row r="40">
      <c r="A40" s="29">
        <f>CONCATENATE("CATEGORY_",UPPER(Pokemon!B40))</f>
        <v/>
      </c>
      <c r="B40" s="29" t="inlineStr">
        <is>
          <t>Balloon</t>
        </is>
      </c>
      <c r="C40" s="29" t="inlineStr">
        <is>
          <t>ふうせん</t>
        </is>
      </c>
      <c r="D40" s="29" t="inlineStr">
        <is>
          <t>Bouboule</t>
        </is>
      </c>
      <c r="E40" s="29" t="inlineStr">
        <is>
          <t>Ballon</t>
        </is>
      </c>
      <c r="F40" s="29" t="inlineStr">
        <is>
          <t>Globo</t>
        </is>
      </c>
      <c r="G40" s="29" t="inlineStr">
        <is>
          <t>Pallone</t>
        </is>
      </c>
      <c r="H40" s="29" t="inlineStr">
        <is>
          <t>풍선</t>
        </is>
      </c>
      <c r="I40" s="29" t="inlineStr">
        <is>
          <t>氣球</t>
        </is>
      </c>
      <c r="J40" s="29">
        <f>IFERROR(__xludf.DUMMYFUNCTION("GOOGLETRANSLATE(I40, ""zh_HANT"",""zh_HANS"")"),"气球")</f>
        <v/>
      </c>
      <c r="K40" s="29">
        <f>F40</f>
        <v/>
      </c>
    </row>
    <row r="41">
      <c r="A41" s="29">
        <f>CONCATENATE("CATEGORY_",UPPER(Pokemon!B41))</f>
        <v/>
      </c>
      <c r="B41" s="29">
        <f>B40</f>
        <v/>
      </c>
      <c r="C41" s="29">
        <f>C40</f>
        <v/>
      </c>
      <c r="D41" s="29">
        <f>D40</f>
        <v/>
      </c>
      <c r="E41" s="29">
        <f>E40</f>
        <v/>
      </c>
      <c r="F41" s="29">
        <f>F40</f>
        <v/>
      </c>
      <c r="G41" s="29">
        <f>G40</f>
        <v/>
      </c>
      <c r="H41" s="29">
        <f>H40</f>
        <v/>
      </c>
      <c r="I41" s="29">
        <f>I40</f>
        <v/>
      </c>
      <c r="J41" s="29">
        <f>J40</f>
        <v/>
      </c>
      <c r="K41" s="29">
        <f>F41</f>
        <v/>
      </c>
    </row>
    <row r="42">
      <c r="A42" s="29">
        <f>CONCATENATE("CATEGORY_",UPPER(Pokemon!B42))</f>
        <v/>
      </c>
      <c r="B42" s="29" t="inlineStr">
        <is>
          <t>Bat</t>
        </is>
      </c>
      <c r="C42" s="29" t="inlineStr">
        <is>
          <t>こうもり</t>
        </is>
      </c>
      <c r="D42" s="29" t="inlineStr">
        <is>
          <t>Chovsouris</t>
        </is>
      </c>
      <c r="E42" s="29" t="inlineStr">
        <is>
          <t>Fledermaus</t>
        </is>
      </c>
      <c r="F42" s="29" t="inlineStr">
        <is>
          <t>Murciélago</t>
        </is>
      </c>
      <c r="G42" s="29" t="inlineStr">
        <is>
          <t>Pipistrello</t>
        </is>
      </c>
      <c r="H42" s="29" t="inlineStr">
        <is>
          <t>박쥐</t>
        </is>
      </c>
      <c r="I42" s="29">
        <f>J42</f>
        <v/>
      </c>
      <c r="J42" s="29" t="inlineStr">
        <is>
          <t>蝙蝠</t>
        </is>
      </c>
      <c r="K42" s="29">
        <f>F42</f>
        <v/>
      </c>
    </row>
    <row r="43">
      <c r="A43" s="29">
        <f>CONCATENATE("CATEGORY_",UPPER(Pokemon!B43))</f>
        <v/>
      </c>
      <c r="B43" s="29">
        <f>B42</f>
        <v/>
      </c>
      <c r="C43" s="29">
        <f>C42</f>
        <v/>
      </c>
      <c r="D43" s="29">
        <f>D42</f>
        <v/>
      </c>
      <c r="E43" s="29">
        <f>E42</f>
        <v/>
      </c>
      <c r="F43" s="29">
        <f>F42</f>
        <v/>
      </c>
      <c r="G43" s="29">
        <f>G42</f>
        <v/>
      </c>
      <c r="H43" s="29">
        <f>H42</f>
        <v/>
      </c>
      <c r="I43" s="29">
        <f>I42</f>
        <v/>
      </c>
      <c r="J43" s="29">
        <f>J42</f>
        <v/>
      </c>
      <c r="K43" s="29">
        <f>F43</f>
        <v/>
      </c>
    </row>
    <row r="44">
      <c r="A44" s="29">
        <f>CONCATENATE("CATEGORY_",UPPER(Pokemon!B44))</f>
        <v/>
      </c>
      <c r="B44" s="29" t="inlineStr">
        <is>
          <t>Weed</t>
        </is>
      </c>
      <c r="C44" s="29" t="inlineStr">
        <is>
          <t>ぎっそう</t>
        </is>
      </c>
      <c r="D44" s="29" t="inlineStr">
        <is>
          <t>Racine</t>
        </is>
      </c>
      <c r="E44" s="29" t="inlineStr">
        <is>
          <t>Unkraut</t>
        </is>
      </c>
      <c r="F44" s="29" t="inlineStr">
        <is>
          <t>Hierbajo</t>
        </is>
      </c>
      <c r="G44" s="29" t="inlineStr">
        <is>
          <t>Malerba</t>
        </is>
      </c>
      <c r="H44" s="29" t="inlineStr">
        <is>
          <t>잡초</t>
        </is>
      </c>
      <c r="I44" s="29" t="inlineStr">
        <is>
          <t>雜草</t>
        </is>
      </c>
      <c r="J44" s="29">
        <f>IFERROR(__xludf.DUMMYFUNCTION("GOOGLETRANSLATE(I44, ""zh_HANT"",""zh_HANS"")"),"杂草")</f>
        <v/>
      </c>
      <c r="K44" s="29">
        <f>F44</f>
        <v/>
      </c>
    </row>
    <row r="45">
      <c r="A45" s="29">
        <f>CONCATENATE("CATEGORY_",UPPER(Pokemon!B45))</f>
        <v/>
      </c>
      <c r="B45" s="29">
        <f>B44</f>
        <v/>
      </c>
      <c r="C45" s="29">
        <f>C44</f>
        <v/>
      </c>
      <c r="D45" s="29">
        <f>D44</f>
        <v/>
      </c>
      <c r="E45" s="29">
        <f>E44</f>
        <v/>
      </c>
      <c r="F45" s="29">
        <f>F44</f>
        <v/>
      </c>
      <c r="G45" s="29">
        <f>G44</f>
        <v/>
      </c>
      <c r="H45" s="29">
        <f>H44</f>
        <v/>
      </c>
      <c r="I45" s="29">
        <f>I44</f>
        <v/>
      </c>
      <c r="J45" s="29">
        <f>J44</f>
        <v/>
      </c>
      <c r="K45" s="29">
        <f>F45</f>
        <v/>
      </c>
    </row>
    <row r="46">
      <c r="A46" s="29">
        <f>CONCATENATE("CATEGORY_",UPPER(Pokemon!B46))</f>
        <v/>
      </c>
      <c r="B46" s="29" t="inlineStr">
        <is>
          <t>Flower</t>
        </is>
      </c>
      <c r="C46" s="29" t="inlineStr">
        <is>
          <t>フラワー</t>
        </is>
      </c>
      <c r="D46" s="29" t="inlineStr">
        <is>
          <t>Fleur</t>
        </is>
      </c>
      <c r="E46" s="29" t="inlineStr">
        <is>
          <t>Blume</t>
        </is>
      </c>
      <c r="F46" s="29" t="inlineStr">
        <is>
          <t>Flor</t>
        </is>
      </c>
      <c r="G46" s="29" t="inlineStr">
        <is>
          <t>Fiore</t>
        </is>
      </c>
      <c r="H46" s="29" t="inlineStr">
        <is>
          <t>꽃</t>
        </is>
      </c>
      <c r="I46" s="29" t="inlineStr">
        <is>
          <t>花</t>
        </is>
      </c>
      <c r="J46" s="29">
        <f>I46</f>
        <v/>
      </c>
      <c r="K46" s="29">
        <f>F46</f>
        <v/>
      </c>
    </row>
    <row r="47">
      <c r="A47" s="29">
        <f>CONCATENATE("CATEGORY_",UPPER(Pokemon!B47))</f>
        <v/>
      </c>
      <c r="B47" s="29" t="inlineStr">
        <is>
          <t>Mushroom</t>
        </is>
      </c>
      <c r="C47" s="29" t="inlineStr">
        <is>
          <t>きのこ</t>
        </is>
      </c>
      <c r="D47" s="29" t="inlineStr">
        <is>
          <t>Champignon</t>
        </is>
      </c>
      <c r="E47" s="29" t="inlineStr">
        <is>
          <t>Pilz</t>
        </is>
      </c>
      <c r="F47" s="29" t="inlineStr">
        <is>
          <t>Hongo</t>
        </is>
      </c>
      <c r="G47" s="29" t="inlineStr">
        <is>
          <t>Fungo</t>
        </is>
      </c>
      <c r="H47" s="29" t="inlineStr">
        <is>
          <t>버섯</t>
        </is>
      </c>
      <c r="I47" s="29" t="inlineStr">
        <is>
          <t>蘑菇</t>
        </is>
      </c>
      <c r="J47" s="29">
        <f>I47</f>
        <v/>
      </c>
      <c r="K47" s="29">
        <f>F47</f>
        <v/>
      </c>
    </row>
    <row r="48">
      <c r="A48" s="29">
        <f>CONCATENATE("CATEGORY_",UPPER(Pokemon!B48))</f>
        <v/>
      </c>
      <c r="B48" s="29">
        <f>B47</f>
        <v/>
      </c>
      <c r="C48" s="29">
        <f>C47</f>
        <v/>
      </c>
      <c r="D48" s="29">
        <f>D47</f>
        <v/>
      </c>
      <c r="E48" s="29">
        <f>E47</f>
        <v/>
      </c>
      <c r="F48" s="29">
        <f>F47</f>
        <v/>
      </c>
      <c r="G48" s="29">
        <f>G47</f>
        <v/>
      </c>
      <c r="H48" s="29">
        <f>H47</f>
        <v/>
      </c>
      <c r="I48" s="29">
        <f>I47</f>
        <v/>
      </c>
      <c r="J48" s="29">
        <f>J47</f>
        <v/>
      </c>
      <c r="K48" s="29">
        <f>F48</f>
        <v/>
      </c>
    </row>
    <row r="49">
      <c r="A49" s="29">
        <f>CONCATENATE("CATEGORY_",UPPER(Pokemon!B49))</f>
        <v/>
      </c>
      <c r="B49" s="29" t="inlineStr">
        <is>
          <t>Insect</t>
        </is>
      </c>
      <c r="C49" s="29" t="inlineStr">
        <is>
          <t>こんちゅう</t>
        </is>
      </c>
      <c r="D49" s="29" t="inlineStr">
        <is>
          <t>Vermine</t>
        </is>
      </c>
      <c r="E49" s="29" t="inlineStr">
        <is>
          <t>Insekt</t>
        </is>
      </c>
      <c r="F49" s="29" t="inlineStr">
        <is>
          <t>Insecto</t>
        </is>
      </c>
      <c r="G49" s="29" t="inlineStr">
        <is>
          <t>Insetto</t>
        </is>
      </c>
      <c r="H49" s="29" t="inlineStr">
        <is>
          <t>곤충</t>
        </is>
      </c>
      <c r="I49" s="29" t="inlineStr">
        <is>
          <t>昆蟲</t>
        </is>
      </c>
      <c r="J49" s="29">
        <f>IFERROR(__xludf.DUMMYFUNCTION("GOOGLETRANSLATE(I49, ""zh_HANT"",""zh_HANS"")"),"昆虫")</f>
        <v/>
      </c>
      <c r="K49" s="29">
        <f>F49</f>
        <v/>
      </c>
    </row>
    <row r="50">
      <c r="A50" s="29">
        <f>CONCATENATE("CATEGORY_",UPPER(Pokemon!B50))</f>
        <v/>
      </c>
      <c r="B50" s="29" t="inlineStr">
        <is>
          <t>Poison Moth</t>
        </is>
      </c>
      <c r="C50" s="29" t="inlineStr">
        <is>
          <t>どくが</t>
        </is>
      </c>
      <c r="D50" s="29" t="inlineStr">
        <is>
          <t>Papipoison</t>
        </is>
      </c>
      <c r="E50" s="29" t="inlineStr">
        <is>
          <t>Giftmotte</t>
        </is>
      </c>
      <c r="F50" s="29" t="inlineStr">
        <is>
          <t>Polilla Ven.</t>
        </is>
      </c>
      <c r="G50" s="29" t="inlineStr">
        <is>
          <t>Velentarma</t>
        </is>
      </c>
      <c r="H50" s="29" t="inlineStr">
        <is>
          <t>독나방</t>
        </is>
      </c>
      <c r="I50" s="29" t="inlineStr">
        <is>
          <t>毒蛾</t>
        </is>
      </c>
      <c r="J50" s="29">
        <f>I50</f>
        <v/>
      </c>
      <c r="K50" s="29">
        <f>F50</f>
        <v/>
      </c>
    </row>
    <row r="51">
      <c r="A51" s="29">
        <f>CONCATENATE("CATEGORY_",UPPER(Pokemon!B51))</f>
        <v/>
      </c>
      <c r="B51" s="29" t="inlineStr">
        <is>
          <t>Mole</t>
        </is>
      </c>
      <c r="C51" s="29" t="inlineStr">
        <is>
          <t>もぐら</t>
        </is>
      </c>
      <c r="D51" s="29" t="inlineStr">
        <is>
          <t>Taupe</t>
        </is>
      </c>
      <c r="E51" s="29" t="inlineStr">
        <is>
          <t>Maulwurf</t>
        </is>
      </c>
      <c r="F51" s="29" t="inlineStr">
        <is>
          <t>Topo</t>
        </is>
      </c>
      <c r="G51" s="29" t="inlineStr">
        <is>
          <t>Talpa</t>
        </is>
      </c>
      <c r="H51" s="29" t="inlineStr">
        <is>
          <t>두더지</t>
        </is>
      </c>
      <c r="I51" s="29" t="inlineStr">
        <is>
          <t>鼴鼠</t>
        </is>
      </c>
      <c r="J51" s="29">
        <f>IFERROR(__xludf.DUMMYFUNCTION("GOOGLETRANSLATE(I51, ""zh_HANT"",""zh_HANS"")"),"鼹鼠")</f>
        <v/>
      </c>
      <c r="K51" s="29">
        <f>F51</f>
        <v/>
      </c>
    </row>
    <row r="52">
      <c r="A52" s="29">
        <f>CONCATENATE("CATEGORY_",UPPER(Pokemon!B52))</f>
        <v/>
      </c>
      <c r="B52" s="29">
        <f>B51</f>
        <v/>
      </c>
      <c r="C52" s="29">
        <f>C51</f>
        <v/>
      </c>
      <c r="D52" s="29">
        <f>D51</f>
        <v/>
      </c>
      <c r="E52" s="29">
        <f>E51</f>
        <v/>
      </c>
      <c r="F52" s="29">
        <f>F51</f>
        <v/>
      </c>
      <c r="G52" s="29">
        <f>G51</f>
        <v/>
      </c>
      <c r="H52" s="29">
        <f>H51</f>
        <v/>
      </c>
      <c r="I52" s="29">
        <f>I51</f>
        <v/>
      </c>
      <c r="J52" s="29">
        <f>J51</f>
        <v/>
      </c>
      <c r="K52" s="29">
        <f>F52</f>
        <v/>
      </c>
    </row>
    <row r="53">
      <c r="A53" s="29">
        <f>CONCATENATE("CATEGORY_",UPPER(Pokemon!B53))</f>
        <v/>
      </c>
      <c r="B53" s="29" t="inlineStr">
        <is>
          <t>Scratch Cat</t>
        </is>
      </c>
      <c r="C53" s="29" t="inlineStr">
        <is>
          <t>ばけねこ</t>
        </is>
      </c>
      <c r="D53" s="29" t="inlineStr">
        <is>
          <t>Chadégout</t>
        </is>
      </c>
      <c r="E53" s="29" t="inlineStr">
        <is>
          <t>Katze</t>
        </is>
      </c>
      <c r="F53" s="29" t="inlineStr">
        <is>
          <t>Gato Araña</t>
        </is>
      </c>
      <c r="G53" s="29" t="inlineStr">
        <is>
          <t>Graffimiao</t>
        </is>
      </c>
      <c r="H53" s="29" t="inlineStr">
        <is>
          <t>요괴고양이</t>
        </is>
      </c>
      <c r="I53" s="29" t="inlineStr">
        <is>
          <t>妖怪貓</t>
        </is>
      </c>
      <c r="J53" s="29">
        <f>IFERROR(__xludf.DUMMYFUNCTION("GOOGLETRANSLATE(I53, ""zh_HANT"",""zh_HANS"")"),"妖怪猫")</f>
        <v/>
      </c>
      <c r="K53" s="29">
        <f>F53</f>
        <v/>
      </c>
    </row>
    <row r="54">
      <c r="A54" s="29">
        <f>CONCATENATE("CATEGORY_",UPPER(Pokemon!B54))</f>
        <v/>
      </c>
      <c r="B54" s="29" t="inlineStr">
        <is>
          <t>Classy Cat</t>
        </is>
      </c>
      <c r="C54" s="29" t="inlineStr">
        <is>
          <t>シャムネコ</t>
        </is>
      </c>
      <c r="D54" s="29" t="inlineStr">
        <is>
          <t>Chadeville</t>
        </is>
      </c>
      <c r="E54" s="29" t="inlineStr">
        <is>
          <t>Rassekatze</t>
        </is>
      </c>
      <c r="F54" s="29" t="inlineStr">
        <is>
          <t>Gato Fino</t>
        </is>
      </c>
      <c r="G54" s="29" t="inlineStr">
        <is>
          <t>Nobilgatto</t>
        </is>
      </c>
      <c r="H54" s="29" t="inlineStr">
        <is>
          <t>샴고양이</t>
        </is>
      </c>
      <c r="I54" s="29" t="inlineStr">
        <is>
          <t>暹羅貓</t>
        </is>
      </c>
      <c r="J54" s="29">
        <f>IFERROR(__xludf.DUMMYFUNCTION("GOOGLETRANSLATE(I54, ""zh_HANT"",""zh_HANS"")"),"暹罗猫")</f>
        <v/>
      </c>
      <c r="K54" s="29">
        <f>F54</f>
        <v/>
      </c>
    </row>
    <row r="55">
      <c r="A55" s="29">
        <f>CONCATENATE("CATEGORY_",UPPER(Pokemon!B55))</f>
        <v/>
      </c>
      <c r="B55" s="29" t="inlineStr">
        <is>
          <t>Duck</t>
        </is>
      </c>
      <c r="C55" s="29" t="inlineStr">
        <is>
          <t>あひる</t>
        </is>
      </c>
      <c r="D55" s="29" t="inlineStr">
        <is>
          <t>Canard</t>
        </is>
      </c>
      <c r="E55" s="29" t="inlineStr">
        <is>
          <t>Ente</t>
        </is>
      </c>
      <c r="F55" s="29" t="inlineStr">
        <is>
          <t>Pato</t>
        </is>
      </c>
      <c r="G55" s="29" t="inlineStr">
        <is>
          <t>Papero</t>
        </is>
      </c>
      <c r="H55" s="29" t="inlineStr">
        <is>
          <t>오리</t>
        </is>
      </c>
      <c r="I55" s="29" t="inlineStr">
        <is>
          <t>鴨</t>
        </is>
      </c>
      <c r="J55" s="29">
        <f>IFERROR(__xludf.DUMMYFUNCTION("GOOGLETRANSLATE(I55, ""zh_HANT"",""zh_HANS"")"),"鸭")</f>
        <v/>
      </c>
      <c r="K55" s="29">
        <f>F55</f>
        <v/>
      </c>
    </row>
    <row r="56">
      <c r="A56" s="29">
        <f>CONCATENATE("CATEGORY_",UPPER(Pokemon!B56))</f>
        <v/>
      </c>
      <c r="B56" s="29">
        <f>B55</f>
        <v/>
      </c>
      <c r="C56" s="29">
        <f>C55</f>
        <v/>
      </c>
      <c r="D56" s="29">
        <f>D55</f>
        <v/>
      </c>
      <c r="E56" s="29">
        <f>E55</f>
        <v/>
      </c>
      <c r="F56" s="29">
        <f>F55</f>
        <v/>
      </c>
      <c r="G56" s="29">
        <f>G55</f>
        <v/>
      </c>
      <c r="H56" s="29">
        <f>H55</f>
        <v/>
      </c>
      <c r="I56" s="29">
        <f>I55</f>
        <v/>
      </c>
      <c r="J56" s="29">
        <f>J55</f>
        <v/>
      </c>
      <c r="K56" s="29">
        <f>F56</f>
        <v/>
      </c>
    </row>
    <row r="57">
      <c r="A57" s="29">
        <f>CONCATENATE("CATEGORY_",UPPER(Pokemon!B57))</f>
        <v/>
      </c>
      <c r="B57" s="29" t="inlineStr">
        <is>
          <t>Pig Monkey</t>
        </is>
      </c>
      <c r="C57" s="29" t="inlineStr">
        <is>
          <t>ぶたざる</t>
        </is>
      </c>
      <c r="D57" s="29" t="inlineStr">
        <is>
          <t>Porsinge</t>
        </is>
      </c>
      <c r="E57" s="29" t="inlineStr">
        <is>
          <t>Schwein / Affe</t>
        </is>
      </c>
      <c r="F57" s="29" t="inlineStr">
        <is>
          <t>Mono Cerdo</t>
        </is>
      </c>
      <c r="G57" s="29" t="inlineStr">
        <is>
          <t>Suinpanzé</t>
        </is>
      </c>
      <c r="H57" s="29" t="inlineStr">
        <is>
          <t>돈숭이</t>
        </is>
      </c>
      <c r="I57" s="29" t="inlineStr">
        <is>
          <t>豬猴</t>
        </is>
      </c>
      <c r="J57" s="29">
        <f>IFERROR(__xludf.DUMMYFUNCTION("GOOGLETRANSLATE(I57, ""zh_HANT"",""zh_HANS"")"),"猪猴")</f>
        <v/>
      </c>
      <c r="K57" s="29">
        <f>F57</f>
        <v/>
      </c>
    </row>
    <row r="58">
      <c r="A58" s="29">
        <f>CONCATENATE("CATEGORY_",UPPER(Pokemon!B58))</f>
        <v/>
      </c>
      <c r="B58" s="29">
        <f>B57</f>
        <v/>
      </c>
      <c r="C58" s="29">
        <f>C57</f>
        <v/>
      </c>
      <c r="D58" s="29">
        <f>D57</f>
        <v/>
      </c>
      <c r="E58" s="29">
        <f>E57</f>
        <v/>
      </c>
      <c r="F58" s="29">
        <f>F57</f>
        <v/>
      </c>
      <c r="G58" s="29">
        <f>G57</f>
        <v/>
      </c>
      <c r="H58" s="29">
        <f>H57</f>
        <v/>
      </c>
      <c r="I58" s="29">
        <f>I57</f>
        <v/>
      </c>
      <c r="J58" s="29">
        <f>J57</f>
        <v/>
      </c>
      <c r="K58" s="29">
        <f>F58</f>
        <v/>
      </c>
    </row>
    <row r="59">
      <c r="A59" s="29">
        <f>CONCATENATE("CATEGORY_",UPPER(Pokemon!B59))</f>
        <v/>
      </c>
      <c r="B59" s="29" t="inlineStr">
        <is>
          <t>Puppy</t>
        </is>
      </c>
      <c r="C59" s="29" t="inlineStr">
        <is>
          <t>こいぬ</t>
        </is>
      </c>
      <c r="D59" s="29" t="inlineStr">
        <is>
          <t>Chiot</t>
        </is>
      </c>
      <c r="E59" s="29" t="inlineStr">
        <is>
          <t>Welpen</t>
        </is>
      </c>
      <c r="F59" s="29" t="inlineStr">
        <is>
          <t>Perrito</t>
        </is>
      </c>
      <c r="G59" s="29" t="inlineStr">
        <is>
          <t>Cagnolino</t>
        </is>
      </c>
      <c r="H59" s="29" t="inlineStr">
        <is>
          <t>강아지</t>
        </is>
      </c>
      <c r="I59" s="29" t="inlineStr">
        <is>
          <t>小狗</t>
        </is>
      </c>
      <c r="J59" s="29">
        <f>I59</f>
        <v/>
      </c>
      <c r="K59" s="29">
        <f>F59</f>
        <v/>
      </c>
    </row>
    <row r="60">
      <c r="A60" s="29">
        <f>CONCATENATE(A59,"-H")</f>
        <v/>
      </c>
      <c r="B60" s="29">
        <f>B173</f>
        <v/>
      </c>
      <c r="C60" s="29">
        <f>C173</f>
        <v/>
      </c>
      <c r="D60" s="29">
        <f>D173</f>
        <v/>
      </c>
      <c r="E60" s="29">
        <f>E173</f>
        <v/>
      </c>
      <c r="F60" s="29">
        <f>F173</f>
        <v/>
      </c>
      <c r="G60" s="29">
        <f>G173</f>
        <v/>
      </c>
      <c r="H60" s="29">
        <f>H173</f>
        <v/>
      </c>
      <c r="I60" s="29">
        <f>I173</f>
        <v/>
      </c>
      <c r="J60" s="29">
        <f>J173</f>
        <v/>
      </c>
      <c r="K60" s="29">
        <f>F60</f>
        <v/>
      </c>
    </row>
    <row r="61">
      <c r="A61" s="29">
        <f>CONCATENATE("CATEGORY_",UPPER(Pokemon!B60))</f>
        <v/>
      </c>
      <c r="B61" s="29" t="inlineStr">
        <is>
          <t>Legendary</t>
        </is>
      </c>
      <c r="C61" s="29" t="inlineStr">
        <is>
          <t>でんせつ</t>
        </is>
      </c>
      <c r="D61" s="29" t="inlineStr">
        <is>
          <t>Légendaire</t>
        </is>
      </c>
      <c r="E61" s="29" t="inlineStr">
        <is>
          <t>Legendär</t>
        </is>
      </c>
      <c r="F61" s="29" t="inlineStr">
        <is>
          <t>Legendario</t>
        </is>
      </c>
      <c r="G61" s="29" t="inlineStr">
        <is>
          <t>Leggenda</t>
        </is>
      </c>
      <c r="H61" s="29" t="inlineStr">
        <is>
          <t>전설</t>
        </is>
      </c>
      <c r="I61" s="29" t="inlineStr">
        <is>
          <t>傳說</t>
        </is>
      </c>
      <c r="J61" s="29">
        <f>IFERROR(__xludf.DUMMYFUNCTION("GOOGLETRANSLATE(I61, ""zh_HANT"",""zh_HANS"")"),"传说")</f>
        <v/>
      </c>
      <c r="K61" s="29">
        <f>F61</f>
        <v/>
      </c>
    </row>
    <row r="62">
      <c r="A62" s="29">
        <f>CONCATENATE("CATEGORY_",UPPER(Pokemon!B61))</f>
        <v/>
      </c>
      <c r="B62" s="29" t="inlineStr">
        <is>
          <t>Tadpole</t>
        </is>
      </c>
      <c r="C62" s="29" t="inlineStr">
        <is>
          <t>おたま</t>
        </is>
      </c>
      <c r="D62" s="29" t="inlineStr">
        <is>
          <t>Têtard</t>
        </is>
      </c>
      <c r="E62" s="29" t="inlineStr">
        <is>
          <t>Kaulquappe</t>
        </is>
      </c>
      <c r="F62" s="29" t="inlineStr">
        <is>
          <t>Renacuajo</t>
        </is>
      </c>
      <c r="G62" s="29" t="inlineStr">
        <is>
          <t>Girino</t>
        </is>
      </c>
      <c r="H62" s="29" t="inlineStr">
        <is>
          <t>올챙이</t>
        </is>
      </c>
      <c r="I62" s="29" t="inlineStr">
        <is>
          <t>蝌蚪</t>
        </is>
      </c>
      <c r="J62" s="29">
        <f>I62</f>
        <v/>
      </c>
      <c r="K62" s="29">
        <f>F62</f>
        <v/>
      </c>
    </row>
    <row r="63">
      <c r="A63" s="29">
        <f>CONCATENATE("CATEGORY_",UPPER(Pokemon!B62))</f>
        <v/>
      </c>
      <c r="B63" s="29">
        <f>B62</f>
        <v/>
      </c>
      <c r="C63" s="29">
        <f>C62</f>
        <v/>
      </c>
      <c r="D63" s="29">
        <f>D62</f>
        <v/>
      </c>
      <c r="E63" s="29">
        <f>E62</f>
        <v/>
      </c>
      <c r="F63" s="29">
        <f>F62</f>
        <v/>
      </c>
      <c r="G63" s="29">
        <f>G62</f>
        <v/>
      </c>
      <c r="H63" s="29">
        <f>H62</f>
        <v/>
      </c>
      <c r="I63" s="29">
        <f>I62</f>
        <v/>
      </c>
      <c r="J63" s="29">
        <f>J62</f>
        <v/>
      </c>
      <c r="K63" s="29">
        <f>F63</f>
        <v/>
      </c>
    </row>
    <row r="64">
      <c r="A64" s="29">
        <f>CONCATENATE("CATEGORY_",UPPER(Pokemon!B63))</f>
        <v/>
      </c>
      <c r="B64" s="29">
        <f>B62</f>
        <v/>
      </c>
      <c r="C64" s="29">
        <f>C62</f>
        <v/>
      </c>
      <c r="D64" s="29">
        <f>D62</f>
        <v/>
      </c>
      <c r="E64" s="29">
        <f>E62</f>
        <v/>
      </c>
      <c r="F64" s="29">
        <f>F62</f>
        <v/>
      </c>
      <c r="G64" s="29">
        <f>G62</f>
        <v/>
      </c>
      <c r="H64" s="29">
        <f>H62</f>
        <v/>
      </c>
      <c r="I64" s="29">
        <f>I62</f>
        <v/>
      </c>
      <c r="J64" s="29">
        <f>J62</f>
        <v/>
      </c>
      <c r="K64" s="29">
        <f>F64</f>
        <v/>
      </c>
    </row>
    <row r="65">
      <c r="A65" s="29">
        <f>CONCATENATE("CATEGORY_",UPPER(Pokemon!B64))</f>
        <v/>
      </c>
      <c r="B65" s="29" t="inlineStr">
        <is>
          <t>Psi</t>
        </is>
      </c>
      <c r="C65" s="29" t="inlineStr">
        <is>
          <t>ねんりき</t>
        </is>
      </c>
      <c r="D65" s="29" t="inlineStr">
        <is>
          <t>Psy</t>
        </is>
      </c>
      <c r="E65" s="29">
        <f>B65</f>
        <v/>
      </c>
      <c r="F65" s="29">
        <f>B65</f>
        <v/>
      </c>
      <c r="G65" s="29" t="inlineStr">
        <is>
          <t>Psico</t>
        </is>
      </c>
      <c r="H65" s="29" t="inlineStr">
        <is>
          <t>초능력</t>
        </is>
      </c>
      <c r="I65" s="29" t="inlineStr">
        <is>
          <t>念力</t>
        </is>
      </c>
      <c r="J65" s="29">
        <f>I65</f>
        <v/>
      </c>
      <c r="K65" s="29">
        <f>F65</f>
        <v/>
      </c>
    </row>
    <row r="66">
      <c r="A66" s="29">
        <f>CONCATENATE("CATEGORY_",UPPER(Pokemon!B65))</f>
        <v/>
      </c>
      <c r="B66" s="29">
        <f>B65</f>
        <v/>
      </c>
      <c r="C66" s="29">
        <f>C65</f>
        <v/>
      </c>
      <c r="D66" s="29">
        <f>D65</f>
        <v/>
      </c>
      <c r="E66" s="29">
        <f>E65</f>
        <v/>
      </c>
      <c r="F66" s="29">
        <f>F65</f>
        <v/>
      </c>
      <c r="G66" s="29">
        <f>G65</f>
        <v/>
      </c>
      <c r="H66" s="29">
        <f>H65</f>
        <v/>
      </c>
      <c r="I66" s="29">
        <f>I65</f>
        <v/>
      </c>
      <c r="J66" s="29">
        <f>J65</f>
        <v/>
      </c>
      <c r="K66" s="29">
        <f>F66</f>
        <v/>
      </c>
    </row>
    <row r="67">
      <c r="A67" s="29">
        <f>CONCATENATE("CATEGORY_",UPPER(Pokemon!B66))</f>
        <v/>
      </c>
      <c r="B67" s="29">
        <f>B65</f>
        <v/>
      </c>
      <c r="C67" s="29">
        <f>C65</f>
        <v/>
      </c>
      <c r="D67" s="29">
        <f>D65</f>
        <v/>
      </c>
      <c r="E67" s="29">
        <f>E65</f>
        <v/>
      </c>
      <c r="F67" s="29">
        <f>F65</f>
        <v/>
      </c>
      <c r="G67" s="29">
        <f>G65</f>
        <v/>
      </c>
      <c r="H67" s="29">
        <f>H65</f>
        <v/>
      </c>
      <c r="I67" s="29">
        <f>I65</f>
        <v/>
      </c>
      <c r="J67" s="29">
        <f>J65</f>
        <v/>
      </c>
      <c r="K67" s="29">
        <f>F67</f>
        <v/>
      </c>
    </row>
    <row r="68">
      <c r="A68" s="29">
        <f>CONCATENATE("CATEGORY_",UPPER(Pokemon!B67))</f>
        <v/>
      </c>
      <c r="B68" s="29" t="inlineStr">
        <is>
          <t>Superpower</t>
        </is>
      </c>
      <c r="C68" s="29" t="inlineStr">
        <is>
          <t>かいりき</t>
        </is>
      </c>
      <c r="D68" s="29" t="inlineStr">
        <is>
          <t>Colosse</t>
        </is>
      </c>
      <c r="E68" s="29" t="inlineStr">
        <is>
          <t>Kraftprotz</t>
        </is>
      </c>
      <c r="F68" s="29" t="inlineStr">
        <is>
          <t>Superpoder</t>
        </is>
      </c>
      <c r="G68" s="29" t="inlineStr">
        <is>
          <t>Megaforza</t>
        </is>
      </c>
      <c r="H68" s="29" t="inlineStr">
        <is>
          <t>괴력</t>
        </is>
      </c>
      <c r="I68" s="29" t="inlineStr">
        <is>
          <t>怪力</t>
        </is>
      </c>
      <c r="J68" s="29">
        <f>I68</f>
        <v/>
      </c>
      <c r="K68" s="29">
        <f>F68</f>
        <v/>
      </c>
    </row>
    <row r="69">
      <c r="A69" s="29">
        <f>CONCATENATE("CATEGORY_",UPPER(Pokemon!B68))</f>
        <v/>
      </c>
      <c r="B69" s="29">
        <f>B68</f>
        <v/>
      </c>
      <c r="C69" s="29">
        <f>C68</f>
        <v/>
      </c>
      <c r="D69" s="29">
        <f>D68</f>
        <v/>
      </c>
      <c r="E69" s="29">
        <f>E68</f>
        <v/>
      </c>
      <c r="F69" s="29">
        <f>F68</f>
        <v/>
      </c>
      <c r="G69" s="29">
        <f>G68</f>
        <v/>
      </c>
      <c r="H69" s="29">
        <f>H68</f>
        <v/>
      </c>
      <c r="I69" s="29">
        <f>I68</f>
        <v/>
      </c>
      <c r="J69" s="29">
        <f>J68</f>
        <v/>
      </c>
      <c r="K69" s="29">
        <f>F69</f>
        <v/>
      </c>
    </row>
    <row r="70">
      <c r="A70" s="29">
        <f>CONCATENATE("CATEGORY_",UPPER(Pokemon!B69))</f>
        <v/>
      </c>
      <c r="B70" s="29">
        <f>B68</f>
        <v/>
      </c>
      <c r="C70" s="29">
        <f>C68</f>
        <v/>
      </c>
      <c r="D70" s="29">
        <f>D68</f>
        <v/>
      </c>
      <c r="E70" s="29">
        <f>E68</f>
        <v/>
      </c>
      <c r="F70" s="29">
        <f>F68</f>
        <v/>
      </c>
      <c r="G70" s="29">
        <f>G68</f>
        <v/>
      </c>
      <c r="H70" s="29">
        <f>H68</f>
        <v/>
      </c>
      <c r="I70" s="29">
        <f>I68</f>
        <v/>
      </c>
      <c r="J70" s="29">
        <f>J68</f>
        <v/>
      </c>
      <c r="K70" s="29">
        <f>F70</f>
        <v/>
      </c>
    </row>
    <row r="71">
      <c r="A71" s="29">
        <f>CONCATENATE("CATEGORY_",UPPER(Pokemon!B70))</f>
        <v/>
      </c>
      <c r="B71" s="29">
        <f>B46</f>
        <v/>
      </c>
      <c r="C71" s="29">
        <f>C46</f>
        <v/>
      </c>
      <c r="D71" s="29">
        <f>D46</f>
        <v/>
      </c>
      <c r="E71" s="29">
        <f>E46</f>
        <v/>
      </c>
      <c r="F71" s="29">
        <f>F46</f>
        <v/>
      </c>
      <c r="G71" s="29">
        <f>G46</f>
        <v/>
      </c>
      <c r="H71" s="29">
        <f>H46</f>
        <v/>
      </c>
      <c r="I71" s="29">
        <f>I46</f>
        <v/>
      </c>
      <c r="J71" s="29">
        <f>J46</f>
        <v/>
      </c>
      <c r="K71" s="29">
        <f>F71</f>
        <v/>
      </c>
    </row>
    <row r="72">
      <c r="A72" s="29">
        <f>CONCATENATE("CATEGORY_",UPPER(Pokemon!B71))</f>
        <v/>
      </c>
      <c r="B72" s="29" t="inlineStr">
        <is>
          <t>Flycatcher</t>
        </is>
      </c>
      <c r="C72" s="29" t="inlineStr">
        <is>
          <t>ハエトリ</t>
        </is>
      </c>
      <c r="D72" s="29" t="inlineStr">
        <is>
          <t>Carnivore</t>
        </is>
      </c>
      <c r="E72" s="29" t="inlineStr">
        <is>
          <t>Fliegentot</t>
        </is>
      </c>
      <c r="F72" s="29" t="inlineStr">
        <is>
          <t>Matamoscas</t>
        </is>
      </c>
      <c r="G72" s="29" t="inlineStr">
        <is>
          <t>Moschivoro</t>
        </is>
      </c>
      <c r="H72" s="29" t="inlineStr">
        <is>
          <t>파리잡이</t>
        </is>
      </c>
      <c r="I72" s="29" t="inlineStr">
        <is>
          <t>捕蠅</t>
        </is>
      </c>
      <c r="J72" s="29">
        <f>IFERROR(__xludf.DUMMYFUNCTION("GOOGLETRANSLATE(I72, ""zh_HANT"",""zh_HANS"")"),"捕蝇")</f>
        <v/>
      </c>
      <c r="K72" s="29">
        <f>F72</f>
        <v/>
      </c>
    </row>
    <row r="73">
      <c r="A73" s="29">
        <f>CONCATENATE("CATEGORY_",UPPER(Pokemon!B72))</f>
        <v/>
      </c>
      <c r="B73" s="29">
        <f>B72</f>
        <v/>
      </c>
      <c r="C73" s="29">
        <f>C72</f>
        <v/>
      </c>
      <c r="D73" s="29">
        <f>D72</f>
        <v/>
      </c>
      <c r="E73" s="29">
        <f>E72</f>
        <v/>
      </c>
      <c r="F73" s="29">
        <f>F72</f>
        <v/>
      </c>
      <c r="G73" s="29">
        <f>G72</f>
        <v/>
      </c>
      <c r="H73" s="29">
        <f>H72</f>
        <v/>
      </c>
      <c r="I73" s="29">
        <f>I72</f>
        <v/>
      </c>
      <c r="J73" s="29">
        <f>J72</f>
        <v/>
      </c>
      <c r="K73" s="29">
        <f>F73</f>
        <v/>
      </c>
    </row>
    <row r="74">
      <c r="A74" s="29">
        <f>CONCATENATE("CATEGORY_",UPPER(Pokemon!B73))</f>
        <v/>
      </c>
      <c r="B74" s="29" t="inlineStr">
        <is>
          <t>Jellyfish</t>
        </is>
      </c>
      <c r="C74" s="29" t="inlineStr">
        <is>
          <t>くらげ</t>
        </is>
      </c>
      <c r="D74" s="29" t="inlineStr">
        <is>
          <t>Mollusque</t>
        </is>
      </c>
      <c r="E74" s="29" t="inlineStr">
        <is>
          <t>Qualle</t>
        </is>
      </c>
      <c r="F74" s="29" t="inlineStr">
        <is>
          <t>Medusa</t>
        </is>
      </c>
      <c r="G74" s="29">
        <f>F74</f>
        <v/>
      </c>
      <c r="H74" s="29" t="inlineStr">
        <is>
          <t>해파리</t>
        </is>
      </c>
      <c r="I74" s="29" t="inlineStr">
        <is>
          <t>水母</t>
        </is>
      </c>
      <c r="J74" s="29">
        <f>I74</f>
        <v/>
      </c>
      <c r="K74" s="29">
        <f>F74</f>
        <v/>
      </c>
    </row>
    <row r="75">
      <c r="A75" s="29">
        <f>CONCATENATE("CATEGORY_",UPPER(Pokemon!B74))</f>
        <v/>
      </c>
      <c r="B75" s="29">
        <f>B74</f>
        <v/>
      </c>
      <c r="C75" s="29">
        <f>C74</f>
        <v/>
      </c>
      <c r="D75" s="29">
        <f>D74</f>
        <v/>
      </c>
      <c r="E75" s="29">
        <f>E74</f>
        <v/>
      </c>
      <c r="F75" s="29">
        <f>F74</f>
        <v/>
      </c>
      <c r="G75" s="29">
        <f>G74</f>
        <v/>
      </c>
      <c r="H75" s="29">
        <f>H74</f>
        <v/>
      </c>
      <c r="I75" s="29">
        <f>I74</f>
        <v/>
      </c>
      <c r="J75" s="29">
        <f>J74</f>
        <v/>
      </c>
      <c r="K75" s="29">
        <f>F75</f>
        <v/>
      </c>
    </row>
    <row r="76">
      <c r="A76" s="29">
        <f>CONCATENATE("CATEGORY_",UPPER(Pokemon!B75))</f>
        <v/>
      </c>
      <c r="B76" s="29">
        <f>Types!B7</f>
        <v/>
      </c>
      <c r="C76" s="29" t="inlineStr">
        <is>
          <t>がんせき</t>
        </is>
      </c>
      <c r="D76" s="29">
        <f>Types!D7</f>
        <v/>
      </c>
      <c r="E76" s="29">
        <f>Types!E7</f>
        <v/>
      </c>
      <c r="F76" s="29">
        <f>Types!F7</f>
        <v/>
      </c>
      <c r="G76" s="29">
        <f>Types!G7</f>
        <v/>
      </c>
      <c r="H76" s="29" t="inlineStr">
        <is>
          <t>암석</t>
        </is>
      </c>
      <c r="I76" s="29">
        <f>Types!I7</f>
        <v/>
      </c>
      <c r="J76" s="29">
        <f>Types!J7</f>
        <v/>
      </c>
      <c r="K76" s="29">
        <f>F76</f>
        <v/>
      </c>
    </row>
    <row r="77">
      <c r="A77" s="29">
        <f>CONCATENATE("CATEGORY_",UPPER(Pokemon!B76))</f>
        <v/>
      </c>
      <c r="B77" s="29">
        <f>B76</f>
        <v/>
      </c>
      <c r="C77" s="29">
        <f>C76</f>
        <v/>
      </c>
      <c r="D77" s="29">
        <f>D76</f>
        <v/>
      </c>
      <c r="E77" s="29">
        <f>E76</f>
        <v/>
      </c>
      <c r="F77" s="29">
        <f>F76</f>
        <v/>
      </c>
      <c r="G77" s="29">
        <f>G76</f>
        <v/>
      </c>
      <c r="H77" s="29">
        <f>H76</f>
        <v/>
      </c>
      <c r="I77" s="29">
        <f>I76</f>
        <v/>
      </c>
      <c r="J77" s="29">
        <f>J76</f>
        <v/>
      </c>
      <c r="K77" s="29">
        <f>F77</f>
        <v/>
      </c>
    </row>
    <row r="78">
      <c r="A78" s="29">
        <f>CONCATENATE("CATEGORY_",UPPER(Pokemon!B77))</f>
        <v/>
      </c>
      <c r="B78" s="29" t="inlineStr">
        <is>
          <t>Megaton</t>
        </is>
      </c>
      <c r="C78" s="29" t="inlineStr">
        <is>
          <t>メガトン</t>
        </is>
      </c>
      <c r="D78" s="29" t="inlineStr">
        <is>
          <t>Titanesque</t>
        </is>
      </c>
      <c r="E78" s="29" t="inlineStr">
        <is>
          <t>Urgestein</t>
        </is>
      </c>
      <c r="F78" s="29" t="inlineStr">
        <is>
          <t>Megatón</t>
        </is>
      </c>
      <c r="G78" s="29" t="inlineStr">
        <is>
          <t>Megatone</t>
        </is>
      </c>
      <c r="H78" s="29" t="inlineStr">
        <is>
          <t>메가톤</t>
        </is>
      </c>
      <c r="I78" s="29" t="inlineStr">
        <is>
          <t>重量級</t>
        </is>
      </c>
      <c r="J78" s="29">
        <f>IFERROR(__xludf.DUMMYFUNCTION("GOOGLETRANSLATE(I78, ""zh_HANT"",""zh_HANS"")"),"重量级")</f>
        <v/>
      </c>
      <c r="K78" s="29">
        <f>F78</f>
        <v/>
      </c>
    </row>
    <row r="79">
      <c r="A79" s="29">
        <f>CONCATENATE("CATEGORY_",UPPER(Pokemon!B78))</f>
        <v/>
      </c>
      <c r="B79" s="29" t="inlineStr">
        <is>
          <t>Fire Horse</t>
        </is>
      </c>
      <c r="C79" s="29" t="inlineStr">
        <is>
          <t>ひのうま</t>
        </is>
      </c>
      <c r="D79" s="29" t="inlineStr">
        <is>
          <t>Cheval Feu</t>
        </is>
      </c>
      <c r="E79" s="29" t="inlineStr">
        <is>
          <t>Feuerpferd</t>
        </is>
      </c>
      <c r="F79" s="29" t="inlineStr">
        <is>
          <t>Caballo F.</t>
        </is>
      </c>
      <c r="G79" s="29" t="inlineStr">
        <is>
          <t>Cavalfuoco</t>
        </is>
      </c>
      <c r="H79" s="29" t="inlineStr">
        <is>
          <t>불의말</t>
        </is>
      </c>
      <c r="I79" s="29" t="inlineStr">
        <is>
          <t>火馬</t>
        </is>
      </c>
      <c r="J79" s="29">
        <f>IFERROR(__xludf.DUMMYFUNCTION("GOOGLETRANSLATE(I79, ""zh_HANT"",""zh_HANS"")"),"火马")</f>
        <v/>
      </c>
      <c r="K79" s="29">
        <f>F79</f>
        <v/>
      </c>
    </row>
    <row r="80">
      <c r="A80" s="29">
        <f>CONCATENATE(A79,"-G")</f>
        <v/>
      </c>
      <c r="B80" s="29" t="inlineStr">
        <is>
          <t>Unique Horn</t>
        </is>
      </c>
      <c r="C80" s="29" t="inlineStr">
        <is>
          <t>いっかく</t>
        </is>
      </c>
      <c r="D80" s="29" t="inlineStr">
        <is>
          <t>Monocorne</t>
        </is>
      </c>
      <c r="E80" s="29" t="inlineStr">
        <is>
          <t>Einhorn</t>
        </is>
      </c>
      <c r="F80" s="29" t="inlineStr">
        <is>
          <t>Unicorne</t>
        </is>
      </c>
      <c r="G80" s="29" t="inlineStr">
        <is>
          <t>Singolcorno</t>
        </is>
      </c>
      <c r="H80" s="29" t="inlineStr">
        <is>
          <t>일각</t>
        </is>
      </c>
      <c r="I80" s="29">
        <f>J80</f>
        <v/>
      </c>
      <c r="J80" s="29" t="inlineStr">
        <is>
          <t>一角</t>
        </is>
      </c>
      <c r="K80" s="29">
        <f>F80</f>
        <v/>
      </c>
    </row>
    <row r="81">
      <c r="A81" s="29">
        <f>CONCATENATE("CATEGORY_",UPPER(Pokemon!B79))</f>
        <v/>
      </c>
      <c r="B81" s="29">
        <f>B79</f>
        <v/>
      </c>
      <c r="C81" s="29">
        <f>C79</f>
        <v/>
      </c>
      <c r="D81" s="29">
        <f>D79</f>
        <v/>
      </c>
      <c r="E81" s="29">
        <f>E79</f>
        <v/>
      </c>
      <c r="F81" s="29">
        <f>F79</f>
        <v/>
      </c>
      <c r="G81" s="29">
        <f>G79</f>
        <v/>
      </c>
      <c r="H81" s="29">
        <f>H79</f>
        <v/>
      </c>
      <c r="I81" s="29">
        <f>I79</f>
        <v/>
      </c>
      <c r="J81" s="29">
        <f>J79</f>
        <v/>
      </c>
      <c r="K81" s="29">
        <f>F81</f>
        <v/>
      </c>
    </row>
    <row r="82">
      <c r="A82" s="29">
        <f>CONCATENATE(A81,"-G")</f>
        <v/>
      </c>
      <c r="B82" s="29">
        <f>B80</f>
        <v/>
      </c>
      <c r="C82" s="29">
        <f>C80</f>
        <v/>
      </c>
      <c r="D82" s="29">
        <f>D80</f>
        <v/>
      </c>
      <c r="E82" s="29">
        <f>E80</f>
        <v/>
      </c>
      <c r="F82" s="29">
        <f>F80</f>
        <v/>
      </c>
      <c r="G82" s="29">
        <f>G80</f>
        <v/>
      </c>
      <c r="H82" s="29">
        <f>H80</f>
        <v/>
      </c>
      <c r="I82" s="29">
        <f>I80</f>
        <v/>
      </c>
      <c r="J82" s="29">
        <f>J80</f>
        <v/>
      </c>
      <c r="K82" s="29">
        <f>F82</f>
        <v/>
      </c>
    </row>
    <row r="83">
      <c r="A83" s="29">
        <f>CONCATENATE("CATEGORY_",UPPER(Pokemon!B80))</f>
        <v/>
      </c>
      <c r="B83" s="29" t="inlineStr">
        <is>
          <t>Dopey</t>
        </is>
      </c>
      <c r="C83" s="29" t="inlineStr">
        <is>
          <t>まぬけ</t>
        </is>
      </c>
      <c r="D83" s="29" t="inlineStr">
        <is>
          <t>Crétin</t>
        </is>
      </c>
      <c r="E83" s="29" t="inlineStr">
        <is>
          <t>Schnarcher</t>
        </is>
      </c>
      <c r="F83" s="29" t="inlineStr">
        <is>
          <t>Atontado</t>
        </is>
      </c>
      <c r="G83" s="29" t="inlineStr">
        <is>
          <t>Ronfone</t>
        </is>
      </c>
      <c r="H83" s="29" t="inlineStr">
        <is>
          <t>얼간이</t>
        </is>
      </c>
      <c r="I83" s="29" t="inlineStr">
        <is>
          <t>憨憨</t>
        </is>
      </c>
      <c r="J83" s="29">
        <f>I83</f>
        <v/>
      </c>
      <c r="K83" s="29">
        <f>F83</f>
        <v/>
      </c>
    </row>
    <row r="84">
      <c r="A84" s="29">
        <f>CONCATENATE("CATEGORY_",UPPER(Pokemon!B81))</f>
        <v/>
      </c>
      <c r="B84" s="29" t="inlineStr">
        <is>
          <t>Hermit Crab</t>
        </is>
      </c>
      <c r="C84" s="29" t="inlineStr">
        <is>
          <t>やどかり</t>
        </is>
      </c>
      <c r="D84" s="29" t="inlineStr">
        <is>
          <t>Symbiose</t>
        </is>
      </c>
      <c r="E84" s="29">
        <f>D84</f>
        <v/>
      </c>
      <c r="F84" s="29" t="inlineStr">
        <is>
          <t>Ermitaño</t>
        </is>
      </c>
      <c r="G84" s="29" t="inlineStr">
        <is>
          <t>Paguro</t>
        </is>
      </c>
      <c r="H84" s="29" t="inlineStr">
        <is>
          <t>기생</t>
        </is>
      </c>
      <c r="I84" s="29" t="inlineStr">
        <is>
          <t>寄居蟹</t>
        </is>
      </c>
      <c r="J84" s="29">
        <f>I84</f>
        <v/>
      </c>
      <c r="K84" s="29">
        <f>F84</f>
        <v/>
      </c>
    </row>
    <row r="85">
      <c r="A85" s="29">
        <f>CONCATENATE("CATEGORY_",UPPER(Pokemon!B82))</f>
        <v/>
      </c>
      <c r="B85" s="29">
        <f>Items!B306</f>
        <v/>
      </c>
      <c r="C85" s="29">
        <f>Items!C306</f>
        <v/>
      </c>
      <c r="D85" s="29" t="inlineStr">
        <is>
          <t>Magnétique</t>
        </is>
      </c>
      <c r="E85" s="29">
        <f>Items!E306</f>
        <v/>
      </c>
      <c r="F85" s="29">
        <f>Items!F306</f>
        <v/>
      </c>
      <c r="G85" s="29">
        <f>Items!G306</f>
        <v/>
      </c>
      <c r="H85" s="29" t="inlineStr">
        <is>
          <t>자석</t>
        </is>
      </c>
      <c r="I85" s="29" t="inlineStr">
        <is>
          <t>磁鐵</t>
        </is>
      </c>
      <c r="J85" s="29">
        <f>IFERROR(__xludf.DUMMYFUNCTION("GOOGLETRANSLATE(I85, ""zh_HANT"",""zh_HANS"")"),"磁铁")</f>
        <v/>
      </c>
      <c r="K85" s="29">
        <f>F85</f>
        <v/>
      </c>
    </row>
    <row r="86">
      <c r="A86" s="29">
        <f>CONCATENATE("CATEGORY_",UPPER(Pokemon!B83))</f>
        <v/>
      </c>
      <c r="B86" s="29">
        <f>B85</f>
        <v/>
      </c>
      <c r="C86" s="29">
        <f>C85</f>
        <v/>
      </c>
      <c r="D86" s="29">
        <f>D85</f>
        <v/>
      </c>
      <c r="E86" s="29">
        <f>E85</f>
        <v/>
      </c>
      <c r="F86" s="29">
        <f>F85</f>
        <v/>
      </c>
      <c r="G86" s="29">
        <f>G85</f>
        <v/>
      </c>
      <c r="H86" s="29">
        <f>H85</f>
        <v/>
      </c>
      <c r="I86" s="29">
        <f>I85</f>
        <v/>
      </c>
      <c r="J86" s="29">
        <f>J85</f>
        <v/>
      </c>
      <c r="K86" s="29">
        <f>F86</f>
        <v/>
      </c>
    </row>
    <row r="87">
      <c r="A87" s="29">
        <f>CONCATENATE("CATEGORY_",UPPER(Pokemon!B84))</f>
        <v/>
      </c>
      <c r="B87" s="29" t="inlineStr">
        <is>
          <t>Wild Duck</t>
        </is>
      </c>
      <c r="C87" s="29" t="inlineStr">
        <is>
          <t>かるがも</t>
        </is>
      </c>
      <c r="D87" s="29" t="inlineStr">
        <is>
          <t>Canard Fou</t>
        </is>
      </c>
      <c r="E87" s="29" t="inlineStr">
        <is>
          <t>Wildente</t>
        </is>
      </c>
      <c r="F87" s="29" t="inlineStr">
        <is>
          <t>Pato Salvaje</t>
        </is>
      </c>
      <c r="G87" s="29" t="inlineStr">
        <is>
          <t>Salvanatra</t>
        </is>
      </c>
      <c r="H87" s="29" t="inlineStr">
        <is>
          <t>천둥오리</t>
        </is>
      </c>
      <c r="I87" s="29" t="inlineStr">
        <is>
          <t>黃嘴鴨</t>
        </is>
      </c>
      <c r="J87" s="29">
        <f>IFERROR(__xludf.DUMMYFUNCTION("GOOGLETRANSLATE(I87, ""zh_HANT"",""zh_HANS"")"),"黄嘴鸭")</f>
        <v/>
      </c>
      <c r="K87" s="29">
        <f>F87</f>
        <v/>
      </c>
    </row>
    <row r="88">
      <c r="A88" s="29">
        <f>CONCATENATE("CATEGORY_",UPPER(Pokemon!B85))</f>
        <v/>
      </c>
      <c r="B88" s="29" t="inlineStr">
        <is>
          <t>Twin Bird</t>
        </is>
      </c>
      <c r="C88" s="29" t="inlineStr">
        <is>
          <t>ふたごどり</t>
        </is>
      </c>
      <c r="D88" s="29" t="inlineStr">
        <is>
          <t>Duoiseau</t>
        </is>
      </c>
      <c r="E88" s="29" t="inlineStr">
        <is>
          <t>Duovogel</t>
        </is>
      </c>
      <c r="F88" s="29" t="inlineStr">
        <is>
          <t>Ave Gemela</t>
        </is>
      </c>
      <c r="G88" s="29" t="inlineStr">
        <is>
          <t>Biucello</t>
        </is>
      </c>
      <c r="H88" s="29" t="inlineStr">
        <is>
          <t>쌍둥이새</t>
        </is>
      </c>
      <c r="I88" s="29" t="inlineStr">
        <is>
          <t>兩頭鳥</t>
        </is>
      </c>
      <c r="J88" s="29">
        <f>IFERROR(__xludf.DUMMYFUNCTION("GOOGLETRANSLATE(I88, ""zh_HANT"",""zh_HANS"")"),"两头鸟")</f>
        <v/>
      </c>
      <c r="K88" s="29">
        <f>F88</f>
        <v/>
      </c>
    </row>
    <row r="89">
      <c r="A89" s="29">
        <f>CONCATENATE("CATEGORY_",UPPER(Pokemon!B86))</f>
        <v/>
      </c>
      <c r="B89" s="29" t="inlineStr">
        <is>
          <t>Triple Bird</t>
        </is>
      </c>
      <c r="C89" s="29" t="inlineStr">
        <is>
          <t>みつごどり</t>
        </is>
      </c>
      <c r="D89" s="29" t="inlineStr">
        <is>
          <t>Trioiseau</t>
        </is>
      </c>
      <c r="E89" s="29" t="inlineStr">
        <is>
          <t>Trivogel</t>
        </is>
      </c>
      <c r="F89" s="29" t="inlineStr">
        <is>
          <t>Ave Triple</t>
        </is>
      </c>
      <c r="G89" s="29" t="inlineStr">
        <is>
          <t>Triucello</t>
        </is>
      </c>
      <c r="H89" s="29" t="inlineStr">
        <is>
          <t>세쌍둥이새</t>
        </is>
      </c>
      <c r="I89" s="29" t="inlineStr">
        <is>
          <t>三頭鳥</t>
        </is>
      </c>
      <c r="J89" s="29">
        <f>IFERROR(__xludf.DUMMYFUNCTION("GOOGLETRANSLATE(I89, ""zh_HANT"",""zh_HANS"")"),"三头鸟")</f>
        <v/>
      </c>
      <c r="K89" s="29">
        <f>F89</f>
        <v/>
      </c>
    </row>
    <row r="90">
      <c r="A90" s="29">
        <f>CONCATENATE("CATEGORY_",UPPER(Pokemon!B87))</f>
        <v/>
      </c>
      <c r="B90" s="29" t="inlineStr">
        <is>
          <t>Sea Lion</t>
        </is>
      </c>
      <c r="C90" s="29" t="inlineStr">
        <is>
          <t>あしか</t>
        </is>
      </c>
      <c r="D90" s="29" t="inlineStr">
        <is>
          <t>Otarie</t>
        </is>
      </c>
      <c r="E90" s="29" t="inlineStr">
        <is>
          <t>Seehund</t>
        </is>
      </c>
      <c r="F90" s="29" t="inlineStr">
        <is>
          <t>León Marino</t>
        </is>
      </c>
      <c r="G90" s="29" t="inlineStr">
        <is>
          <t>Otaria</t>
        </is>
      </c>
      <c r="H90" s="29" t="inlineStr">
        <is>
          <t>강치</t>
        </is>
      </c>
      <c r="I90" s="29" t="inlineStr">
        <is>
          <t>海獅</t>
        </is>
      </c>
      <c r="J90" s="29">
        <f>IFERROR(__xludf.DUMMYFUNCTION("GOOGLETRANSLATE(I90, ""zh_HANT"",""zh_HANS"")"),"海狮")</f>
        <v/>
      </c>
      <c r="K90" s="29">
        <f>F90</f>
        <v/>
      </c>
    </row>
    <row r="91">
      <c r="A91" s="29">
        <f>CONCATENATE("CATEGORY_",UPPER(Pokemon!B88))</f>
        <v/>
      </c>
      <c r="B91" s="29">
        <f>B90</f>
        <v/>
      </c>
      <c r="C91" s="29">
        <f>C90</f>
        <v/>
      </c>
      <c r="D91" s="29">
        <f>D90</f>
        <v/>
      </c>
      <c r="E91" s="29">
        <f>E90</f>
        <v/>
      </c>
      <c r="F91" s="29">
        <f>F90</f>
        <v/>
      </c>
      <c r="G91" s="29">
        <f>G90</f>
        <v/>
      </c>
      <c r="H91" s="29">
        <f>H90</f>
        <v/>
      </c>
      <c r="I91" s="29">
        <f>I90</f>
        <v/>
      </c>
      <c r="J91" s="29">
        <f>J90</f>
        <v/>
      </c>
      <c r="K91" s="29">
        <f>F91</f>
        <v/>
      </c>
    </row>
    <row r="92">
      <c r="A92" s="29">
        <f>CONCATENATE("CATEGORY_",UPPER(Pokemon!B89))</f>
        <v/>
      </c>
      <c r="B92" s="29">
        <f>Moves!B125</f>
        <v/>
      </c>
      <c r="C92" s="29" t="inlineStr">
        <is>
          <t>ヘドロ</t>
        </is>
      </c>
      <c r="D92" s="29" t="inlineStr">
        <is>
          <t>Dégueu</t>
        </is>
      </c>
      <c r="E92" s="29" t="inlineStr">
        <is>
          <t>Schlamm</t>
        </is>
      </c>
      <c r="F92" s="29" t="inlineStr">
        <is>
          <t>Lodo</t>
        </is>
      </c>
      <c r="G92" s="29" t="inlineStr">
        <is>
          <t>Melma</t>
        </is>
      </c>
      <c r="H92" s="29" t="inlineStr">
        <is>
          <t>진흙</t>
        </is>
      </c>
      <c r="I92" s="29" t="inlineStr">
        <is>
          <t>污泥</t>
        </is>
      </c>
      <c r="J92" s="29">
        <f>I92</f>
        <v/>
      </c>
      <c r="K92" s="29">
        <f>F92</f>
        <v/>
      </c>
    </row>
    <row r="93">
      <c r="A93" s="29">
        <f>CONCATENATE("CATEGORY_",UPPER(Pokemon!B90))</f>
        <v/>
      </c>
      <c r="B93" s="29">
        <f>B92</f>
        <v/>
      </c>
      <c r="C93" s="29">
        <f>C92</f>
        <v/>
      </c>
      <c r="D93" s="29">
        <f>D92</f>
        <v/>
      </c>
      <c r="E93" s="29">
        <f>E92</f>
        <v/>
      </c>
      <c r="F93" s="29">
        <f>F92</f>
        <v/>
      </c>
      <c r="G93" s="29">
        <f>G92</f>
        <v/>
      </c>
      <c r="H93" s="29">
        <f>H92</f>
        <v/>
      </c>
      <c r="I93" s="29">
        <f>I92</f>
        <v/>
      </c>
      <c r="J93" s="29">
        <f>J92</f>
        <v/>
      </c>
      <c r="K93" s="29">
        <f>F93</f>
        <v/>
      </c>
    </row>
    <row r="94">
      <c r="A94" s="29">
        <f>CONCATENATE("CATEGORY_",UPPER(Pokemon!B91))</f>
        <v/>
      </c>
      <c r="B94" s="29" t="inlineStr">
        <is>
          <t>Bivalve</t>
        </is>
      </c>
      <c r="C94" s="29" t="inlineStr">
        <is>
          <t>２まいがい</t>
        </is>
      </c>
      <c r="D94" s="29" t="inlineStr">
        <is>
          <t>Bivalve</t>
        </is>
      </c>
      <c r="E94" s="29" t="inlineStr">
        <is>
          <t>Muschel</t>
        </is>
      </c>
      <c r="F94" s="29" t="inlineStr">
        <is>
          <t>Bivalvo</t>
        </is>
      </c>
      <c r="G94" s="29">
        <f>B94</f>
        <v/>
      </c>
      <c r="H94" s="29" t="inlineStr">
        <is>
          <t>두조개</t>
        </is>
      </c>
      <c r="I94" s="29" t="inlineStr">
        <is>
          <t>雙殼貝</t>
        </is>
      </c>
      <c r="J94" s="29">
        <f>IFERROR(__xludf.DUMMYFUNCTION("GOOGLETRANSLATE(I94, ""zh_HANT"",""zh_HANS"")"),"双壳贝")</f>
        <v/>
      </c>
      <c r="K94" s="29">
        <f>F94</f>
        <v/>
      </c>
    </row>
    <row r="95">
      <c r="A95" s="29">
        <f>CONCATENATE("CATEGORY_",UPPER(Pokemon!B92))</f>
        <v/>
      </c>
      <c r="B95" s="29">
        <f>B94</f>
        <v/>
      </c>
      <c r="C95" s="29">
        <f>C94</f>
        <v/>
      </c>
      <c r="D95" s="29">
        <f>D94</f>
        <v/>
      </c>
      <c r="E95" s="29">
        <f>E94</f>
        <v/>
      </c>
      <c r="F95" s="29">
        <f>F94</f>
        <v/>
      </c>
      <c r="G95" s="29">
        <f>G94</f>
        <v/>
      </c>
      <c r="H95" s="29">
        <f>H94</f>
        <v/>
      </c>
      <c r="I95" s="29">
        <f>I94</f>
        <v/>
      </c>
      <c r="J95" s="29">
        <f>J94</f>
        <v/>
      </c>
      <c r="K95" s="29">
        <f>F95</f>
        <v/>
      </c>
    </row>
    <row r="96">
      <c r="A96" s="29">
        <f>CONCATENATE("CATEGORY_",UPPER(Pokemon!B93))</f>
        <v/>
      </c>
      <c r="B96" s="29" t="inlineStr">
        <is>
          <t>Gas</t>
        </is>
      </c>
      <c r="C96" s="29" t="inlineStr">
        <is>
          <t>ガスじょう</t>
        </is>
      </c>
      <c r="D96" s="29" t="inlineStr">
        <is>
          <t>Gaz</t>
        </is>
      </c>
      <c r="E96" s="29">
        <f>B96</f>
        <v/>
      </c>
      <c r="F96" s="29">
        <f>B96</f>
        <v/>
      </c>
      <c r="G96" s="29">
        <f>B96</f>
        <v/>
      </c>
      <c r="H96" s="29" t="inlineStr">
        <is>
          <t>가스</t>
        </is>
      </c>
      <c r="I96" s="29" t="inlineStr">
        <is>
          <t>氣體狀</t>
        </is>
      </c>
      <c r="J96" s="29">
        <f>IFERROR(__xludf.DUMMYFUNCTION("GOOGLETRANSLATE(I96, ""zh_HANT"",""zh_HANS"")"),"气体状")</f>
        <v/>
      </c>
      <c r="K96" s="29">
        <f>F96</f>
        <v/>
      </c>
    </row>
    <row r="97">
      <c r="A97" s="29">
        <f>CONCATENATE("CATEGORY_",UPPER(Pokemon!B94))</f>
        <v/>
      </c>
      <c r="B97" s="29">
        <f>B96</f>
        <v/>
      </c>
      <c r="C97" s="29">
        <f>C96</f>
        <v/>
      </c>
      <c r="D97" s="29">
        <f>D96</f>
        <v/>
      </c>
      <c r="E97" s="29">
        <f>E96</f>
        <v/>
      </c>
      <c r="F97" s="29">
        <f>F96</f>
        <v/>
      </c>
      <c r="G97" s="29">
        <f>G96</f>
        <v/>
      </c>
      <c r="H97" s="29">
        <f>H96</f>
        <v/>
      </c>
      <c r="I97" s="29">
        <f>I96</f>
        <v/>
      </c>
      <c r="J97" s="29">
        <f>J96</f>
        <v/>
      </c>
      <c r="K97" s="29">
        <f>F97</f>
        <v/>
      </c>
    </row>
    <row r="98">
      <c r="A98" s="29">
        <f>CONCATENATE("CATEGORY_",UPPER(Pokemon!B95))</f>
        <v/>
      </c>
      <c r="B98" s="29" t="inlineStr">
        <is>
          <t>Shadow</t>
        </is>
      </c>
      <c r="C98" s="29" t="inlineStr">
        <is>
          <t>シャドー</t>
        </is>
      </c>
      <c r="D98" s="29" t="inlineStr">
        <is>
          <t>Ombre</t>
        </is>
      </c>
      <c r="E98" s="29" t="inlineStr">
        <is>
          <t>Schatten</t>
        </is>
      </c>
      <c r="F98" s="29" t="inlineStr">
        <is>
          <t>Sombra</t>
        </is>
      </c>
      <c r="G98" s="29" t="inlineStr">
        <is>
          <t>Ombra</t>
        </is>
      </c>
      <c r="H98" s="29" t="inlineStr">
        <is>
          <t>그림자</t>
        </is>
      </c>
      <c r="I98" s="29" t="inlineStr">
        <is>
          <t>影子</t>
        </is>
      </c>
      <c r="J98" s="29">
        <f>I98</f>
        <v/>
      </c>
      <c r="K98" s="29">
        <f>F98</f>
        <v/>
      </c>
    </row>
    <row r="99">
      <c r="A99" s="29">
        <f>CONCATENATE("CATEGORY_",UPPER(Pokemon!B96))</f>
        <v/>
      </c>
      <c r="B99" s="29" t="inlineStr">
        <is>
          <t>Rock Snake</t>
        </is>
      </c>
      <c r="C99" s="29" t="inlineStr">
        <is>
          <t>いわへび</t>
        </is>
      </c>
      <c r="D99" s="29" t="inlineStr">
        <is>
          <t>Serpenroc</t>
        </is>
      </c>
      <c r="E99" s="29" t="inlineStr">
        <is>
          <t>Felsnatter</t>
        </is>
      </c>
      <c r="F99" s="29" t="inlineStr">
        <is>
          <t>Serp. Roca</t>
        </is>
      </c>
      <c r="G99" s="29" t="inlineStr">
        <is>
          <t>Serpesasso</t>
        </is>
      </c>
      <c r="H99" s="29" t="inlineStr">
        <is>
          <t>돌뱀</t>
        </is>
      </c>
      <c r="I99" s="29" t="inlineStr">
        <is>
          <t>岩蛇</t>
        </is>
      </c>
      <c r="J99" s="29">
        <f>I99</f>
        <v/>
      </c>
      <c r="K99" s="29">
        <f>F99</f>
        <v/>
      </c>
    </row>
    <row r="100">
      <c r="A100" s="29">
        <f>CONCATENATE("CATEGORY_",UPPER(Pokemon!B97))</f>
        <v/>
      </c>
      <c r="B100" s="29">
        <f>Moves!B96</f>
        <v/>
      </c>
      <c r="C100" s="29" t="inlineStr">
        <is>
          <t>さいみん</t>
        </is>
      </c>
      <c r="D100" s="29">
        <f>Moves!D96</f>
        <v/>
      </c>
      <c r="E100" s="29">
        <f>Moves!E96</f>
        <v/>
      </c>
      <c r="F100" s="29">
        <f>Moves!F96</f>
        <v/>
      </c>
      <c r="G100" s="29">
        <f>Moves!G96</f>
        <v/>
      </c>
      <c r="H100" s="29" t="inlineStr">
        <is>
          <t>최면</t>
        </is>
      </c>
      <c r="I100" s="29" t="inlineStr">
        <is>
          <t>催眠</t>
        </is>
      </c>
      <c r="J100" s="29">
        <f>I100</f>
        <v/>
      </c>
      <c r="K100" s="29">
        <f>F100</f>
        <v/>
      </c>
    </row>
    <row r="101">
      <c r="A101" s="29">
        <f>CONCATENATE("CATEGORY_",UPPER(Pokemon!B98))</f>
        <v/>
      </c>
      <c r="B101" s="29">
        <f>B100</f>
        <v/>
      </c>
      <c r="C101" s="29">
        <f>C100</f>
        <v/>
      </c>
      <c r="D101" s="29">
        <f>D100</f>
        <v/>
      </c>
      <c r="E101" s="29">
        <f>E100</f>
        <v/>
      </c>
      <c r="F101" s="29">
        <f>F100</f>
        <v/>
      </c>
      <c r="G101" s="29">
        <f>G100</f>
        <v/>
      </c>
      <c r="H101" s="29">
        <f>H100</f>
        <v/>
      </c>
      <c r="I101" s="29">
        <f>I100</f>
        <v/>
      </c>
      <c r="J101" s="29">
        <f>J100</f>
        <v/>
      </c>
      <c r="K101" s="29">
        <f>F101</f>
        <v/>
      </c>
    </row>
    <row r="102">
      <c r="A102" s="29">
        <f>CONCATENATE("CATEGORY_",UPPER(Pokemon!B99))</f>
        <v/>
      </c>
      <c r="B102" s="29" t="inlineStr">
        <is>
          <t>River Crab</t>
        </is>
      </c>
      <c r="C102" s="29" t="inlineStr">
        <is>
          <t>さわがけ</t>
        </is>
      </c>
      <c r="D102" s="29" t="inlineStr">
        <is>
          <t>Doux Crabe</t>
        </is>
      </c>
      <c r="E102" s="29" t="inlineStr">
        <is>
          <t>Krabbe</t>
        </is>
      </c>
      <c r="F102" s="29" t="inlineStr">
        <is>
          <t>Cangrejo</t>
        </is>
      </c>
      <c r="G102" s="29" t="inlineStr">
        <is>
          <t>Granchio</t>
        </is>
      </c>
      <c r="H102" s="29" t="inlineStr">
        <is>
          <t>게</t>
        </is>
      </c>
      <c r="I102" s="29" t="inlineStr">
        <is>
          <t>清水蟹</t>
        </is>
      </c>
      <c r="J102" s="29">
        <f>I102</f>
        <v/>
      </c>
      <c r="K102" s="29">
        <f>F102</f>
        <v/>
      </c>
    </row>
    <row r="103">
      <c r="A103" s="29">
        <f>CONCATENATE("CATEGORY_",UPPER(Pokemon!B100))</f>
        <v/>
      </c>
      <c r="B103" s="29" t="inlineStr">
        <is>
          <t>Pincer</t>
        </is>
      </c>
      <c r="C103" s="29" t="inlineStr">
        <is>
          <t>はさみ</t>
        </is>
      </c>
      <c r="D103" s="29" t="inlineStr">
        <is>
          <t>Pince</t>
        </is>
      </c>
      <c r="E103" s="29" t="inlineStr">
        <is>
          <t>Kneifer</t>
        </is>
      </c>
      <c r="F103" s="29" t="inlineStr">
        <is>
          <t>Tenaza</t>
        </is>
      </c>
      <c r="G103" s="29" t="inlineStr">
        <is>
          <t>Chela</t>
        </is>
      </c>
      <c r="H103" s="29" t="inlineStr">
        <is>
          <t>집게</t>
        </is>
      </c>
      <c r="I103" s="29" t="inlineStr">
        <is>
          <t>鉗子</t>
        </is>
      </c>
      <c r="J103" s="29">
        <f>IFERROR(__xludf.DUMMYFUNCTION("GOOGLETRANSLATE(I103, ""zh_HANT"",""zh_HANS"")"),"钳子")</f>
        <v/>
      </c>
      <c r="K103" s="29">
        <f>F103</f>
        <v/>
      </c>
    </row>
    <row r="104">
      <c r="A104" s="29">
        <f>CONCATENATE("CATEGORY_",UPPER(Pokemon!B101))</f>
        <v/>
      </c>
      <c r="B104" s="29" t="inlineStr">
        <is>
          <t>Ball</t>
        </is>
      </c>
      <c r="C104" s="29" t="inlineStr">
        <is>
          <t>ボール</t>
        </is>
      </c>
      <c r="D104" s="29" t="inlineStr">
        <is>
          <t>Balle</t>
        </is>
      </c>
      <c r="E104" s="29">
        <f>B104</f>
        <v/>
      </c>
      <c r="F104" s="29" t="inlineStr">
        <is>
          <t>Bola</t>
        </is>
      </c>
      <c r="G104" s="29">
        <f>B104</f>
        <v/>
      </c>
      <c r="H104" s="29" t="inlineStr">
        <is>
          <t>볼</t>
        </is>
      </c>
      <c r="I104" s="29" t="inlineStr">
        <is>
          <t>球</t>
        </is>
      </c>
      <c r="J104" s="29">
        <f>I104</f>
        <v/>
      </c>
      <c r="K104" s="29">
        <f>F104</f>
        <v/>
      </c>
    </row>
    <row r="105">
      <c r="A105" s="29" t="inlineStr">
        <is>
          <t>CATEGORY_VOLTORB-H</t>
        </is>
      </c>
      <c r="B105" s="29" t="inlineStr">
        <is>
          <t>Sphere</t>
        </is>
      </c>
      <c r="C105" s="29" t="inlineStr">
        <is>
          <t>きゅうたい</t>
        </is>
      </c>
      <c r="D105" s="29" t="inlineStr">
        <is>
          <t>Sphère</t>
        </is>
      </c>
      <c r="E105" s="29" t="inlineStr">
        <is>
          <t>Kugel</t>
        </is>
      </c>
      <c r="F105" s="29" t="inlineStr">
        <is>
          <t>Esfera</t>
        </is>
      </c>
      <c r="G105" s="29" t="inlineStr">
        <is>
          <t>Sfera</t>
        </is>
      </c>
      <c r="H105" s="29" t="inlineStr">
        <is>
          <t>구체</t>
        </is>
      </c>
      <c r="I105" s="29">
        <f>J105</f>
        <v/>
      </c>
      <c r="J105" s="29" t="inlineStr">
        <is>
          <t>丸</t>
        </is>
      </c>
      <c r="K105" s="29">
        <f>F105</f>
        <v/>
      </c>
    </row>
    <row r="106">
      <c r="A106" s="29">
        <f>CONCATENATE("CATEGORY_",UPPER(Pokemon!B102))</f>
        <v/>
      </c>
      <c r="B106" s="29">
        <f>B104</f>
        <v/>
      </c>
      <c r="C106" s="29">
        <f>C104</f>
        <v/>
      </c>
      <c r="D106" s="29">
        <f>D104</f>
        <v/>
      </c>
      <c r="E106" s="29">
        <f>E104</f>
        <v/>
      </c>
      <c r="F106" s="29">
        <f>F104</f>
        <v/>
      </c>
      <c r="G106" s="29">
        <f>G104</f>
        <v/>
      </c>
      <c r="H106" s="29">
        <f>H104</f>
        <v/>
      </c>
      <c r="I106" s="29">
        <f>I104</f>
        <v/>
      </c>
      <c r="J106" s="29">
        <f>J104</f>
        <v/>
      </c>
      <c r="K106" s="29">
        <f>F106</f>
        <v/>
      </c>
    </row>
    <row r="107">
      <c r="A107" s="29" t="inlineStr">
        <is>
          <t>CATEGORY_ELECTRODE-H</t>
        </is>
      </c>
      <c r="B107" s="29">
        <f>B105</f>
        <v/>
      </c>
      <c r="C107" s="29">
        <f>C105</f>
        <v/>
      </c>
      <c r="D107" s="29">
        <f>D105</f>
        <v/>
      </c>
      <c r="E107" s="29">
        <f>E105</f>
        <v/>
      </c>
      <c r="F107" s="29">
        <f>F105</f>
        <v/>
      </c>
      <c r="G107" s="29">
        <f>G105</f>
        <v/>
      </c>
      <c r="H107" s="29">
        <f>H105</f>
        <v/>
      </c>
      <c r="I107" s="29">
        <f>I105</f>
        <v/>
      </c>
      <c r="J107" s="29">
        <f>J105</f>
        <v/>
      </c>
      <c r="K107" s="29">
        <f>F107</f>
        <v/>
      </c>
    </row>
    <row r="108">
      <c r="A108" s="29">
        <f>CONCATENATE("CATEGORY_",UPPER(Pokemon!B103))</f>
        <v/>
      </c>
      <c r="B108" s="29" t="inlineStr">
        <is>
          <t>Egg</t>
        </is>
      </c>
      <c r="C108" s="29" t="inlineStr">
        <is>
          <t>たまご</t>
        </is>
      </c>
      <c r="D108" s="13" t="inlineStr">
        <is>
          <t>Œuf</t>
        </is>
      </c>
      <c r="E108" s="29" t="inlineStr">
        <is>
          <t>Ei</t>
        </is>
      </c>
      <c r="F108" s="29" t="inlineStr">
        <is>
          <t>Huevo</t>
        </is>
      </c>
      <c r="G108" s="29" t="inlineStr">
        <is>
          <t>Uovo</t>
        </is>
      </c>
      <c r="H108" s="29" t="inlineStr">
        <is>
          <t>알</t>
        </is>
      </c>
      <c r="I108" s="29" t="inlineStr">
        <is>
          <t>蛋</t>
        </is>
      </c>
      <c r="J108" s="29">
        <f>I108</f>
        <v/>
      </c>
      <c r="K108" s="29">
        <f>F108</f>
        <v/>
      </c>
    </row>
    <row r="109">
      <c r="A109" s="29">
        <f>CONCATENATE("CATEGORY_",UPPER(Pokemon!B104))</f>
        <v/>
      </c>
      <c r="B109" s="29" t="inlineStr">
        <is>
          <t>Coconut</t>
        </is>
      </c>
      <c r="C109" s="29" t="inlineStr">
        <is>
          <t>やしのみ</t>
        </is>
      </c>
      <c r="D109" s="29" t="inlineStr">
        <is>
          <t>Fruitpalme</t>
        </is>
      </c>
      <c r="E109" s="29" t="inlineStr">
        <is>
          <t>Palmfrucht</t>
        </is>
      </c>
      <c r="F109" s="29" t="inlineStr">
        <is>
          <t>Coco</t>
        </is>
      </c>
      <c r="G109" s="29" t="inlineStr">
        <is>
          <t>Nocecocco</t>
        </is>
      </c>
      <c r="H109" s="29" t="inlineStr">
        <is>
          <t>야자열매</t>
        </is>
      </c>
      <c r="I109" s="29" t="inlineStr">
        <is>
          <t>椰子</t>
        </is>
      </c>
      <c r="J109" s="29">
        <f>I109</f>
        <v/>
      </c>
      <c r="K109" s="29">
        <f>F109</f>
        <v/>
      </c>
    </row>
    <row r="110">
      <c r="A110" s="29">
        <f>CONCATENATE("CATEGORY_",UPPER(Pokemon!B105))</f>
        <v/>
      </c>
      <c r="B110" s="29">
        <f>Natures!B15</f>
        <v/>
      </c>
      <c r="C110" s="29" t="inlineStr">
        <is>
          <t>こどく</t>
        </is>
      </c>
      <c r="D110" s="29" t="inlineStr">
        <is>
          <t>Solitaire</t>
        </is>
      </c>
      <c r="E110" s="29" t="inlineStr">
        <is>
          <t>Einsam</t>
        </is>
      </c>
      <c r="F110" s="29" t="inlineStr">
        <is>
          <t>Solitario</t>
        </is>
      </c>
      <c r="G110" s="29">
        <f>F110</f>
        <v/>
      </c>
      <c r="H110" s="29" t="inlineStr">
        <is>
          <t>고독</t>
        </is>
      </c>
      <c r="I110" s="29" t="inlineStr">
        <is>
          <t>孤獨</t>
        </is>
      </c>
      <c r="J110" s="29">
        <f>IFERROR(__xludf.DUMMYFUNCTION("GOOGLETRANSLATE(I110, ""zh_HANT"",""zh_HANS"")"),"孤独")</f>
        <v/>
      </c>
      <c r="K110" s="29">
        <f>F110</f>
        <v/>
      </c>
    </row>
    <row r="111">
      <c r="A111" s="29">
        <f>CONCATENATE("CATEGORY_",UPPER(Pokemon!B106))</f>
        <v/>
      </c>
      <c r="B111" s="29" t="inlineStr">
        <is>
          <t>Bone Keeper</t>
        </is>
      </c>
      <c r="C111" s="29" t="inlineStr">
        <is>
          <t>ほねずき</t>
        </is>
      </c>
      <c r="D111" s="29" t="inlineStr">
        <is>
          <t>Gard'Os</t>
        </is>
      </c>
      <c r="E111" s="29" t="inlineStr">
        <is>
          <t>Knochenfan</t>
        </is>
      </c>
      <c r="F111" s="29" t="inlineStr">
        <is>
          <t>Apilahueso</t>
        </is>
      </c>
      <c r="G111" s="29" t="inlineStr">
        <is>
          <t>Guardaossi</t>
        </is>
      </c>
      <c r="H111" s="29" t="inlineStr">
        <is>
          <t>뼈다귀</t>
        </is>
      </c>
      <c r="I111" s="29" t="inlineStr">
        <is>
          <t>愛骨</t>
        </is>
      </c>
      <c r="J111" s="29">
        <f>IFERROR(__xludf.DUMMYFUNCTION("GOOGLETRANSLATE(I111, ""zh_HANT"",""zh_HANS"")"),"爱骨")</f>
        <v/>
      </c>
      <c r="K111" s="29">
        <f>F111</f>
        <v/>
      </c>
    </row>
    <row r="112">
      <c r="A112" s="29">
        <f>CONCATENATE("CATEGORY_",UPPER(Pokemon!B107))</f>
        <v/>
      </c>
      <c r="B112" s="29" t="inlineStr">
        <is>
          <t>Kicking</t>
        </is>
      </c>
      <c r="C112" s="29" t="inlineStr">
        <is>
          <t>キック</t>
        </is>
      </c>
      <c r="D112" s="29" t="inlineStr">
        <is>
          <t>Latteur</t>
        </is>
      </c>
      <c r="E112" s="29" t="inlineStr">
        <is>
          <t>Kicker</t>
        </is>
      </c>
      <c r="F112" s="29" t="inlineStr">
        <is>
          <t>Patada</t>
        </is>
      </c>
      <c r="G112" s="29" t="inlineStr">
        <is>
          <t>Tiracalci</t>
        </is>
      </c>
      <c r="H112" s="29" t="inlineStr">
        <is>
          <t>킥</t>
        </is>
      </c>
      <c r="I112" s="29" t="inlineStr">
        <is>
          <t>踢腿</t>
        </is>
      </c>
      <c r="J112" s="29">
        <f>I112</f>
        <v/>
      </c>
      <c r="K112" s="29">
        <f>F112</f>
        <v/>
      </c>
    </row>
    <row r="113">
      <c r="A113" s="29">
        <f>CONCATENATE("CATEGORY_",UPPER(Pokemon!B108))</f>
        <v/>
      </c>
      <c r="B113" s="29" t="inlineStr">
        <is>
          <t>Punching</t>
        </is>
      </c>
      <c r="C113" s="29" t="inlineStr">
        <is>
          <t>パンチ</t>
        </is>
      </c>
      <c r="D113" s="29" t="inlineStr">
        <is>
          <t>Puncheur</t>
        </is>
      </c>
      <c r="E113" s="29" t="inlineStr">
        <is>
          <t>Puncher</t>
        </is>
      </c>
      <c r="F113" s="29" t="inlineStr">
        <is>
          <t>Puñetazo</t>
        </is>
      </c>
      <c r="G113" s="29" t="inlineStr">
        <is>
          <t>Tirapugni</t>
        </is>
      </c>
      <c r="H113" s="29" t="inlineStr">
        <is>
          <t>펀치</t>
        </is>
      </c>
      <c r="I113" s="29" t="inlineStr">
        <is>
          <t>拳擊</t>
        </is>
      </c>
      <c r="J113" s="29">
        <f>IFERROR(__xludf.DUMMYFUNCTION("GOOGLETRANSLATE(I113, ""zh_HANT"",""zh_HANS"")"),"拳击")</f>
        <v/>
      </c>
      <c r="K113" s="29">
        <f>F113</f>
        <v/>
      </c>
    </row>
    <row r="114">
      <c r="A114" s="29">
        <f>CONCATENATE("CATEGORY_",UPPER(Pokemon!B109))</f>
        <v/>
      </c>
      <c r="B114" s="29" t="inlineStr">
        <is>
          <t>Licking</t>
        </is>
      </c>
      <c r="C114" s="29" t="inlineStr">
        <is>
          <t>なめまわし</t>
        </is>
      </c>
      <c r="D114" s="29" t="inlineStr">
        <is>
          <t>Lécheur</t>
        </is>
      </c>
      <c r="E114" s="29" t="inlineStr">
        <is>
          <t>Schlecker</t>
        </is>
      </c>
      <c r="F114" s="29" t="inlineStr">
        <is>
          <t>Lametazo</t>
        </is>
      </c>
      <c r="G114" s="29" t="inlineStr">
        <is>
          <t>Linguaccia</t>
        </is>
      </c>
      <c r="H114" s="29" t="inlineStr">
        <is>
          <t>핥기</t>
        </is>
      </c>
      <c r="I114" s="29" t="inlineStr">
        <is>
          <t>舔舔</t>
        </is>
      </c>
      <c r="J114" s="29">
        <f>I114</f>
        <v/>
      </c>
      <c r="K114" s="29">
        <f>F114</f>
        <v/>
      </c>
    </row>
    <row r="115">
      <c r="A115" s="29">
        <f>CONCATENATE("CATEGORY_",UPPER(Pokemon!B110))</f>
        <v/>
      </c>
      <c r="B115" s="29">
        <f>Moves!B140</f>
        <v/>
      </c>
      <c r="C115" s="29">
        <f>Moves!C140</f>
        <v/>
      </c>
      <c r="D115" s="29" t="inlineStr">
        <is>
          <t>Gaz Mortel</t>
        </is>
      </c>
      <c r="E115" s="29">
        <f>Moves!E140</f>
        <v/>
      </c>
      <c r="F115" s="29">
        <f>Moves!F140</f>
        <v/>
      </c>
      <c r="G115" s="29" t="inlineStr">
        <is>
          <t>Velenuvola</t>
        </is>
      </c>
      <c r="H115" s="29" t="inlineStr">
        <is>
          <t>독가스</t>
        </is>
      </c>
      <c r="I115" s="29" t="inlineStr">
        <is>
          <t>毒氣</t>
        </is>
      </c>
      <c r="J115" s="29">
        <f>IFERROR(__xludf.DUMMYFUNCTION("GOOGLETRANSLATE(I115, ""zh_HANT"",""zh_HANS"")"),"毒气")</f>
        <v/>
      </c>
      <c r="K115" s="29">
        <f>F115</f>
        <v/>
      </c>
    </row>
    <row r="116">
      <c r="A116" s="29">
        <f>CONCATENATE("CATEGORY_",UPPER(Pokemon!B111))</f>
        <v/>
      </c>
      <c r="B116" s="29">
        <f>B115</f>
        <v/>
      </c>
      <c r="C116" s="29">
        <f>C115</f>
        <v/>
      </c>
      <c r="D116" s="29">
        <f>D115</f>
        <v/>
      </c>
      <c r="E116" s="29">
        <f>E115</f>
        <v/>
      </c>
      <c r="F116" s="29">
        <f>F115</f>
        <v/>
      </c>
      <c r="G116" s="29">
        <f>G115</f>
        <v/>
      </c>
      <c r="H116" s="29">
        <f>H115</f>
        <v/>
      </c>
      <c r="I116" s="29">
        <f>I115</f>
        <v/>
      </c>
      <c r="J116" s="29">
        <f>J115</f>
        <v/>
      </c>
      <c r="K116" s="29">
        <f>F116</f>
        <v/>
      </c>
    </row>
    <row r="117">
      <c r="A117" s="29">
        <f>CONCATENATE("CATEGORY_",UPPER(Pokemon!B112))</f>
        <v/>
      </c>
      <c r="B117" s="29">
        <f>Moves!B192</f>
        <v/>
      </c>
      <c r="C117" s="29" t="inlineStr">
        <is>
          <t>とげとげ</t>
        </is>
      </c>
      <c r="D117" s="29" t="inlineStr">
        <is>
          <t>Piquant</t>
        </is>
      </c>
      <c r="E117" s="29">
        <f>Moves!E192</f>
        <v/>
      </c>
      <c r="F117" s="29" t="inlineStr">
        <is>
          <t>Clavos</t>
        </is>
      </c>
      <c r="G117" s="29" t="inlineStr">
        <is>
          <t>Punzoni</t>
        </is>
      </c>
      <c r="H117" s="29" t="inlineStr">
        <is>
          <t>뿔</t>
        </is>
      </c>
      <c r="I117" s="29" t="inlineStr">
        <is>
          <t>尖尖</t>
        </is>
      </c>
      <c r="J117" s="29">
        <f>I117</f>
        <v/>
      </c>
      <c r="K117" s="29">
        <f>F117</f>
        <v/>
      </c>
    </row>
    <row r="118">
      <c r="A118" s="29">
        <f>CONCATENATE("CATEGORY_",UPPER(Pokemon!B113))</f>
        <v/>
      </c>
      <c r="B118" s="29">
        <f>B32</f>
        <v/>
      </c>
      <c r="C118" s="29">
        <f>C32</f>
        <v/>
      </c>
      <c r="D118" s="29">
        <f>D32</f>
        <v/>
      </c>
      <c r="E118" s="29">
        <f>E32</f>
        <v/>
      </c>
      <c r="F118" s="29">
        <f>F32</f>
        <v/>
      </c>
      <c r="G118" s="29">
        <f>G32</f>
        <v/>
      </c>
      <c r="H118" s="29">
        <f>H32</f>
        <v/>
      </c>
      <c r="I118" s="29">
        <f>I32</f>
        <v/>
      </c>
      <c r="J118" s="29">
        <f>J32</f>
        <v/>
      </c>
      <c r="K118" s="29">
        <f>F118</f>
        <v/>
      </c>
    </row>
    <row r="119">
      <c r="A119" s="29">
        <f>CONCATENATE("CATEGORY_",UPPER(Pokemon!B114))</f>
        <v/>
      </c>
      <c r="B119" s="29">
        <f>B108</f>
        <v/>
      </c>
      <c r="C119" s="29">
        <f>C108</f>
        <v/>
      </c>
      <c r="D119" s="29">
        <f>D108</f>
        <v/>
      </c>
      <c r="E119" s="29">
        <f>E108</f>
        <v/>
      </c>
      <c r="F119" s="29">
        <f>F108</f>
        <v/>
      </c>
      <c r="G119" s="29">
        <f>G108</f>
        <v/>
      </c>
      <c r="H119" s="29">
        <f>H108</f>
        <v/>
      </c>
      <c r="I119" s="29">
        <f>I108</f>
        <v/>
      </c>
      <c r="J119" s="29">
        <f>J108</f>
        <v/>
      </c>
      <c r="K119" s="29">
        <f>F119</f>
        <v/>
      </c>
    </row>
    <row r="120">
      <c r="A120" s="29">
        <f>CONCATENATE("CATEGORY_",UPPER(Pokemon!B115))</f>
        <v/>
      </c>
      <c r="B120" s="29" t="inlineStr">
        <is>
          <t>Vine</t>
        </is>
      </c>
      <c r="C120" s="29" t="inlineStr">
        <is>
          <t>ツルじょう</t>
        </is>
      </c>
      <c r="D120" s="29" t="inlineStr">
        <is>
          <t>Vigne</t>
        </is>
      </c>
      <c r="E120" s="29" t="inlineStr">
        <is>
          <t>Ranke</t>
        </is>
      </c>
      <c r="F120" s="29" t="inlineStr">
        <is>
          <t>Enredadera</t>
        </is>
      </c>
      <c r="G120" s="29" t="inlineStr">
        <is>
          <t>Liana</t>
        </is>
      </c>
      <c r="H120" s="29" t="inlineStr">
        <is>
          <t>넝쿨</t>
        </is>
      </c>
      <c r="I120" s="29" t="inlineStr">
        <is>
          <t>藤蔓狀</t>
        </is>
      </c>
      <c r="J120" s="29">
        <f>IFERROR(__xludf.DUMMYFUNCTION("GOOGLETRANSLATE(I120, ""zh_HANT"",""zh_HANS"")"),"藤蔓状")</f>
        <v/>
      </c>
      <c r="K120" s="29">
        <f>F120</f>
        <v/>
      </c>
    </row>
    <row r="121">
      <c r="A121" s="29">
        <f>CONCATENATE("CATEGORY_",UPPER(Pokemon!B116))</f>
        <v/>
      </c>
      <c r="B121" s="29" t="inlineStr">
        <is>
          <t>Parent</t>
        </is>
      </c>
      <c r="C121" s="29" t="inlineStr">
        <is>
          <t>おやこ</t>
        </is>
      </c>
      <c r="D121" s="29" t="inlineStr">
        <is>
          <t>Maternel</t>
        </is>
      </c>
      <c r="E121" s="29" t="inlineStr">
        <is>
          <t>Muttertier</t>
        </is>
      </c>
      <c r="F121" s="29" t="inlineStr">
        <is>
          <t>Padres</t>
        </is>
      </c>
      <c r="G121" s="29" t="inlineStr">
        <is>
          <t>Genitore</t>
        </is>
      </c>
      <c r="H121" s="29" t="inlineStr">
        <is>
          <t>가족</t>
        </is>
      </c>
      <c r="I121" s="29" t="inlineStr">
        <is>
          <t>親子</t>
        </is>
      </c>
      <c r="J121" s="29">
        <f>IFERROR(__xludf.DUMMYFUNCTION("GOOGLETRANSLATE(I121, ""zh_HANT"",""zh_HANS"")"),"亲子")</f>
        <v/>
      </c>
      <c r="K121" s="29">
        <f>F121</f>
        <v/>
      </c>
    </row>
    <row r="122">
      <c r="A122" s="29">
        <f>CONCATENATE("CATEGORY_",UPPER(Pokemon!B117))</f>
        <v/>
      </c>
      <c r="B122" s="29">
        <f>Types!B17</f>
        <v/>
      </c>
      <c r="C122" s="29">
        <f>Types!C17</f>
        <v/>
      </c>
      <c r="D122" s="29">
        <f>Types!D17</f>
        <v/>
      </c>
      <c r="E122" s="29">
        <f>Types!E17</f>
        <v/>
      </c>
      <c r="F122" s="29">
        <f>Types!F17</f>
        <v/>
      </c>
      <c r="G122" s="29">
        <f>Types!G17</f>
        <v/>
      </c>
      <c r="H122" s="29">
        <f>Types!H17</f>
        <v/>
      </c>
      <c r="I122" s="29">
        <f>Types!I17</f>
        <v/>
      </c>
      <c r="J122" s="29">
        <f>Types!J17</f>
        <v/>
      </c>
      <c r="K122" s="29">
        <f>F122</f>
        <v/>
      </c>
    </row>
    <row r="123">
      <c r="A123" s="29">
        <f>CONCATENATE("CATEGORY_",UPPER(Pokemon!B118))</f>
        <v/>
      </c>
      <c r="B123" s="29">
        <f>B122</f>
        <v/>
      </c>
      <c r="C123" s="29">
        <f>C122</f>
        <v/>
      </c>
      <c r="D123" s="29">
        <f>D122</f>
        <v/>
      </c>
      <c r="E123" s="29">
        <f>E122</f>
        <v/>
      </c>
      <c r="F123" s="29">
        <f>F122</f>
        <v/>
      </c>
      <c r="G123" s="29">
        <f>G122</f>
        <v/>
      </c>
      <c r="H123" s="29">
        <f>H122</f>
        <v/>
      </c>
      <c r="I123" s="29">
        <f>I122</f>
        <v/>
      </c>
      <c r="J123" s="29">
        <f>J122</f>
        <v/>
      </c>
      <c r="K123" s="29">
        <f>F123</f>
        <v/>
      </c>
    </row>
    <row r="124">
      <c r="A124" s="29">
        <f>CONCATENATE("CATEGORY_",UPPER(Pokemon!B119))</f>
        <v/>
      </c>
      <c r="B124" s="29" t="inlineStr">
        <is>
          <t>Goldfish</t>
        </is>
      </c>
      <c r="C124" s="29" t="inlineStr">
        <is>
          <t>きんぎょ</t>
        </is>
      </c>
      <c r="D124" s="29" t="inlineStr">
        <is>
          <t>Poisson</t>
        </is>
      </c>
      <c r="E124" s="29" t="inlineStr">
        <is>
          <t>Goldfisch</t>
        </is>
      </c>
      <c r="F124" s="29" t="inlineStr">
        <is>
          <t>Pez Color</t>
        </is>
      </c>
      <c r="G124" s="29" t="inlineStr">
        <is>
          <t>Pescerosso</t>
        </is>
      </c>
      <c r="H124" s="29" t="inlineStr">
        <is>
          <t>금붕어</t>
        </is>
      </c>
      <c r="I124" s="29" t="inlineStr">
        <is>
          <t>金魚</t>
        </is>
      </c>
      <c r="J124" s="29">
        <f>IFERROR(__xludf.DUMMYFUNCTION("GOOGLETRANSLATE(I124, ""zh_HANT"",""zh_HANS"")"),"金鱼")</f>
        <v/>
      </c>
      <c r="K124" s="29">
        <f>F124</f>
        <v/>
      </c>
    </row>
    <row r="125">
      <c r="A125" s="29">
        <f>CONCATENATE("CATEGORY_",UPPER(Pokemon!B120))</f>
        <v/>
      </c>
      <c r="B125" s="29">
        <f>B124</f>
        <v/>
      </c>
      <c r="C125" s="29">
        <f>C124</f>
        <v/>
      </c>
      <c r="D125" s="29">
        <f>D124</f>
        <v/>
      </c>
      <c r="E125" s="29">
        <f>E124</f>
        <v/>
      </c>
      <c r="F125" s="29">
        <f>F124</f>
        <v/>
      </c>
      <c r="G125" s="29">
        <f>G124</f>
        <v/>
      </c>
      <c r="H125" s="29">
        <f>H124</f>
        <v/>
      </c>
      <c r="I125" s="29">
        <f>I124</f>
        <v/>
      </c>
      <c r="J125" s="29">
        <f>J124</f>
        <v/>
      </c>
      <c r="K125" s="29">
        <f>F125</f>
        <v/>
      </c>
    </row>
    <row r="126">
      <c r="A126" s="29">
        <f>CONCATENATE("CATEGORY_",UPPER(Pokemon!B121))</f>
        <v/>
      </c>
      <c r="B126" s="29" t="inlineStr">
        <is>
          <t>Star Shape</t>
        </is>
      </c>
      <c r="C126" s="29" t="inlineStr">
        <is>
          <t>ほしがた</t>
        </is>
      </c>
      <c r="D126" s="29" t="inlineStr">
        <is>
          <t>Étoile</t>
        </is>
      </c>
      <c r="E126" s="29" t="inlineStr">
        <is>
          <t>Sternform</t>
        </is>
      </c>
      <c r="F126" s="29" t="inlineStr">
        <is>
          <t>Estrellada</t>
        </is>
      </c>
      <c r="G126" s="29" t="inlineStr">
        <is>
          <t>Stella</t>
        </is>
      </c>
      <c r="H126" s="29" t="inlineStr">
        <is>
          <t>별</t>
        </is>
      </c>
      <c r="I126" s="29" t="inlineStr">
        <is>
          <t>星形</t>
        </is>
      </c>
      <c r="J126" s="29">
        <f>I126</f>
        <v/>
      </c>
      <c r="K126" s="29">
        <f>F126</f>
        <v/>
      </c>
    </row>
    <row r="127">
      <c r="A127" s="29">
        <f>CONCATENATE("CATEGORY_",UPPER(Pokemon!B122))</f>
        <v/>
      </c>
      <c r="B127" s="29" t="inlineStr">
        <is>
          <t>Mysterious</t>
        </is>
      </c>
      <c r="C127" s="29" t="inlineStr">
        <is>
          <t>なぞの</t>
        </is>
      </c>
      <c r="D127" s="29" t="inlineStr">
        <is>
          <t>Mystérieux</t>
        </is>
      </c>
      <c r="E127" s="29" t="inlineStr">
        <is>
          <t>Mysteriös</t>
        </is>
      </c>
      <c r="F127" s="29" t="inlineStr">
        <is>
          <t>Misterioso</t>
        </is>
      </c>
      <c r="G127" s="29">
        <f>F127</f>
        <v/>
      </c>
      <c r="H127" s="29" t="inlineStr">
        <is>
          <t>수수께끼</t>
        </is>
      </c>
      <c r="I127" s="29" t="inlineStr">
        <is>
          <t>謎</t>
        </is>
      </c>
      <c r="J127" s="29">
        <f>IFERROR(__xludf.DUMMYFUNCTION("GOOGLETRANSLATE(I127, ""zh_HANT"",""zh_HANS"")"),"谜")</f>
        <v/>
      </c>
      <c r="K127" s="29">
        <f>F127</f>
        <v/>
      </c>
    </row>
    <row r="128">
      <c r="A128" s="29" t="inlineStr">
        <is>
          <t>CATEGORY_MRMIME</t>
        </is>
      </c>
      <c r="B128" s="29">
        <f>Moves!B113</f>
        <v/>
      </c>
      <c r="C128" s="29">
        <f>Moves!C113</f>
        <v/>
      </c>
      <c r="D128" s="29" t="inlineStr">
        <is>
          <t>Bloqueur</t>
        </is>
      </c>
      <c r="E128" s="29" t="inlineStr">
        <is>
          <t>Sperre</t>
        </is>
      </c>
      <c r="F128" s="29">
        <f>Moves!F113</f>
        <v/>
      </c>
      <c r="G128" s="29">
        <f>Moves!G113</f>
        <v/>
      </c>
      <c r="H128" s="29">
        <f>Moves!H113</f>
        <v/>
      </c>
      <c r="I128" s="29">
        <f>Moves!I113</f>
        <v/>
      </c>
      <c r="J128" s="29">
        <f>Moves!J113</f>
        <v/>
      </c>
      <c r="K128" s="29">
        <f>F128</f>
        <v/>
      </c>
    </row>
    <row r="129">
      <c r="A129" s="29">
        <f>CONCATENATE(A128,"-G")</f>
        <v/>
      </c>
      <c r="B129" s="29">
        <f>B767</f>
        <v/>
      </c>
      <c r="C129" s="29">
        <f>C767</f>
        <v/>
      </c>
      <c r="D129" s="29">
        <f>D767</f>
        <v/>
      </c>
      <c r="E129" s="29">
        <f>E767</f>
        <v/>
      </c>
      <c r="F129" s="29">
        <f>F767</f>
        <v/>
      </c>
      <c r="G129" s="29">
        <f>G767</f>
        <v/>
      </c>
      <c r="H129" s="29">
        <f>H767</f>
        <v/>
      </c>
      <c r="I129" s="29">
        <f>I767</f>
        <v/>
      </c>
      <c r="J129" s="29">
        <f>J767</f>
        <v/>
      </c>
      <c r="K129" s="29">
        <f>F129</f>
        <v/>
      </c>
    </row>
    <row r="130">
      <c r="A130" s="29">
        <f>CONCATENATE("CATEGORY_",UPPER(Pokemon!B124))</f>
        <v/>
      </c>
      <c r="B130" s="29" t="inlineStr">
        <is>
          <t>Mantis</t>
        </is>
      </c>
      <c r="C130" s="29" t="inlineStr">
        <is>
          <t>かまきり</t>
        </is>
      </c>
      <c r="D130" s="29" t="inlineStr">
        <is>
          <t>Mante</t>
        </is>
      </c>
      <c r="E130" s="29">
        <f>B130</f>
        <v/>
      </c>
      <c r="F130" s="29">
        <f>B130</f>
        <v/>
      </c>
      <c r="G130" s="29" t="inlineStr">
        <is>
          <t>Mantide</t>
        </is>
      </c>
      <c r="H130" s="29" t="inlineStr">
        <is>
          <t>버마재비</t>
        </is>
      </c>
      <c r="I130" s="29" t="inlineStr">
        <is>
          <t>螳螂</t>
        </is>
      </c>
      <c r="J130" s="29">
        <f>I130</f>
        <v/>
      </c>
      <c r="K130" s="29">
        <f>F130</f>
        <v/>
      </c>
    </row>
    <row r="131">
      <c r="A131" s="29">
        <f>CONCATENATE("CATEGORY_",UPPER(Pokemon!B125))</f>
        <v/>
      </c>
      <c r="B131" s="29" t="inlineStr">
        <is>
          <t>Human Shape</t>
        </is>
      </c>
      <c r="C131" s="29" t="inlineStr">
        <is>
          <t>ひとがた</t>
        </is>
      </c>
      <c r="D131" s="29" t="inlineStr">
        <is>
          <t>Humanoïde</t>
        </is>
      </c>
      <c r="E131" s="29" t="inlineStr">
        <is>
          <t>Humanotyp</t>
        </is>
      </c>
      <c r="F131" s="29" t="inlineStr">
        <is>
          <t>Forma Humana</t>
        </is>
      </c>
      <c r="G131" s="29" t="inlineStr">
        <is>
          <t>Umanoide</t>
        </is>
      </c>
      <c r="H131" s="29" t="inlineStr">
        <is>
          <t>인간형태</t>
        </is>
      </c>
      <c r="I131" s="29" t="inlineStr">
        <is>
          <t>人形</t>
        </is>
      </c>
      <c r="J131" s="29">
        <f>I131</f>
        <v/>
      </c>
      <c r="K131" s="29">
        <f>F131</f>
        <v/>
      </c>
    </row>
    <row r="132">
      <c r="A132" s="29">
        <f>CONCATENATE("CATEGORY_",UPPER(Pokemon!B126))</f>
        <v/>
      </c>
      <c r="B132" s="29">
        <f>Types!B14</f>
        <v/>
      </c>
      <c r="C132" s="29" t="inlineStr">
        <is>
          <t>でんげき</t>
        </is>
      </c>
      <c r="D132" s="29" t="inlineStr">
        <is>
          <t>Électrique</t>
        </is>
      </c>
      <c r="E132" s="29">
        <f>Types!E14</f>
        <v/>
      </c>
      <c r="F132" s="29">
        <f>Types!F14</f>
        <v/>
      </c>
      <c r="G132" s="29" t="inlineStr">
        <is>
          <t>Elettrico</t>
        </is>
      </c>
      <c r="H132" s="29">
        <f>Types!H14</f>
        <v/>
      </c>
      <c r="I132" s="29" t="inlineStr">
        <is>
          <t>電擊</t>
        </is>
      </c>
      <c r="J132" s="29">
        <f>IFERROR(__xludf.DUMMYFUNCTION("GOOGLETRANSLATE(I132, ""zh_HANT"",""zh_HANS"")"),"电击")</f>
        <v/>
      </c>
      <c r="K132" s="29">
        <f>F132</f>
        <v/>
      </c>
    </row>
    <row r="133">
      <c r="A133" s="29">
        <f>CONCATENATE("CATEGORY_",UPPER(Pokemon!B127))</f>
        <v/>
      </c>
      <c r="B133" s="29" t="inlineStr">
        <is>
          <t>Spitfire</t>
        </is>
      </c>
      <c r="C133" s="29" t="inlineStr">
        <is>
          <t>ひふき</t>
        </is>
      </c>
      <c r="D133" s="29" t="inlineStr">
        <is>
          <t>Crache-Feu</t>
        </is>
      </c>
      <c r="E133" s="29" t="inlineStr">
        <is>
          <t>Brenner</t>
        </is>
      </c>
      <c r="F133" s="29" t="inlineStr">
        <is>
          <t>Escupefuego</t>
        </is>
      </c>
      <c r="G133" s="29" t="inlineStr">
        <is>
          <t>Sputafuoco</t>
        </is>
      </c>
      <c r="H133" s="29" t="inlineStr">
        <is>
          <t>불뿜기</t>
        </is>
      </c>
      <c r="I133" s="29" t="inlineStr">
        <is>
          <t>吐火</t>
        </is>
      </c>
      <c r="J133" s="29">
        <f>I133</f>
        <v/>
      </c>
      <c r="K133" s="29">
        <f>F133</f>
        <v/>
      </c>
    </row>
    <row r="134">
      <c r="A134" s="29">
        <f>CONCATENATE("CATEGORY_",UPPER(Pokemon!B128))</f>
        <v/>
      </c>
      <c r="B134" s="29" t="inlineStr">
        <is>
          <t>Stag Beetle</t>
        </is>
      </c>
      <c r="C134" s="29" t="inlineStr">
        <is>
          <t>くわがた</t>
        </is>
      </c>
      <c r="D134" s="29" t="inlineStr">
        <is>
          <t>Scarabée</t>
        </is>
      </c>
      <c r="E134" s="29" t="inlineStr">
        <is>
          <t>Kneifkäfer</t>
        </is>
      </c>
      <c r="F134" s="29" t="inlineStr">
        <is>
          <t>Escarabajo</t>
        </is>
      </c>
      <c r="G134" s="29" t="inlineStr">
        <is>
          <t>Cervolante</t>
        </is>
      </c>
      <c r="H134" s="29" t="inlineStr">
        <is>
          <t>뿔집게</t>
        </is>
      </c>
      <c r="I134" s="29" t="inlineStr">
        <is>
          <t>鍬形蟲</t>
        </is>
      </c>
      <c r="J134" s="29">
        <f>IFERROR(__xludf.DUMMYFUNCTION("GOOGLETRANSLATE(I134, ""zh_HANT"",""zh_HANS"")"),"锹形虫")</f>
        <v/>
      </c>
      <c r="K134" s="29">
        <f>F134</f>
        <v/>
      </c>
    </row>
    <row r="135">
      <c r="A135" s="29">
        <f>CONCATENATE("CATEGORY_",UPPER(Pokemon!B129))</f>
        <v/>
      </c>
      <c r="B135" s="29" t="inlineStr">
        <is>
          <t>Wild Bull</t>
        </is>
      </c>
      <c r="C135" s="29" t="inlineStr">
        <is>
          <t>あばれうし</t>
        </is>
      </c>
      <c r="D135" s="29" t="inlineStr">
        <is>
          <t>Buffle</t>
        </is>
      </c>
      <c r="E135" s="29" t="inlineStr">
        <is>
          <t>Wildbulle</t>
        </is>
      </c>
      <c r="F135" s="29" t="inlineStr">
        <is>
          <t>Toro Bravo</t>
        </is>
      </c>
      <c r="G135" s="29" t="inlineStr">
        <is>
          <t>Torobrado</t>
        </is>
      </c>
      <c r="H135" s="29" t="inlineStr">
        <is>
          <t>성난소</t>
        </is>
      </c>
      <c r="I135" s="29" t="inlineStr">
        <is>
          <t>暴牛</t>
        </is>
      </c>
      <c r="J135" s="29">
        <f>I135</f>
        <v/>
      </c>
      <c r="K135" s="29">
        <f>F135</f>
        <v/>
      </c>
    </row>
    <row r="136">
      <c r="A136" s="29">
        <f>CONCATENATE("CATEGORY_",UPPER(Pokemon!B130))</f>
        <v/>
      </c>
      <c r="B136" s="29" t="inlineStr">
        <is>
          <t>Fish</t>
        </is>
      </c>
      <c r="C136" s="29" t="inlineStr">
        <is>
          <t>さかな</t>
        </is>
      </c>
      <c r="D136" s="29">
        <f>D124</f>
        <v/>
      </c>
      <c r="E136" s="29" t="inlineStr">
        <is>
          <t>Fisch</t>
        </is>
      </c>
      <c r="F136" s="29" t="inlineStr">
        <is>
          <t>Pez</t>
        </is>
      </c>
      <c r="G136" s="29" t="inlineStr">
        <is>
          <t>Pesce</t>
        </is>
      </c>
      <c r="H136" s="29" t="inlineStr">
        <is>
          <t>물고기</t>
        </is>
      </c>
      <c r="I136" s="29" t="inlineStr">
        <is>
          <t>魚</t>
        </is>
      </c>
      <c r="J136" s="29">
        <f>IFERROR(__xludf.DUMMYFUNCTION("GOOGLETRANSLATE(I136, ""zh_HANT"",""zh_HANS"")"),"鱼")</f>
        <v/>
      </c>
      <c r="K136" s="29">
        <f>F136</f>
        <v/>
      </c>
    </row>
    <row r="137">
      <c r="A137" s="29">
        <f>CONCATENATE("CATEGORY_",UPPER(Pokemon!B131))</f>
        <v/>
      </c>
      <c r="B137" s="29" t="inlineStr">
        <is>
          <t>Atrocious</t>
        </is>
      </c>
      <c r="C137" s="29" t="inlineStr">
        <is>
          <t>きょうあく</t>
        </is>
      </c>
      <c r="D137" s="29" t="inlineStr">
        <is>
          <t>Terrifiant</t>
        </is>
      </c>
      <c r="E137" s="29" t="inlineStr">
        <is>
          <t>Grausam</t>
        </is>
      </c>
      <c r="F137" s="29" t="inlineStr">
        <is>
          <t>Atrocidad</t>
        </is>
      </c>
      <c r="G137" s="29" t="inlineStr">
        <is>
          <t>Atroce</t>
        </is>
      </c>
      <c r="H137" s="29" t="inlineStr">
        <is>
          <t>흉악</t>
        </is>
      </c>
      <c r="I137" s="29" t="inlineStr">
        <is>
          <t>凶惡</t>
        </is>
      </c>
      <c r="J137" s="29">
        <f>IFERROR(__xludf.DUMMYFUNCTION("GOOGLETRANSLATE(I137, ""zh_HANT"",""zh_HANS"")"),"凶恶")</f>
        <v/>
      </c>
      <c r="K137" s="29">
        <f>F137</f>
        <v/>
      </c>
    </row>
    <row r="138">
      <c r="A138" s="29">
        <f>CONCATENATE("CATEGORY_",UPPER(Pokemon!B132))</f>
        <v/>
      </c>
      <c r="B138" s="29" t="inlineStr">
        <is>
          <t>Transport</t>
        </is>
      </c>
      <c r="C138" s="29" t="inlineStr">
        <is>
          <t>のりもの</t>
        </is>
      </c>
      <c r="D138" s="29" t="inlineStr">
        <is>
          <t>Transport</t>
        </is>
      </c>
      <c r="E138" s="29">
        <f>B138</f>
        <v/>
      </c>
      <c r="F138" s="29" t="inlineStr">
        <is>
          <t>Transporte</t>
        </is>
      </c>
      <c r="G138" s="29" t="inlineStr">
        <is>
          <t>Transporto</t>
        </is>
      </c>
      <c r="H138" s="29" t="inlineStr">
        <is>
          <t>탈것</t>
        </is>
      </c>
      <c r="I138" s="29" t="inlineStr">
        <is>
          <t>乘載</t>
        </is>
      </c>
      <c r="J138" s="29">
        <f>IFERROR(__xludf.DUMMYFUNCTION("GOOGLETRANSLATE(I138, ""zh_HANT"",""zh_HANS"")"),"乘载")</f>
        <v/>
      </c>
      <c r="K138" s="29">
        <f>F138</f>
        <v/>
      </c>
    </row>
    <row r="139">
      <c r="A139" s="29">
        <f>CONCATENATE("CATEGORY_",UPPER(Pokemon!B133))</f>
        <v/>
      </c>
      <c r="B139" s="29">
        <f>Moves!B145</f>
        <v/>
      </c>
      <c r="C139" s="29">
        <f>Moves!C145</f>
        <v/>
      </c>
      <c r="D139" s="29">
        <f>Moves!D145</f>
        <v/>
      </c>
      <c r="E139" s="29">
        <f>B139</f>
        <v/>
      </c>
      <c r="F139" s="29">
        <f>B139</f>
        <v/>
      </c>
      <c r="G139" s="29" t="inlineStr">
        <is>
          <t>Mutante</t>
        </is>
      </c>
      <c r="H139" s="29">
        <f>Moves!H145</f>
        <v/>
      </c>
      <c r="I139" s="29">
        <f>Moves!I145</f>
        <v/>
      </c>
      <c r="J139" s="29">
        <f>Moves!J145</f>
        <v/>
      </c>
      <c r="K139" s="29">
        <f>F139</f>
        <v/>
      </c>
    </row>
    <row r="140">
      <c r="A140" s="29">
        <f>CONCATENATE("CATEGORY_",UPPER(Pokemon!B134))</f>
        <v/>
      </c>
      <c r="B140" s="29" t="inlineStr">
        <is>
          <t>Evolution</t>
        </is>
      </c>
      <c r="C140" s="29" t="inlineStr">
        <is>
          <t>しんか</t>
        </is>
      </c>
      <c r="D140" s="29" t="inlineStr">
        <is>
          <t>Évolutif</t>
        </is>
      </c>
      <c r="E140" s="29">
        <f>B140</f>
        <v/>
      </c>
      <c r="F140" s="29" t="inlineStr">
        <is>
          <t>Evolución</t>
        </is>
      </c>
      <c r="G140" s="29" t="inlineStr">
        <is>
          <t>Evoluzione</t>
        </is>
      </c>
      <c r="H140" s="29" t="inlineStr">
        <is>
          <t>진화</t>
        </is>
      </c>
      <c r="I140" s="29" t="inlineStr">
        <is>
          <t>進化</t>
        </is>
      </c>
      <c r="J140" s="29">
        <f>IFERROR(__xludf.DUMMYFUNCTION("GOOGLETRANSLATE(I140, ""zh_HANT"",""zh_HANS"")"),"进化")</f>
        <v/>
      </c>
      <c r="K140" s="29">
        <f>F140</f>
        <v/>
      </c>
    </row>
    <row r="141">
      <c r="A141" s="29">
        <f>CONCATENATE("CATEGORY_",UPPER(Pokemon!B135))</f>
        <v/>
      </c>
      <c r="B141" s="29" t="inlineStr">
        <is>
          <t>Bubble Jet</t>
        </is>
      </c>
      <c r="C141" s="29" t="inlineStr">
        <is>
          <t>あわはき</t>
        </is>
      </c>
      <c r="D141" s="29" t="inlineStr">
        <is>
          <t>Bulleur</t>
        </is>
      </c>
      <c r="E141" s="29" t="inlineStr">
        <is>
          <t>Blubblase</t>
        </is>
      </c>
      <c r="F141" s="29" t="inlineStr">
        <is>
          <t>Burbuja</t>
        </is>
      </c>
      <c r="G141" s="29" t="inlineStr">
        <is>
          <t>Bollajet</t>
        </is>
      </c>
      <c r="H141" s="29" t="inlineStr">
        <is>
          <t>거품뿜기</t>
        </is>
      </c>
      <c r="I141" s="29" t="inlineStr">
        <is>
          <t>吐泡</t>
        </is>
      </c>
      <c r="J141" s="29">
        <f>I141</f>
        <v/>
      </c>
      <c r="K141" s="29">
        <f>F141</f>
        <v/>
      </c>
    </row>
    <row r="142">
      <c r="A142" s="29">
        <f>CONCATENATE("CATEGORY_",UPPER(Pokemon!B136))</f>
        <v/>
      </c>
      <c r="B142" s="29" t="inlineStr">
        <is>
          <t>Lightning</t>
        </is>
      </c>
      <c r="C142" s="29" t="inlineStr">
        <is>
          <t>かみなり</t>
        </is>
      </c>
      <c r="D142" s="29" t="inlineStr">
        <is>
          <t>Orage</t>
        </is>
      </c>
      <c r="E142" s="29" t="inlineStr">
        <is>
          <t>Blitz</t>
        </is>
      </c>
      <c r="F142" s="29" t="inlineStr">
        <is>
          <t>Relámpago</t>
        </is>
      </c>
      <c r="G142" s="29" t="inlineStr">
        <is>
          <t>Luminoso</t>
        </is>
      </c>
      <c r="H142" s="29" t="inlineStr">
        <is>
          <t>번개</t>
        </is>
      </c>
      <c r="I142" s="29" t="inlineStr">
        <is>
          <t>雷</t>
        </is>
      </c>
      <c r="J142" s="29">
        <f>I142</f>
        <v/>
      </c>
      <c r="K142" s="29">
        <f>F142</f>
        <v/>
      </c>
    </row>
    <row r="143">
      <c r="A143" s="29">
        <f>CONCATENATE("CATEGORY_",UPPER(Pokemon!B137))</f>
        <v/>
      </c>
      <c r="B143" s="29">
        <f>B6</f>
        <v/>
      </c>
      <c r="C143" s="29" t="inlineStr">
        <is>
          <t>ほのお</t>
        </is>
      </c>
      <c r="D143" s="29">
        <f>D6</f>
        <v/>
      </c>
      <c r="E143" s="29">
        <f>E6</f>
        <v/>
      </c>
      <c r="F143" s="29">
        <f>F6</f>
        <v/>
      </c>
      <c r="G143" s="29">
        <f>G6</f>
        <v/>
      </c>
      <c r="H143" s="29" t="inlineStr">
        <is>
          <t>불꽃</t>
        </is>
      </c>
      <c r="I143" s="29" t="inlineStr">
        <is>
          <t>火</t>
        </is>
      </c>
      <c r="J143" s="29">
        <f>I143</f>
        <v/>
      </c>
      <c r="K143" s="29">
        <f>F143</f>
        <v/>
      </c>
    </row>
    <row r="144">
      <c r="A144" s="29">
        <f>CONCATENATE("CATEGORY_",UPPER(Pokemon!B138))</f>
        <v/>
      </c>
      <c r="B144" s="29" t="inlineStr">
        <is>
          <t>Virtual</t>
        </is>
      </c>
      <c r="C144" s="29" t="inlineStr">
        <is>
          <t>バーチャル</t>
        </is>
      </c>
      <c r="D144" s="29" t="inlineStr">
        <is>
          <t>Virtuel</t>
        </is>
      </c>
      <c r="E144" s="29" t="inlineStr">
        <is>
          <t>Virtuell</t>
        </is>
      </c>
      <c r="F144" s="29">
        <f>B144</f>
        <v/>
      </c>
      <c r="G144" s="29" t="inlineStr">
        <is>
          <t>Virtuale</t>
        </is>
      </c>
      <c r="H144" s="29" t="inlineStr">
        <is>
          <t>가상</t>
        </is>
      </c>
      <c r="I144" s="29" t="inlineStr">
        <is>
          <t>虛擬</t>
        </is>
      </c>
      <c r="J144" s="29">
        <f>IFERROR(__xludf.DUMMYFUNCTION("GOOGLETRANSLATE(I144, ""zh_HANT"",""zh_HANS"")"),"虚拟")</f>
        <v/>
      </c>
      <c r="K144" s="29">
        <f>F144</f>
        <v/>
      </c>
    </row>
    <row r="145">
      <c r="A145" s="29">
        <f>CONCATENATE("CATEGORY_",UPPER(Pokemon!B139))</f>
        <v/>
      </c>
      <c r="B145" s="29" t="inlineStr">
        <is>
          <t>Spiral</t>
        </is>
      </c>
      <c r="C145" s="29" t="inlineStr">
        <is>
          <t>うずまき</t>
        </is>
      </c>
      <c r="D145" s="29" t="inlineStr">
        <is>
          <t>Spirale</t>
        </is>
      </c>
      <c r="E145" s="29">
        <f>D145</f>
        <v/>
      </c>
      <c r="F145" s="29" t="inlineStr">
        <is>
          <t>Espiral</t>
        </is>
      </c>
      <c r="G145" s="29">
        <f>D145</f>
        <v/>
      </c>
      <c r="H145" s="29" t="inlineStr">
        <is>
          <t>소용돌이</t>
        </is>
      </c>
      <c r="I145" s="29" t="inlineStr">
        <is>
          <t>漩渦</t>
        </is>
      </c>
      <c r="J145" s="29">
        <f>IFERROR(__xludf.DUMMYFUNCTION("GOOGLETRANSLATE(I145, ""zh_HANT"",""zh_HANS"")"),"漩涡")</f>
        <v/>
      </c>
      <c r="K145" s="29">
        <f>F145</f>
        <v/>
      </c>
    </row>
    <row r="146">
      <c r="A146" s="29">
        <f>CONCATENATE("CATEGORY_",UPPER(Pokemon!B140))</f>
        <v/>
      </c>
      <c r="B146" s="29">
        <f>B145</f>
        <v/>
      </c>
      <c r="C146" s="29">
        <f>C145</f>
        <v/>
      </c>
      <c r="D146" s="29">
        <f>D145</f>
        <v/>
      </c>
      <c r="E146" s="29">
        <f>E145</f>
        <v/>
      </c>
      <c r="F146" s="29">
        <f>F145</f>
        <v/>
      </c>
      <c r="G146" s="29">
        <f>G145</f>
        <v/>
      </c>
      <c r="H146" s="29">
        <f>H145</f>
        <v/>
      </c>
      <c r="I146" s="29">
        <f>I145</f>
        <v/>
      </c>
      <c r="J146" s="29">
        <f>J145</f>
        <v/>
      </c>
      <c r="K146" s="29">
        <f>F146</f>
        <v/>
      </c>
    </row>
    <row r="147">
      <c r="A147" s="29">
        <f>CONCATENATE("CATEGORY_",UPPER(Pokemon!B141))</f>
        <v/>
      </c>
      <c r="B147" s="29">
        <f>B10</f>
        <v/>
      </c>
      <c r="C147" s="29">
        <f>C10</f>
        <v/>
      </c>
      <c r="D147" s="29">
        <f>D10</f>
        <v/>
      </c>
      <c r="E147" s="29">
        <f>E10</f>
        <v/>
      </c>
      <c r="F147" s="29">
        <f>F10</f>
        <v/>
      </c>
      <c r="G147" s="29">
        <f>G10</f>
        <v/>
      </c>
      <c r="H147" s="29">
        <f>H10</f>
        <v/>
      </c>
      <c r="I147" s="29">
        <f>I10</f>
        <v/>
      </c>
      <c r="J147" s="29">
        <f>J10</f>
        <v/>
      </c>
      <c r="K147" s="29">
        <f>F147</f>
        <v/>
      </c>
    </row>
    <row r="148">
      <c r="A148" s="29">
        <f>CONCATENATE("CATEGORY_",UPPER(Pokemon!B142))</f>
        <v/>
      </c>
      <c r="B148" s="29">
        <f>B10</f>
        <v/>
      </c>
      <c r="C148" s="29">
        <f>C10</f>
        <v/>
      </c>
      <c r="D148" s="29">
        <f>D10</f>
        <v/>
      </c>
      <c r="E148" s="29">
        <f>E10</f>
        <v/>
      </c>
      <c r="F148" s="29">
        <f>F10</f>
        <v/>
      </c>
      <c r="G148" s="29">
        <f>G10</f>
        <v/>
      </c>
      <c r="H148" s="29">
        <f>H10</f>
        <v/>
      </c>
      <c r="I148" s="29">
        <f>I10</f>
        <v/>
      </c>
      <c r="J148" s="29">
        <f>J10</f>
        <v/>
      </c>
      <c r="K148" s="29">
        <f>F148</f>
        <v/>
      </c>
    </row>
    <row r="149">
      <c r="A149" s="29">
        <f>CONCATENATE("CATEGORY_",UPPER(Pokemon!B143))</f>
        <v/>
      </c>
      <c r="B149" s="29" t="inlineStr">
        <is>
          <t>Fossil</t>
        </is>
      </c>
      <c r="C149" s="29" t="inlineStr">
        <is>
          <t>かせき</t>
        </is>
      </c>
      <c r="D149" s="29" t="inlineStr">
        <is>
          <t>Fossile</t>
        </is>
      </c>
      <c r="E149" s="29">
        <f>B149</f>
        <v/>
      </c>
      <c r="F149" s="29" t="inlineStr">
        <is>
          <t>Fósil</t>
        </is>
      </c>
      <c r="G149" s="29">
        <f>D149</f>
        <v/>
      </c>
      <c r="H149" s="29" t="inlineStr">
        <is>
          <t>화석</t>
        </is>
      </c>
      <c r="I149" s="29" t="inlineStr">
        <is>
          <t>化石</t>
        </is>
      </c>
      <c r="J149" s="29">
        <f>I149</f>
        <v/>
      </c>
      <c r="K149" s="29">
        <f>F149</f>
        <v/>
      </c>
    </row>
    <row r="150">
      <c r="A150" s="29">
        <f>CONCATENATE("CATEGORY_",UPPER(Pokemon!B144))</f>
        <v/>
      </c>
      <c r="B150" s="29" t="inlineStr">
        <is>
          <t>Sleeping</t>
        </is>
      </c>
      <c r="C150" s="29" t="inlineStr">
        <is>
          <t>いねむり</t>
        </is>
      </c>
      <c r="D150" s="29" t="inlineStr">
        <is>
          <t>Pionceur</t>
        </is>
      </c>
      <c r="E150" s="29" t="inlineStr">
        <is>
          <t>Tagträumer</t>
        </is>
      </c>
      <c r="F150" s="29" t="inlineStr">
        <is>
          <t>Dormir</t>
        </is>
      </c>
      <c r="G150" s="29" t="inlineStr">
        <is>
          <t>Sonno</t>
        </is>
      </c>
      <c r="H150" s="29" t="inlineStr">
        <is>
          <t>졸음</t>
        </is>
      </c>
      <c r="I150" s="29" t="inlineStr">
        <is>
          <t>瞌睡</t>
        </is>
      </c>
      <c r="J150" s="29">
        <f>I150</f>
        <v/>
      </c>
      <c r="K150" s="29">
        <f>F150</f>
        <v/>
      </c>
    </row>
    <row r="151">
      <c r="A151" s="29">
        <f>CONCATENATE("CATEGORY_",UPPER(Pokemon!B145))</f>
        <v/>
      </c>
      <c r="B151" s="29" t="inlineStr">
        <is>
          <t>Freeze</t>
        </is>
      </c>
      <c r="C151" s="29" t="inlineStr">
        <is>
          <t>れいとう</t>
        </is>
      </c>
      <c r="D151" s="29" t="inlineStr">
        <is>
          <t>Glaciaire</t>
        </is>
      </c>
      <c r="E151" s="29" t="inlineStr">
        <is>
          <t>Eis</t>
        </is>
      </c>
      <c r="F151" s="29" t="inlineStr">
        <is>
          <t>Congelar</t>
        </is>
      </c>
      <c r="G151" s="29" t="inlineStr">
        <is>
          <t>Gelo</t>
        </is>
      </c>
      <c r="H151" s="29" t="inlineStr">
        <is>
          <t>냉동</t>
        </is>
      </c>
      <c r="I151" s="29" t="inlineStr">
        <is>
          <t>冰凍</t>
        </is>
      </c>
      <c r="J151" s="29">
        <f>IFERROR(__xludf.DUMMYFUNCTION("GOOGLETRANSLATE(I151, ""zh_HANT"",""zh_HANS"")"),"冰冻")</f>
        <v/>
      </c>
      <c r="K151" s="29">
        <f>F151</f>
        <v/>
      </c>
    </row>
    <row r="152">
      <c r="A152" s="29">
        <f>CONCATENATE(A151,"-G")</f>
        <v/>
      </c>
      <c r="B152" s="29">
        <f>B525</f>
        <v/>
      </c>
      <c r="C152" s="29">
        <f>C525</f>
        <v/>
      </c>
      <c r="D152" s="29">
        <f>D525</f>
        <v/>
      </c>
      <c r="E152" s="29">
        <f>E525</f>
        <v/>
      </c>
      <c r="F152" s="29">
        <f>F525</f>
        <v/>
      </c>
      <c r="G152" s="29">
        <f>G525</f>
        <v/>
      </c>
      <c r="H152" s="29">
        <f>H525</f>
        <v/>
      </c>
      <c r="I152" s="29">
        <f>I525</f>
        <v/>
      </c>
      <c r="J152" s="29">
        <f>J525</f>
        <v/>
      </c>
      <c r="K152" s="29">
        <f>F152</f>
        <v/>
      </c>
    </row>
    <row r="153">
      <c r="A153" s="29">
        <f>CONCATENATE("CATEGORY_",UPPER(Pokemon!B146))</f>
        <v/>
      </c>
      <c r="B153" s="29">
        <f>B132</f>
        <v/>
      </c>
      <c r="C153" s="29">
        <f>C132</f>
        <v/>
      </c>
      <c r="D153" s="29">
        <f>D132</f>
        <v/>
      </c>
      <c r="E153" s="29" t="inlineStr">
        <is>
          <t>Elektro</t>
        </is>
      </c>
      <c r="F153" s="29">
        <f>F132</f>
        <v/>
      </c>
      <c r="G153" s="29">
        <f>G132</f>
        <v/>
      </c>
      <c r="H153" s="29">
        <f>H132</f>
        <v/>
      </c>
      <c r="I153" s="29">
        <f>I132</f>
        <v/>
      </c>
      <c r="J153" s="29">
        <f>J132</f>
        <v/>
      </c>
      <c r="K153" s="29">
        <f>F153</f>
        <v/>
      </c>
    </row>
    <row r="154">
      <c r="A154" s="29">
        <f>CONCATENATE(A153,"-G")</f>
        <v/>
      </c>
      <c r="B154" s="29" t="inlineStr">
        <is>
          <t>Strong Legs</t>
        </is>
      </c>
      <c r="C154" s="29" t="inlineStr">
        <is>
          <t>けんきゃく</t>
        </is>
      </c>
      <c r="D154" s="29" t="inlineStr">
        <is>
          <t>Fort-Pied</t>
        </is>
      </c>
      <c r="E154" s="29" t="inlineStr">
        <is>
          <t>Läufer</t>
        </is>
      </c>
      <c r="F154" s="29" t="inlineStr">
        <is>
          <t>Patas Recias</t>
        </is>
      </c>
      <c r="G154" s="29" t="inlineStr">
        <is>
          <t>Zampeforti</t>
        </is>
      </c>
      <c r="H154" s="29" t="inlineStr">
        <is>
          <t>건각</t>
        </is>
      </c>
      <c r="I154" s="29">
        <f>IFERROR(__xludf.DUMMYFUNCTION("GOOGLETRANSLATE(J154,""zh_HANS"",""zh_HANT"")"),"健腳")</f>
        <v/>
      </c>
      <c r="J154" s="29" t="inlineStr">
        <is>
          <t>健脚</t>
        </is>
      </c>
      <c r="K154" s="29">
        <f>F154</f>
        <v/>
      </c>
    </row>
    <row r="155">
      <c r="A155" s="29">
        <f>CONCATENATE("CATEGORY_",UPPER(Pokemon!B147))</f>
        <v/>
      </c>
      <c r="B155" s="29">
        <f>B6</f>
        <v/>
      </c>
      <c r="C155" s="29">
        <f>C6</f>
        <v/>
      </c>
      <c r="D155" s="29">
        <f>D6</f>
        <v/>
      </c>
      <c r="E155" s="29">
        <f>E6</f>
        <v/>
      </c>
      <c r="F155" s="29">
        <f>F6</f>
        <v/>
      </c>
      <c r="G155" s="29">
        <f>G6</f>
        <v/>
      </c>
      <c r="H155" s="29">
        <f>H6</f>
        <v/>
      </c>
      <c r="I155" s="29">
        <f>I6</f>
        <v/>
      </c>
      <c r="J155" s="29">
        <f>J6</f>
        <v/>
      </c>
      <c r="K155" s="29">
        <f>F155</f>
        <v/>
      </c>
    </row>
    <row r="156">
      <c r="A156" s="29">
        <f>CONCATENATE(A155,"-G")</f>
        <v/>
      </c>
      <c r="B156" s="29" t="inlineStr">
        <is>
          <t>Malevolent</t>
        </is>
      </c>
      <c r="C156" s="29" t="inlineStr">
        <is>
          <t>じゃあく</t>
        </is>
      </c>
      <c r="D156" s="29" t="inlineStr">
        <is>
          <t>Maléfique</t>
        </is>
      </c>
      <c r="E156" s="29" t="inlineStr">
        <is>
          <t>Bosheits</t>
        </is>
      </c>
      <c r="F156" s="29" t="inlineStr">
        <is>
          <t>Malignidad</t>
        </is>
      </c>
      <c r="G156" s="29" t="inlineStr">
        <is>
          <t>Malvagità</t>
        </is>
      </c>
      <c r="H156" s="29" t="inlineStr">
        <is>
          <t>사악</t>
        </is>
      </c>
      <c r="I156" s="29">
        <f>I289</f>
        <v/>
      </c>
      <c r="J156" s="29">
        <f>J289</f>
        <v/>
      </c>
      <c r="K156" s="29">
        <f>F156</f>
        <v/>
      </c>
    </row>
    <row r="157">
      <c r="A157" s="29">
        <f>CONCATENATE("CATEGORY_",UPPER(Pokemon!B148))</f>
        <v/>
      </c>
      <c r="B157" s="29">
        <f>B122</f>
        <v/>
      </c>
      <c r="C157" s="29">
        <f>C122</f>
        <v/>
      </c>
      <c r="D157" s="29">
        <f>D122</f>
        <v/>
      </c>
      <c r="E157" s="29">
        <f>E122</f>
        <v/>
      </c>
      <c r="F157" s="29">
        <f>F122</f>
        <v/>
      </c>
      <c r="G157" s="29">
        <f>G122</f>
        <v/>
      </c>
      <c r="H157" s="29">
        <f>H122</f>
        <v/>
      </c>
      <c r="I157" s="29">
        <f>I122</f>
        <v/>
      </c>
      <c r="J157" s="29">
        <f>J122</f>
        <v/>
      </c>
      <c r="K157" s="29">
        <f>F157</f>
        <v/>
      </c>
    </row>
    <row r="158">
      <c r="A158" s="29">
        <f>CONCATENATE("CATEGORY_",UPPER(Pokemon!B149))</f>
        <v/>
      </c>
      <c r="B158" s="29">
        <f>B122</f>
        <v/>
      </c>
      <c r="C158" s="29">
        <f>C122</f>
        <v/>
      </c>
      <c r="D158" s="29">
        <f>D122</f>
        <v/>
      </c>
      <c r="E158" s="29">
        <f>E122</f>
        <v/>
      </c>
      <c r="F158" s="29">
        <f>F122</f>
        <v/>
      </c>
      <c r="G158" s="29">
        <f>G122</f>
        <v/>
      </c>
      <c r="H158" s="29">
        <f>H122</f>
        <v/>
      </c>
      <c r="I158" s="29">
        <f>I122</f>
        <v/>
      </c>
      <c r="J158" s="29">
        <f>J122</f>
        <v/>
      </c>
      <c r="K158" s="29">
        <f>F158</f>
        <v/>
      </c>
    </row>
    <row r="159">
      <c r="A159" s="29">
        <f>CONCATENATE("CATEGORY_",UPPER(Pokemon!B150))</f>
        <v/>
      </c>
      <c r="B159" s="29">
        <f>B122</f>
        <v/>
      </c>
      <c r="C159" s="29">
        <f>C122</f>
        <v/>
      </c>
      <c r="D159" s="29">
        <f>D122</f>
        <v/>
      </c>
      <c r="E159" s="29">
        <f>E122</f>
        <v/>
      </c>
      <c r="F159" s="29">
        <f>F122</f>
        <v/>
      </c>
      <c r="G159" s="29">
        <f>G122</f>
        <v/>
      </c>
      <c r="H159" s="29">
        <f>H122</f>
        <v/>
      </c>
      <c r="I159" s="29">
        <f>I122</f>
        <v/>
      </c>
      <c r="J159" s="29">
        <f>J122</f>
        <v/>
      </c>
      <c r="K159" s="29">
        <f>F159</f>
        <v/>
      </c>
    </row>
    <row r="160">
      <c r="A160" s="29">
        <f>CONCATENATE("CATEGORY_",UPPER(Pokemon!B151))</f>
        <v/>
      </c>
      <c r="B160" s="29" t="inlineStr">
        <is>
          <t>Genetic</t>
        </is>
      </c>
      <c r="C160" s="29" t="inlineStr">
        <is>
          <t>いでんし</t>
        </is>
      </c>
      <c r="D160" s="29" t="inlineStr">
        <is>
          <t>Génétique</t>
        </is>
      </c>
      <c r="E160" s="29" t="inlineStr">
        <is>
          <t>Genmutant</t>
        </is>
      </c>
      <c r="F160" s="29" t="inlineStr">
        <is>
          <t>Genético</t>
        </is>
      </c>
      <c r="G160" s="29" t="inlineStr">
        <is>
          <t>Genetico</t>
        </is>
      </c>
      <c r="H160" s="29" t="inlineStr">
        <is>
          <t>유전</t>
        </is>
      </c>
      <c r="I160" s="29" t="inlineStr">
        <is>
          <t>基因</t>
        </is>
      </c>
      <c r="J160" s="29">
        <f>I160</f>
        <v/>
      </c>
      <c r="K160" s="29">
        <f>F160</f>
        <v/>
      </c>
    </row>
    <row r="161">
      <c r="A161" s="29">
        <f>CONCATENATE("CATEGORY_",UPPER(Pokemon!B152))</f>
        <v/>
      </c>
      <c r="B161" s="29" t="inlineStr">
        <is>
          <t>New Species</t>
        </is>
      </c>
      <c r="C161" s="29" t="inlineStr">
        <is>
          <t>しんしゅ</t>
        </is>
      </c>
      <c r="D161" s="29" t="inlineStr">
        <is>
          <t>Nouveau</t>
        </is>
      </c>
      <c r="E161" s="29" t="inlineStr">
        <is>
          <t>Neue Art</t>
        </is>
      </c>
      <c r="F161" s="29" t="inlineStr">
        <is>
          <t>N. Especie</t>
        </is>
      </c>
      <c r="G161" s="29" t="inlineStr">
        <is>
          <t>Novaspecie</t>
        </is>
      </c>
      <c r="H161" s="29" t="inlineStr">
        <is>
          <t>신종</t>
        </is>
      </c>
      <c r="I161" s="29" t="inlineStr">
        <is>
          <t>新種</t>
        </is>
      </c>
      <c r="J161" s="29">
        <f>IFERROR(__xludf.DUMMYFUNCTION("GOOGLETRANSLATE(I161, ""zh_HANT"",""zh_HANS"")"),"新种")</f>
        <v/>
      </c>
      <c r="K161" s="29">
        <f>F161</f>
        <v/>
      </c>
    </row>
    <row r="162">
      <c r="A162" s="29">
        <f>CONCATENATE("CATEGORY_",UPPER(Pokemon!B153))</f>
        <v/>
      </c>
      <c r="B162" s="29" t="inlineStr">
        <is>
          <t>Leaf</t>
        </is>
      </c>
      <c r="C162" s="29" t="inlineStr">
        <is>
          <t>はっぱ</t>
        </is>
      </c>
      <c r="D162" s="29" t="inlineStr">
        <is>
          <t>Feuille</t>
        </is>
      </c>
      <c r="E162" s="29" t="inlineStr">
        <is>
          <t>Laub</t>
        </is>
      </c>
      <c r="F162" s="29" t="inlineStr">
        <is>
          <t>Hoja</t>
        </is>
      </c>
      <c r="G162" s="29" t="inlineStr">
        <is>
          <t>Foglia</t>
        </is>
      </c>
      <c r="H162" s="29" t="inlineStr">
        <is>
          <t>잎사귀</t>
        </is>
      </c>
      <c r="I162" s="29" t="inlineStr">
        <is>
          <t>葉子</t>
        </is>
      </c>
      <c r="J162" s="29">
        <f>IFERROR(__xludf.DUMMYFUNCTION("GOOGLETRANSLATE(I162, ""zh_HANT"",""zh_HANS"")"),"叶子")</f>
        <v/>
      </c>
      <c r="K162" s="29">
        <f>F162</f>
        <v/>
      </c>
    </row>
    <row r="163">
      <c r="A163" s="29">
        <f>CONCATENATE("CATEGORY_",UPPER(Pokemon!B154))</f>
        <v/>
      </c>
      <c r="B163" s="29">
        <f>B162</f>
        <v/>
      </c>
      <c r="C163" s="29">
        <f>C162</f>
        <v/>
      </c>
      <c r="D163" s="29">
        <f>D162</f>
        <v/>
      </c>
      <c r="E163" s="29">
        <f>E162</f>
        <v/>
      </c>
      <c r="F163" s="29">
        <f>F162</f>
        <v/>
      </c>
      <c r="G163" s="29">
        <f>G162</f>
        <v/>
      </c>
      <c r="H163" s="29">
        <f>H162</f>
        <v/>
      </c>
      <c r="I163" s="29">
        <f>I162</f>
        <v/>
      </c>
      <c r="J163" s="29">
        <f>J162</f>
        <v/>
      </c>
      <c r="K163" s="29">
        <f>F163</f>
        <v/>
      </c>
    </row>
    <row r="164">
      <c r="A164" s="29">
        <f>CONCATENATE("CATEGORY_",UPPER(Pokemon!B155))</f>
        <v/>
      </c>
      <c r="B164" s="29" t="inlineStr">
        <is>
          <t>Herb</t>
        </is>
      </c>
      <c r="C164" s="29" t="inlineStr">
        <is>
          <t>ハーブ</t>
        </is>
      </c>
      <c r="D164" s="29" t="inlineStr">
        <is>
          <t>Herbe</t>
        </is>
      </c>
      <c r="E164" s="29" t="inlineStr">
        <is>
          <t>Kräuter</t>
        </is>
      </c>
      <c r="F164" s="29" t="inlineStr">
        <is>
          <t>Hierba</t>
        </is>
      </c>
      <c r="G164" s="29" t="inlineStr">
        <is>
          <t>Erbe</t>
        </is>
      </c>
      <c r="H164" s="29" t="inlineStr">
        <is>
          <t>허브</t>
        </is>
      </c>
      <c r="I164" s="29" t="inlineStr">
        <is>
          <t>芳草</t>
        </is>
      </c>
      <c r="J164" s="29">
        <f>I164</f>
        <v/>
      </c>
      <c r="K164" s="29">
        <f>F164</f>
        <v/>
      </c>
    </row>
    <row r="165">
      <c r="A165" s="29">
        <f>CONCATENATE("CATEGORY_",UPPER(Pokemon!B156))</f>
        <v/>
      </c>
      <c r="B165" s="29" t="inlineStr">
        <is>
          <t>Fire Mouse</t>
        </is>
      </c>
      <c r="C165" s="29" t="inlineStr">
        <is>
          <t>ひねずみ</t>
        </is>
      </c>
      <c r="D165" s="29" t="inlineStr">
        <is>
          <t>Souris Feu</t>
        </is>
      </c>
      <c r="E165" s="29" t="inlineStr">
        <is>
          <t>Feuermaus</t>
        </is>
      </c>
      <c r="F165" s="29" t="inlineStr">
        <is>
          <t>Ratón Fuego</t>
        </is>
      </c>
      <c r="G165" s="29" t="inlineStr">
        <is>
          <t>Fuocotopo</t>
        </is>
      </c>
      <c r="H165" s="29" t="inlineStr">
        <is>
          <t>불쥐</t>
        </is>
      </c>
      <c r="I165" s="29" t="inlineStr">
        <is>
          <t>火鼠</t>
        </is>
      </c>
      <c r="J165" s="29">
        <f>I165</f>
        <v/>
      </c>
      <c r="K165" s="29">
        <f>F165</f>
        <v/>
      </c>
    </row>
    <row r="166">
      <c r="A166" s="29">
        <f>CONCATENATE("CATEGORY_",UPPER(Pokemon!B157))</f>
        <v/>
      </c>
      <c r="B166" s="29" t="inlineStr">
        <is>
          <t>Volcano</t>
        </is>
      </c>
      <c r="C166" s="29" t="inlineStr">
        <is>
          <t>かざん</t>
        </is>
      </c>
      <c r="D166" s="29" t="inlineStr">
        <is>
          <t>Volcan</t>
        </is>
      </c>
      <c r="E166" s="29" t="inlineStr">
        <is>
          <t>Vulkan</t>
        </is>
      </c>
      <c r="F166" s="29" t="inlineStr">
        <is>
          <t>Volcán</t>
        </is>
      </c>
      <c r="G166" s="29">
        <f>B166</f>
        <v/>
      </c>
      <c r="H166" s="29" t="inlineStr">
        <is>
          <t>화산</t>
        </is>
      </c>
      <c r="I166" s="29" t="inlineStr">
        <is>
          <t>火山</t>
        </is>
      </c>
      <c r="J166" s="29">
        <f>I166</f>
        <v/>
      </c>
      <c r="K166" s="29">
        <f>F166</f>
        <v/>
      </c>
    </row>
    <row r="167">
      <c r="A167" s="29">
        <f>CONCATENATE("CATEGORY_",UPPER(Pokemon!B158))</f>
        <v/>
      </c>
      <c r="B167" s="29">
        <f>B166</f>
        <v/>
      </c>
      <c r="C167" s="29">
        <f>C166</f>
        <v/>
      </c>
      <c r="D167" s="29">
        <f>D166</f>
        <v/>
      </c>
      <c r="E167" s="29">
        <f>E166</f>
        <v/>
      </c>
      <c r="F167" s="29">
        <f>F166</f>
        <v/>
      </c>
      <c r="G167" s="29">
        <f>G166</f>
        <v/>
      </c>
      <c r="H167" s="29">
        <f>H166</f>
        <v/>
      </c>
      <c r="I167" s="29">
        <f>I166</f>
        <v/>
      </c>
      <c r="J167" s="29">
        <f>J166</f>
        <v/>
      </c>
      <c r="K167" s="29">
        <f>F167</f>
        <v/>
      </c>
    </row>
    <row r="168">
      <c r="A168" s="29">
        <f>CONCATENATE(A167,"-H")</f>
        <v/>
      </c>
      <c r="B168" s="29" t="inlineStr">
        <is>
          <t>Ghost Flame</t>
        </is>
      </c>
      <c r="C168" s="29" t="inlineStr">
        <is>
          <t>おにび</t>
        </is>
      </c>
      <c r="D168" s="29" t="inlineStr">
        <is>
          <t>Feu Follet</t>
        </is>
      </c>
      <c r="E168" s="29" t="inlineStr">
        <is>
          <t>Irrlicht</t>
        </is>
      </c>
      <c r="F168" s="29" t="inlineStr">
        <is>
          <t>Fuego Fatuo</t>
        </is>
      </c>
      <c r="G168" s="29" t="inlineStr">
        <is>
          <t>Fuocofatuo</t>
        </is>
      </c>
      <c r="H168" s="29" t="inlineStr">
        <is>
          <t>도깨비불</t>
        </is>
      </c>
      <c r="I168" s="29">
        <f>J168</f>
        <v/>
      </c>
      <c r="J168" s="29" t="inlineStr">
        <is>
          <t>鬼火</t>
        </is>
      </c>
      <c r="K168" s="29">
        <f>F168</f>
        <v/>
      </c>
    </row>
    <row r="169">
      <c r="A169" s="29">
        <f>CONCATENATE("CATEGORY_",UPPER(Pokemon!B159))</f>
        <v/>
      </c>
      <c r="B169" s="29" t="inlineStr">
        <is>
          <t>Big Jaw</t>
        </is>
      </c>
      <c r="C169" s="29" t="inlineStr">
        <is>
          <t>おおあご</t>
        </is>
      </c>
      <c r="D169" s="29" t="inlineStr">
        <is>
          <t>Mâchoire</t>
        </is>
      </c>
      <c r="E169" s="29" t="inlineStr">
        <is>
          <t>Großmaul</t>
        </is>
      </c>
      <c r="F169" s="29" t="inlineStr">
        <is>
          <t>Fauces</t>
        </is>
      </c>
      <c r="G169" s="29" t="inlineStr">
        <is>
          <t>Mascellone</t>
        </is>
      </c>
      <c r="H169" s="29" t="inlineStr">
        <is>
          <t>큰턱</t>
        </is>
      </c>
      <c r="I169" s="29" t="inlineStr">
        <is>
          <t>大顎</t>
        </is>
      </c>
      <c r="J169" s="29">
        <f>IFERROR(__xludf.DUMMYFUNCTION("GOOGLETRANSLATE(I169, ""zh_HANT"",""zh_HANS"")"),"大颚")</f>
        <v/>
      </c>
      <c r="K169" s="29">
        <f>F169</f>
        <v/>
      </c>
    </row>
    <row r="170">
      <c r="A170" s="29">
        <f>CONCATENATE("CATEGORY_",UPPER(Pokemon!B160))</f>
        <v/>
      </c>
      <c r="B170" s="29">
        <f>B169</f>
        <v/>
      </c>
      <c r="C170" s="29">
        <f>C169</f>
        <v/>
      </c>
      <c r="D170" s="29">
        <f>D169</f>
        <v/>
      </c>
      <c r="E170" s="29">
        <f>E169</f>
        <v/>
      </c>
      <c r="F170" s="29">
        <f>F169</f>
        <v/>
      </c>
      <c r="G170" s="29">
        <f>G169</f>
        <v/>
      </c>
      <c r="H170" s="29">
        <f>H169</f>
        <v/>
      </c>
      <c r="I170" s="29">
        <f>I169</f>
        <v/>
      </c>
      <c r="J170" s="29">
        <f>J169</f>
        <v/>
      </c>
      <c r="K170" s="29">
        <f>F170</f>
        <v/>
      </c>
    </row>
    <row r="171">
      <c r="A171" s="29">
        <f>CONCATENATE("CATEGORY_",UPPER(Pokemon!B161))</f>
        <v/>
      </c>
      <c r="B171" s="29">
        <f>B169</f>
        <v/>
      </c>
      <c r="C171" s="29">
        <f>C169</f>
        <v/>
      </c>
      <c r="D171" s="29">
        <f>D169</f>
        <v/>
      </c>
      <c r="E171" s="29">
        <f>E169</f>
        <v/>
      </c>
      <c r="F171" s="29">
        <f>F169</f>
        <v/>
      </c>
      <c r="G171" s="29">
        <f>G169</f>
        <v/>
      </c>
      <c r="H171" s="29">
        <f>H169</f>
        <v/>
      </c>
      <c r="I171" s="29">
        <f>I169</f>
        <v/>
      </c>
      <c r="J171" s="29">
        <f>J169</f>
        <v/>
      </c>
      <c r="K171" s="29">
        <f>F171</f>
        <v/>
      </c>
    </row>
    <row r="172">
      <c r="A172" s="29">
        <f>CONCATENATE(A171,"-M")</f>
        <v/>
      </c>
      <c r="B172" s="29" t="inlineStr">
        <is>
          <t>Double Jaw</t>
        </is>
      </c>
      <c r="C172" s="29" t="inlineStr">
        <is>
          <t>にじゅうあご</t>
        </is>
      </c>
      <c r="D172" s="29" t="inlineStr">
        <is>
          <t>Mâmâchoire</t>
        </is>
      </c>
      <c r="E172" s="29" t="inlineStr">
        <is>
          <t>Doppelmaul</t>
        </is>
      </c>
      <c r="F172" s="29">
        <f>CONCATENATE("Dos ", F169)</f>
        <v/>
      </c>
      <c r="G172" s="29" t="inlineStr">
        <is>
          <t>Bimascella</t>
        </is>
      </c>
      <c r="H172" s="29" t="inlineStr">
        <is>
          <t>이중턱</t>
        </is>
      </c>
      <c r="I172" s="29">
        <f>IFERROR(__xludf.DUMMYFUNCTION("GOOGLETRANSLATE(J172,""zh_HANS"",""zh_HANT"")"),"雙顎")</f>
        <v/>
      </c>
      <c r="J172" s="29" t="inlineStr">
        <is>
          <t>双颚</t>
        </is>
      </c>
      <c r="K172" s="29">
        <f>F172</f>
        <v/>
      </c>
    </row>
    <row r="173">
      <c r="A173" s="29">
        <f>CONCATENATE("CATEGORY_",UPPER(Pokemon!B162))</f>
        <v/>
      </c>
      <c r="B173" s="29" t="inlineStr">
        <is>
          <t>Scout</t>
        </is>
      </c>
      <c r="C173" s="29" t="inlineStr">
        <is>
          <t>みはり</t>
        </is>
      </c>
      <c r="D173" s="29" t="inlineStr">
        <is>
          <t>Espion</t>
        </is>
      </c>
      <c r="E173" s="29" t="inlineStr">
        <is>
          <t>Späher</t>
        </is>
      </c>
      <c r="F173" s="29" t="inlineStr">
        <is>
          <t>Explorador</t>
        </is>
      </c>
      <c r="G173" s="29" t="inlineStr">
        <is>
          <t>Esplorante</t>
        </is>
      </c>
      <c r="H173" s="29" t="inlineStr">
        <is>
          <t>망보기</t>
        </is>
      </c>
      <c r="I173" s="29">
        <f>J173</f>
        <v/>
      </c>
      <c r="J173" s="29" t="inlineStr">
        <is>
          <t>放哨</t>
        </is>
      </c>
      <c r="K173" s="29">
        <f>F173</f>
        <v/>
      </c>
    </row>
    <row r="174">
      <c r="A174" s="29">
        <f>CONCATENATE("CATEGORY_",UPPER(Pokemon!B163))</f>
        <v/>
      </c>
      <c r="B174" s="29" t="inlineStr">
        <is>
          <t>Long Body</t>
        </is>
      </c>
      <c r="C174" s="29" t="inlineStr">
        <is>
          <t>どうなが</t>
        </is>
      </c>
      <c r="D174" s="29" t="inlineStr">
        <is>
          <t>Allongé</t>
        </is>
      </c>
      <c r="E174" s="29" t="inlineStr">
        <is>
          <t>Langleib</t>
        </is>
      </c>
      <c r="F174" s="29" t="inlineStr">
        <is>
          <t>Alargado</t>
        </is>
      </c>
      <c r="G174" s="29" t="inlineStr">
        <is>
          <t>Lungocorpo</t>
        </is>
      </c>
      <c r="H174" s="29" t="inlineStr">
        <is>
          <t>긴몸통</t>
        </is>
      </c>
      <c r="I174" s="29" t="inlineStr">
        <is>
          <t>長軀幹</t>
        </is>
      </c>
      <c r="J174" s="29">
        <f>IFERROR(__xludf.DUMMYFUNCTION("GOOGLETRANSLATE(I174, ""zh_HANT"",""zh_HANS"")"),"长躯干")</f>
        <v/>
      </c>
      <c r="K174" s="29">
        <f>F174</f>
        <v/>
      </c>
    </row>
    <row r="175">
      <c r="A175" s="29">
        <f>CONCATENATE("CATEGORY_",UPPER(Pokemon!B164))</f>
        <v/>
      </c>
      <c r="B175" s="29" t="inlineStr">
        <is>
          <t>Owl</t>
        </is>
      </c>
      <c r="C175" s="29" t="inlineStr">
        <is>
          <t>ふくろう</t>
        </is>
      </c>
      <c r="D175" s="29" t="inlineStr">
        <is>
          <t>Hibou</t>
        </is>
      </c>
      <c r="E175" s="29" t="inlineStr">
        <is>
          <t>Eule</t>
        </is>
      </c>
      <c r="F175" s="29" t="inlineStr">
        <is>
          <t>Búho</t>
        </is>
      </c>
      <c r="G175" s="29" t="inlineStr">
        <is>
          <t>Gufo</t>
        </is>
      </c>
      <c r="H175" s="29" t="inlineStr">
        <is>
          <t>부엉이</t>
        </is>
      </c>
      <c r="I175" s="29" t="inlineStr">
        <is>
          <t>貓頭鷹</t>
        </is>
      </c>
      <c r="J175" s="29">
        <f>IFERROR(__xludf.DUMMYFUNCTION("GOOGLETRANSLATE(I175, ""zh_HANT"",""zh_HANS"")"),"猫头鹰")</f>
        <v/>
      </c>
      <c r="K175" s="29">
        <f>F175</f>
        <v/>
      </c>
    </row>
    <row r="176">
      <c r="A176" s="29">
        <f>CONCATENATE("CATEGORY_",UPPER(Pokemon!B165))</f>
        <v/>
      </c>
      <c r="B176" s="29">
        <f>B175</f>
        <v/>
      </c>
      <c r="C176" s="29">
        <f>C175</f>
        <v/>
      </c>
      <c r="D176" s="29">
        <f>D175</f>
        <v/>
      </c>
      <c r="E176" s="29">
        <f>E175</f>
        <v/>
      </c>
      <c r="F176" s="29">
        <f>F175</f>
        <v/>
      </c>
      <c r="G176" s="29">
        <f>G175</f>
        <v/>
      </c>
      <c r="H176" s="29">
        <f>H175</f>
        <v/>
      </c>
      <c r="I176" s="29">
        <f>I175</f>
        <v/>
      </c>
      <c r="J176" s="29">
        <f>J175</f>
        <v/>
      </c>
      <c r="K176" s="29">
        <f>F176</f>
        <v/>
      </c>
    </row>
    <row r="177">
      <c r="A177" s="29">
        <f>CONCATENATE("CATEGORY_",UPPER(Pokemon!B166))</f>
        <v/>
      </c>
      <c r="B177" s="29" t="inlineStr">
        <is>
          <t>Five Star</t>
        </is>
      </c>
      <c r="C177" s="29" t="inlineStr">
        <is>
          <t>いつつぼし</t>
        </is>
      </c>
      <c r="D177" s="29" t="inlineStr">
        <is>
          <t>5 Étoiles</t>
        </is>
      </c>
      <c r="E177" s="29" t="inlineStr">
        <is>
          <t>Fünf-Punkt</t>
        </is>
      </c>
      <c r="F177" s="29" t="inlineStr">
        <is>
          <t>5 Estrellas</t>
        </is>
      </c>
      <c r="G177" s="29" t="inlineStr">
        <is>
          <t>Pentastra</t>
        </is>
      </c>
      <c r="H177" s="29" t="inlineStr">
        <is>
          <t>별다섯</t>
        </is>
      </c>
      <c r="I177" s="29" t="inlineStr">
        <is>
          <t>五星</t>
        </is>
      </c>
      <c r="J177" s="29">
        <f>I177</f>
        <v/>
      </c>
      <c r="K177" s="29">
        <f>F177</f>
        <v/>
      </c>
    </row>
    <row r="178">
      <c r="A178" s="29">
        <f>CONCATENATE("CATEGORY_",UPPER(Pokemon!B167))</f>
        <v/>
      </c>
      <c r="B178" s="29">
        <f>B177</f>
        <v/>
      </c>
      <c r="C178" s="29">
        <f>C177</f>
        <v/>
      </c>
      <c r="D178" s="29">
        <f>D177</f>
        <v/>
      </c>
      <c r="E178" s="29">
        <f>E177</f>
        <v/>
      </c>
      <c r="F178" s="29">
        <f>F177</f>
        <v/>
      </c>
      <c r="G178" s="29">
        <f>G177</f>
        <v/>
      </c>
      <c r="H178" s="29">
        <f>H177</f>
        <v/>
      </c>
      <c r="I178" s="29">
        <f>I177</f>
        <v/>
      </c>
      <c r="J178" s="29">
        <f>J177</f>
        <v/>
      </c>
      <c r="K178" s="29">
        <f>F178</f>
        <v/>
      </c>
    </row>
    <row r="179">
      <c r="A179" s="29">
        <f>CONCATENATE("CATEGORY_",UPPER(Pokemon!B168))</f>
        <v/>
      </c>
      <c r="B179" s="29" t="inlineStr">
        <is>
          <t>String Spit</t>
        </is>
      </c>
      <c r="C179" s="29" t="inlineStr">
        <is>
          <t>いとはき</t>
        </is>
      </c>
      <c r="D179" s="29" t="inlineStr">
        <is>
          <t>Crache-Fil</t>
        </is>
      </c>
      <c r="E179" s="29" t="inlineStr">
        <is>
          <t>Fadenwurf</t>
        </is>
      </c>
      <c r="F179" s="29" t="inlineStr">
        <is>
          <t>Escupesoga</t>
        </is>
      </c>
      <c r="G179" s="29" t="inlineStr">
        <is>
          <t>Tela</t>
        </is>
      </c>
      <c r="H179" s="29" t="inlineStr">
        <is>
          <t>실뿜기</t>
        </is>
      </c>
      <c r="I179" s="29" t="inlineStr">
        <is>
          <t>吐絲</t>
        </is>
      </c>
      <c r="J179" s="29">
        <f>IFERROR(__xludf.DUMMYFUNCTION("GOOGLETRANSLATE(I179, ""zh_HANT"",""zh_HANS"")"),"吐丝")</f>
        <v/>
      </c>
      <c r="K179" s="29">
        <f>F179</f>
        <v/>
      </c>
    </row>
    <row r="180">
      <c r="A180" s="29">
        <f>CONCATENATE("CATEGORY_",UPPER(Pokemon!B169))</f>
        <v/>
      </c>
      <c r="B180" s="29" t="inlineStr">
        <is>
          <t>Long Leg</t>
        </is>
      </c>
      <c r="C180" s="29" t="inlineStr">
        <is>
          <t>あしなが</t>
        </is>
      </c>
      <c r="D180" s="29" t="inlineStr">
        <is>
          <t>Long-Patte</t>
        </is>
      </c>
      <c r="E180" s="29" t="inlineStr">
        <is>
          <t>Langbein</t>
        </is>
      </c>
      <c r="F180" s="29" t="inlineStr">
        <is>
          <t>Pata Larga</t>
        </is>
      </c>
      <c r="G180" s="29" t="inlineStr">
        <is>
          <t>Lungazampa</t>
        </is>
      </c>
      <c r="H180" s="29" t="inlineStr">
        <is>
          <t>롱다리</t>
        </is>
      </c>
      <c r="I180" s="29" t="inlineStr">
        <is>
          <t>長腿</t>
        </is>
      </c>
      <c r="J180" s="29">
        <f>IFERROR(__xludf.DUMMYFUNCTION("GOOGLETRANSLATE(I180, ""zh_HANT"",""zh_HANS"")"),"长腿")</f>
        <v/>
      </c>
      <c r="K180" s="29">
        <f>F180</f>
        <v/>
      </c>
    </row>
    <row r="181">
      <c r="A181" s="29">
        <f>CONCATENATE("CATEGORY_",UPPER(Pokemon!B170))</f>
        <v/>
      </c>
      <c r="B181" s="29">
        <f>B42</f>
        <v/>
      </c>
      <c r="C181" s="29">
        <f>C42</f>
        <v/>
      </c>
      <c r="D181" s="29">
        <f>D42</f>
        <v/>
      </c>
      <c r="E181" s="29">
        <f>E42</f>
        <v/>
      </c>
      <c r="F181" s="29">
        <f>F42</f>
        <v/>
      </c>
      <c r="G181" s="29">
        <f>G42</f>
        <v/>
      </c>
      <c r="H181" s="29">
        <f>H42</f>
        <v/>
      </c>
      <c r="I181" s="29">
        <f>I42</f>
        <v/>
      </c>
      <c r="J181" s="29">
        <f>J42</f>
        <v/>
      </c>
      <c r="K181" s="29">
        <f>F181</f>
        <v/>
      </c>
    </row>
    <row r="182">
      <c r="A182" s="29">
        <f>CONCATENATE("CATEGORY_",UPPER(Pokemon!B171))</f>
        <v/>
      </c>
      <c r="B182" s="29" t="inlineStr">
        <is>
          <t>Angler</t>
        </is>
      </c>
      <c r="C182" s="29" t="inlineStr">
        <is>
          <t>あんこう</t>
        </is>
      </c>
      <c r="D182" s="29" t="inlineStr">
        <is>
          <t>Poisson</t>
        </is>
      </c>
      <c r="E182" s="29">
        <f>B182</f>
        <v/>
      </c>
      <c r="F182" s="29" t="inlineStr">
        <is>
          <t>Rape</t>
        </is>
      </c>
      <c r="G182" s="29" t="inlineStr">
        <is>
          <t>Pescatore</t>
        </is>
      </c>
      <c r="H182" s="29" t="inlineStr">
        <is>
          <t>아귀</t>
        </is>
      </c>
      <c r="I182" s="29" t="inlineStr">
        <is>
          <t>琵琶魚</t>
        </is>
      </c>
      <c r="J182" s="29">
        <f>IFERROR(__xludf.DUMMYFUNCTION("GOOGLETRANSLATE(I182, ""zh_HANT"",""zh_HANS"")"),"琵琶鱼")</f>
        <v/>
      </c>
      <c r="K182" s="29">
        <f>F182</f>
        <v/>
      </c>
    </row>
    <row r="183">
      <c r="A183" s="29">
        <f>CONCATENATE("CATEGORY_",UPPER(Pokemon!B172))</f>
        <v/>
      </c>
      <c r="B183" s="29" t="inlineStr">
        <is>
          <t>Light</t>
        </is>
      </c>
      <c r="C183" s="29" t="inlineStr">
        <is>
          <t>ライト</t>
        </is>
      </c>
      <c r="D183" s="29" t="inlineStr">
        <is>
          <t>Lumière</t>
        </is>
      </c>
      <c r="E183" s="29" t="inlineStr">
        <is>
          <t>Leuchte</t>
        </is>
      </c>
      <c r="F183" s="29" t="inlineStr">
        <is>
          <t>Luz</t>
        </is>
      </c>
      <c r="G183" s="29" t="inlineStr">
        <is>
          <t>Luce</t>
        </is>
      </c>
      <c r="H183" s="29" t="inlineStr">
        <is>
          <t>라이트</t>
        </is>
      </c>
      <c r="I183" s="29" t="inlineStr">
        <is>
          <t>燈</t>
        </is>
      </c>
      <c r="J183" s="29">
        <f>IFERROR(__xludf.DUMMYFUNCTION("GOOGLETRANSLATE(I183, ""zh_HANT"",""zh_HANS"")"),"灯")</f>
        <v/>
      </c>
      <c r="K183" s="29">
        <f>F183</f>
        <v/>
      </c>
    </row>
    <row r="184">
      <c r="A184" s="29">
        <f>CONCATENATE("CATEGORY_",UPPER(Pokemon!B173))</f>
        <v/>
      </c>
      <c r="B184" s="29" t="inlineStr">
        <is>
          <t>Tiny Mouse</t>
        </is>
      </c>
      <c r="C184" s="29" t="inlineStr">
        <is>
          <t>こねずみ</t>
        </is>
      </c>
      <c r="D184" s="29" t="inlineStr">
        <is>
          <t>Minisouris</t>
        </is>
      </c>
      <c r="E184" s="29" t="inlineStr">
        <is>
          <t>Babymaus</t>
        </is>
      </c>
      <c r="F184" s="29" t="inlineStr">
        <is>
          <t>Ratoncito</t>
        </is>
      </c>
      <c r="G184" s="29" t="inlineStr">
        <is>
          <t>Topino</t>
        </is>
      </c>
      <c r="H184" s="29" t="inlineStr">
        <is>
          <t>아기쥐</t>
        </is>
      </c>
      <c r="I184" s="29" t="inlineStr">
        <is>
          <t>小鼠</t>
        </is>
      </c>
      <c r="J184" s="29">
        <f>I184</f>
        <v/>
      </c>
      <c r="K184" s="29">
        <f>F184</f>
        <v/>
      </c>
    </row>
    <row r="185">
      <c r="A185" s="29">
        <f>CONCATENATE("CATEGORY_",UPPER(Pokemon!B174))</f>
        <v/>
      </c>
      <c r="B185" s="29">
        <f>B126</f>
        <v/>
      </c>
      <c r="C185" s="29">
        <f>C126</f>
        <v/>
      </c>
      <c r="D185" s="29">
        <f>D126</f>
        <v/>
      </c>
      <c r="E185" s="29">
        <f>E126</f>
        <v/>
      </c>
      <c r="F185" s="29">
        <f>F126</f>
        <v/>
      </c>
      <c r="G185" s="29">
        <f>G126</f>
        <v/>
      </c>
      <c r="H185" s="29">
        <f>H126</f>
        <v/>
      </c>
      <c r="I185" s="29">
        <f>I126</f>
        <v/>
      </c>
      <c r="J185" s="29">
        <f>J126</f>
        <v/>
      </c>
      <c r="K185" s="29">
        <f>F185</f>
        <v/>
      </c>
    </row>
    <row r="186">
      <c r="A186" s="29">
        <f>CONCATENATE("CATEGORY_",UPPER(Pokemon!B175))</f>
        <v/>
      </c>
      <c r="B186" s="29">
        <f>B40</f>
        <v/>
      </c>
      <c r="C186" s="29">
        <f>C40</f>
        <v/>
      </c>
      <c r="D186" s="29">
        <f>D40</f>
        <v/>
      </c>
      <c r="E186" s="29">
        <f>E40</f>
        <v/>
      </c>
      <c r="F186" s="29">
        <f>F40</f>
        <v/>
      </c>
      <c r="G186" s="29">
        <f>G40</f>
        <v/>
      </c>
      <c r="H186" s="29">
        <f>H40</f>
        <v/>
      </c>
      <c r="I186" s="29">
        <f>I40</f>
        <v/>
      </c>
      <c r="J186" s="29">
        <f>J40</f>
        <v/>
      </c>
      <c r="K186" s="29">
        <f>F186</f>
        <v/>
      </c>
    </row>
    <row r="187">
      <c r="A187" s="29">
        <f>CONCATENATE("CATEGORY_",UPPER(Pokemon!B176))</f>
        <v/>
      </c>
      <c r="B187" s="29" t="inlineStr">
        <is>
          <t>Spike Ball</t>
        </is>
      </c>
      <c r="C187" s="29" t="inlineStr">
        <is>
          <t>はりたま</t>
        </is>
      </c>
      <c r="D187" s="29" t="inlineStr">
        <is>
          <t>Balle Pic</t>
        </is>
      </c>
      <c r="E187" s="29" t="inlineStr">
        <is>
          <t>Zackenball</t>
        </is>
      </c>
      <c r="F187" s="29" t="inlineStr">
        <is>
          <t>Bolaclavos</t>
        </is>
      </c>
      <c r="G187" s="29" t="inlineStr">
        <is>
          <t>Pallapunte</t>
        </is>
      </c>
      <c r="H187" s="29" t="inlineStr">
        <is>
          <t>바늘알</t>
        </is>
      </c>
      <c r="I187" s="29" t="inlineStr">
        <is>
          <t>針球</t>
        </is>
      </c>
      <c r="J187" s="29">
        <f>IFERROR(__xludf.DUMMYFUNCTION("GOOGLETRANSLATE(I187, ""zh_HANT"",""zh_HANS"")"),"针球")</f>
        <v/>
      </c>
      <c r="K187" s="29">
        <f>F187</f>
        <v/>
      </c>
    </row>
    <row r="188">
      <c r="A188" s="29">
        <f>CONCATENATE("CATEGORY_",UPPER(Pokemon!B177))</f>
        <v/>
      </c>
      <c r="B188" s="29" t="inlineStr">
        <is>
          <t>Happiness</t>
        </is>
      </c>
      <c r="C188" s="29" t="inlineStr">
        <is>
          <t>しあわせ</t>
        </is>
      </c>
      <c r="D188" s="29" t="inlineStr">
        <is>
          <t>Bonheur</t>
        </is>
      </c>
      <c r="E188" s="29" t="inlineStr">
        <is>
          <t>Freude</t>
        </is>
      </c>
      <c r="F188" s="29" t="inlineStr">
        <is>
          <t>Felicidad</t>
        </is>
      </c>
      <c r="G188" s="29" t="inlineStr">
        <is>
          <t>Felicità</t>
        </is>
      </c>
      <c r="H188" s="29" t="inlineStr">
        <is>
          <t>행복</t>
        </is>
      </c>
      <c r="I188" s="29" t="inlineStr">
        <is>
          <t>幸福</t>
        </is>
      </c>
      <c r="J188" s="29">
        <f>I188</f>
        <v/>
      </c>
      <c r="K188" s="29">
        <f>F188</f>
        <v/>
      </c>
    </row>
    <row r="189">
      <c r="A189" s="29">
        <f>CONCATENATE("CATEGORY_",UPPER(Pokemon!B178))</f>
        <v/>
      </c>
      <c r="B189" s="29">
        <f>B17</f>
        <v/>
      </c>
      <c r="C189" s="29">
        <f>C17</f>
        <v/>
      </c>
      <c r="D189" s="29">
        <f>D17</f>
        <v/>
      </c>
      <c r="E189" s="29">
        <f>E17</f>
        <v/>
      </c>
      <c r="F189" s="29">
        <f>F17</f>
        <v/>
      </c>
      <c r="G189" s="29">
        <f>G17</f>
        <v/>
      </c>
      <c r="H189" s="29">
        <f>H17</f>
        <v/>
      </c>
      <c r="I189" s="29">
        <f>I17</f>
        <v/>
      </c>
      <c r="J189" s="29">
        <f>J17</f>
        <v/>
      </c>
      <c r="K189" s="29">
        <f>F189</f>
        <v/>
      </c>
    </row>
    <row r="190">
      <c r="A190" s="29">
        <f>CONCATENATE("CATEGORY_",UPPER(Pokemon!B179))</f>
        <v/>
      </c>
      <c r="B190" s="29" t="inlineStr">
        <is>
          <t>Mystic</t>
        </is>
      </c>
      <c r="C190" s="29" t="inlineStr">
        <is>
          <t>せいれい</t>
        </is>
      </c>
      <c r="D190" s="29" t="inlineStr">
        <is>
          <t>Mystique</t>
        </is>
      </c>
      <c r="E190" s="29" t="inlineStr">
        <is>
          <t>Mystik</t>
        </is>
      </c>
      <c r="F190" s="29" t="inlineStr">
        <is>
          <t>Místico</t>
        </is>
      </c>
      <c r="G190" s="29" t="inlineStr">
        <is>
          <t>Magico</t>
        </is>
      </c>
      <c r="H190" s="29" t="inlineStr">
        <is>
          <t>정령</t>
        </is>
      </c>
      <c r="I190" s="29" t="inlineStr">
        <is>
          <t>神秘</t>
        </is>
      </c>
      <c r="J190" s="29">
        <f>I190</f>
        <v/>
      </c>
      <c r="K190" s="29">
        <f>F190</f>
        <v/>
      </c>
    </row>
    <row r="191">
      <c r="A191" s="29">
        <f>CONCATENATE("CATEGORY_",UPPER(Pokemon!B180))</f>
        <v/>
      </c>
      <c r="B191" s="29" t="inlineStr">
        <is>
          <t>Wool</t>
        </is>
      </c>
      <c r="C191" s="29" t="inlineStr">
        <is>
          <t>わたげ</t>
        </is>
      </c>
      <c r="D191" s="29" t="inlineStr">
        <is>
          <t>Laine</t>
        </is>
      </c>
      <c r="E191" s="29" t="inlineStr">
        <is>
          <t>Wolle</t>
        </is>
      </c>
      <c r="F191" s="29" t="inlineStr">
        <is>
          <t>Lana</t>
        </is>
      </c>
      <c r="G191" s="29">
        <f>F191</f>
        <v/>
      </c>
      <c r="H191" s="29" t="inlineStr">
        <is>
          <t>솜털</t>
        </is>
      </c>
      <c r="I191" s="29" t="inlineStr">
        <is>
          <t>綿毛</t>
        </is>
      </c>
      <c r="J191" s="29">
        <f>IFERROR(__xludf.DUMMYFUNCTION("GOOGLETRANSLATE(I191, ""zh_HANT"",""zh_HANS"")"),"绵毛")</f>
        <v/>
      </c>
      <c r="K191" s="29">
        <f>F191</f>
        <v/>
      </c>
    </row>
    <row r="192">
      <c r="A192" s="29">
        <f>CONCATENATE("CATEGORY_",UPPER(Pokemon!B181))</f>
        <v/>
      </c>
      <c r="B192" s="29">
        <f>B191</f>
        <v/>
      </c>
      <c r="C192" s="29">
        <f>C191</f>
        <v/>
      </c>
      <c r="D192" s="29">
        <f>D191</f>
        <v/>
      </c>
      <c r="E192" s="29">
        <f>E191</f>
        <v/>
      </c>
      <c r="F192" s="29">
        <f>F191</f>
        <v/>
      </c>
      <c r="G192" s="29">
        <f>G191</f>
        <v/>
      </c>
      <c r="H192" s="29">
        <f>H191</f>
        <v/>
      </c>
      <c r="I192" s="29">
        <f>I191</f>
        <v/>
      </c>
      <c r="J192" s="29">
        <f>J191</f>
        <v/>
      </c>
      <c r="K192" s="29">
        <f>F192</f>
        <v/>
      </c>
    </row>
    <row r="193">
      <c r="A193" s="29">
        <f>CONCATENATE("CATEGORY_",UPPER(Pokemon!B182))</f>
        <v/>
      </c>
      <c r="B193" s="29">
        <f>B183</f>
        <v/>
      </c>
      <c r="C193" s="29">
        <f>C183</f>
        <v/>
      </c>
      <c r="D193" s="29">
        <f>D183</f>
        <v/>
      </c>
      <c r="E193" s="29">
        <f>E183</f>
        <v/>
      </c>
      <c r="F193" s="29">
        <f>F183</f>
        <v/>
      </c>
      <c r="G193" s="29">
        <f>G183</f>
        <v/>
      </c>
      <c r="H193" s="29">
        <f>H183</f>
        <v/>
      </c>
      <c r="I193" s="29">
        <f>I183</f>
        <v/>
      </c>
      <c r="J193" s="29">
        <f>J183</f>
        <v/>
      </c>
      <c r="K193" s="29">
        <f>F193</f>
        <v/>
      </c>
    </row>
    <row r="194">
      <c r="A194" s="29">
        <f>CONCATENATE("CATEGORY_",UPPER(Pokemon!B183))</f>
        <v/>
      </c>
      <c r="B194" s="29">
        <f>B46</f>
        <v/>
      </c>
      <c r="C194" s="29">
        <f>C46</f>
        <v/>
      </c>
      <c r="D194" s="29">
        <f>D46</f>
        <v/>
      </c>
      <c r="E194" s="29">
        <f>E46</f>
        <v/>
      </c>
      <c r="F194" s="29">
        <f>F46</f>
        <v/>
      </c>
      <c r="G194" s="29">
        <f>G46</f>
        <v/>
      </c>
      <c r="H194" s="29">
        <f>H46</f>
        <v/>
      </c>
      <c r="I194" s="29">
        <f>I46</f>
        <v/>
      </c>
      <c r="J194" s="29">
        <f>J46</f>
        <v/>
      </c>
      <c r="K194" s="29">
        <f>F194</f>
        <v/>
      </c>
    </row>
    <row r="195">
      <c r="A195" s="29">
        <f>CONCATENATE("CATEGORY_",UPPER(Pokemon!B184))</f>
        <v/>
      </c>
      <c r="B195" s="29" t="inlineStr">
        <is>
          <t>Aqua Mouse</t>
        </is>
      </c>
      <c r="C195" s="29" t="inlineStr">
        <is>
          <t>みずねずみ</t>
        </is>
      </c>
      <c r="D195" s="29" t="inlineStr">
        <is>
          <t>Aquasouris</t>
        </is>
      </c>
      <c r="E195" s="29" t="inlineStr">
        <is>
          <t>Aquamaus</t>
        </is>
      </c>
      <c r="F195" s="29" t="inlineStr">
        <is>
          <t>Ratón Agua</t>
        </is>
      </c>
      <c r="G195" s="29" t="inlineStr">
        <is>
          <t>Acquatopo</t>
        </is>
      </c>
      <c r="H195" s="29" t="inlineStr">
        <is>
          <t>물쥐</t>
        </is>
      </c>
      <c r="I195" s="29" t="inlineStr">
        <is>
          <t>水鼠</t>
        </is>
      </c>
      <c r="J195" s="29">
        <f>I195</f>
        <v/>
      </c>
      <c r="K195" s="29">
        <f>F195</f>
        <v/>
      </c>
    </row>
    <row r="196">
      <c r="A196" s="29">
        <f>CONCATENATE("CATEGORY_",UPPER(Pokemon!B185))</f>
        <v/>
      </c>
      <c r="B196" s="29" t="inlineStr">
        <is>
          <t>Aqua Rabbit</t>
        </is>
      </c>
      <c r="C196" s="29" t="inlineStr">
        <is>
          <t>みずうさぎ</t>
        </is>
      </c>
      <c r="D196" s="29" t="inlineStr">
        <is>
          <t>Aqualapin</t>
        </is>
      </c>
      <c r="E196" s="29" t="inlineStr">
        <is>
          <t>Aquahase</t>
        </is>
      </c>
      <c r="F196" s="29" t="inlineStr">
        <is>
          <t>Conejo Agua</t>
        </is>
      </c>
      <c r="G196" s="29" t="inlineStr">
        <is>
          <t>Acquaniglio</t>
        </is>
      </c>
      <c r="H196" s="29" t="inlineStr">
        <is>
          <t>물토끼</t>
        </is>
      </c>
      <c r="I196" s="29" t="inlineStr">
        <is>
          <t>水兔</t>
        </is>
      </c>
      <c r="J196" s="29">
        <f>I196</f>
        <v/>
      </c>
      <c r="K196" s="29">
        <f>F196</f>
        <v/>
      </c>
    </row>
    <row r="197">
      <c r="A197" s="29">
        <f>CONCATENATE("CATEGORY_",UPPER(Pokemon!B186))</f>
        <v/>
      </c>
      <c r="B197" s="29" t="inlineStr">
        <is>
          <t>Imitation</t>
        </is>
      </c>
      <c r="C197" s="29" t="inlineStr">
        <is>
          <t>まね</t>
        </is>
      </c>
      <c r="D197" s="29" t="inlineStr">
        <is>
          <t>Imitation</t>
        </is>
      </c>
      <c r="E197" s="29">
        <f>B197</f>
        <v/>
      </c>
      <c r="F197" s="29" t="inlineStr">
        <is>
          <t>Imitación</t>
        </is>
      </c>
      <c r="G197" s="29" t="inlineStr">
        <is>
          <t>Imitazione</t>
        </is>
      </c>
      <c r="H197" s="29" t="inlineStr">
        <is>
          <t>흉내</t>
        </is>
      </c>
      <c r="I197" s="29" t="inlineStr">
        <is>
          <t>模仿</t>
        </is>
      </c>
      <c r="J197" s="29">
        <f>I197</f>
        <v/>
      </c>
      <c r="K197" s="29">
        <f>F197</f>
        <v/>
      </c>
    </row>
    <row r="198">
      <c r="A198" s="29">
        <f>CONCATENATE("CATEGORY_",UPPER(Pokemon!B187))</f>
        <v/>
      </c>
      <c r="B198" s="29" t="inlineStr">
        <is>
          <t>Frog</t>
        </is>
      </c>
      <c r="C198" s="29" t="inlineStr">
        <is>
          <t>かえる</t>
        </is>
      </c>
      <c r="D198" s="29" t="inlineStr">
        <is>
          <t>Grenouille</t>
        </is>
      </c>
      <c r="E198" s="29" t="inlineStr">
        <is>
          <t>Frosch</t>
        </is>
      </c>
      <c r="F198" s="29" t="inlineStr">
        <is>
          <t>Rana</t>
        </is>
      </c>
      <c r="G198" s="29">
        <f>F198</f>
        <v/>
      </c>
      <c r="H198" s="29" t="inlineStr">
        <is>
          <t>개구리</t>
        </is>
      </c>
      <c r="I198" s="29" t="inlineStr">
        <is>
          <t>蛙</t>
        </is>
      </c>
      <c r="J198" s="29">
        <f>I198</f>
        <v/>
      </c>
      <c r="K198" s="29">
        <f>F198</f>
        <v/>
      </c>
    </row>
    <row r="199">
      <c r="A199" s="29">
        <f>CONCATENATE("CATEGORY_",UPPER(Pokemon!B188))</f>
        <v/>
      </c>
      <c r="B199" s="29" t="inlineStr">
        <is>
          <t>Cottonweed</t>
        </is>
      </c>
      <c r="C199" s="29" t="inlineStr">
        <is>
          <t>わたくさ</t>
        </is>
      </c>
      <c r="D199" s="29" t="inlineStr">
        <is>
          <t>Pissenlit</t>
        </is>
      </c>
      <c r="E199" s="29" t="inlineStr">
        <is>
          <t>Löwenzahn</t>
        </is>
      </c>
      <c r="F199" s="29" t="inlineStr">
        <is>
          <t>Algadón</t>
        </is>
      </c>
      <c r="G199" s="29" t="inlineStr">
        <is>
          <t>Gramigna</t>
        </is>
      </c>
      <c r="H199" s="29" t="inlineStr">
        <is>
          <t>솜풀</t>
        </is>
      </c>
      <c r="I199" s="29" t="inlineStr">
        <is>
          <t>棉草</t>
        </is>
      </c>
      <c r="J199" s="29">
        <f>I199</f>
        <v/>
      </c>
      <c r="K199" s="29">
        <f>F199</f>
        <v/>
      </c>
    </row>
    <row r="200">
      <c r="A200" s="29">
        <f>CONCATENATE("CATEGORY_",UPPER(Pokemon!B189))</f>
        <v/>
      </c>
      <c r="B200" s="29">
        <f>B199</f>
        <v/>
      </c>
      <c r="C200" s="29">
        <f>C199</f>
        <v/>
      </c>
      <c r="D200" s="29">
        <f>D199</f>
        <v/>
      </c>
      <c r="E200" s="29">
        <f>E199</f>
        <v/>
      </c>
      <c r="F200" s="29">
        <f>F199</f>
        <v/>
      </c>
      <c r="G200" s="29">
        <f>G199</f>
        <v/>
      </c>
      <c r="H200" s="29">
        <f>H199</f>
        <v/>
      </c>
      <c r="I200" s="29">
        <f>I199</f>
        <v/>
      </c>
      <c r="J200" s="29">
        <f>J199</f>
        <v/>
      </c>
      <c r="K200" s="29">
        <f>F200</f>
        <v/>
      </c>
    </row>
    <row r="201">
      <c r="A201" s="29">
        <f>CONCATENATE("CATEGORY_",UPPER(Pokemon!B190))</f>
        <v/>
      </c>
      <c r="B201" s="29">
        <f>B199</f>
        <v/>
      </c>
      <c r="C201" s="29">
        <f>C199</f>
        <v/>
      </c>
      <c r="D201" s="29">
        <f>D199</f>
        <v/>
      </c>
      <c r="E201" s="29">
        <f>E199</f>
        <v/>
      </c>
      <c r="F201" s="29">
        <f>F199</f>
        <v/>
      </c>
      <c r="G201" s="29">
        <f>G199</f>
        <v/>
      </c>
      <c r="H201" s="29">
        <f>H199</f>
        <v/>
      </c>
      <c r="I201" s="29">
        <f>I199</f>
        <v/>
      </c>
      <c r="J201" s="29">
        <f>J199</f>
        <v/>
      </c>
      <c r="K201" s="29">
        <f>F201</f>
        <v/>
      </c>
    </row>
    <row r="202">
      <c r="A202" s="29">
        <f>CONCATENATE("CATEGORY_",UPPER(Pokemon!B191))</f>
        <v/>
      </c>
      <c r="B202" s="29" t="inlineStr">
        <is>
          <t>Long Tail</t>
        </is>
      </c>
      <c r="C202" s="29" t="inlineStr">
        <is>
          <t>おなが</t>
        </is>
      </c>
      <c r="D202" s="29" t="inlineStr">
        <is>
          <t>Longqueue</t>
        </is>
      </c>
      <c r="E202" s="29" t="inlineStr">
        <is>
          <t>Langschweif</t>
        </is>
      </c>
      <c r="F202" s="29" t="inlineStr">
        <is>
          <t>Cola Larga</t>
        </is>
      </c>
      <c r="G202" s="29" t="inlineStr">
        <is>
          <t>Lungacoda</t>
        </is>
      </c>
      <c r="H202" s="29" t="inlineStr">
        <is>
          <t>긴꼬리</t>
        </is>
      </c>
      <c r="I202" s="29" t="inlineStr">
        <is>
          <t>長尾</t>
        </is>
      </c>
      <c r="J202" s="29">
        <f>IFERROR(__xludf.DUMMYFUNCTION("GOOGLETRANSLATE(I202, ""zh_HANT"",""zh_HANS"")"),"长尾")</f>
        <v/>
      </c>
      <c r="K202" s="29">
        <f>F202</f>
        <v/>
      </c>
    </row>
    <row r="203">
      <c r="A203" s="29">
        <f>CONCATENATE("CATEGORY_",UPPER(Pokemon!B192))</f>
        <v/>
      </c>
      <c r="B203" s="29">
        <f>B2</f>
        <v/>
      </c>
      <c r="C203" s="29">
        <f>C2</f>
        <v/>
      </c>
      <c r="D203" s="29">
        <f>D2</f>
        <v/>
      </c>
      <c r="E203" s="29">
        <f>E2</f>
        <v/>
      </c>
      <c r="F203" s="29">
        <f>F2</f>
        <v/>
      </c>
      <c r="G203" s="29">
        <f>G2</f>
        <v/>
      </c>
      <c r="H203" s="29">
        <f>H2</f>
        <v/>
      </c>
      <c r="I203" s="29">
        <f>I2</f>
        <v/>
      </c>
      <c r="J203" s="29">
        <f>J2</f>
        <v/>
      </c>
      <c r="K203" s="29">
        <f>F203</f>
        <v/>
      </c>
    </row>
    <row r="204">
      <c r="A204" s="29">
        <f>CONCATENATE("CATEGORY_",UPPER(Pokemon!B193))</f>
        <v/>
      </c>
      <c r="B204" s="29" t="inlineStr">
        <is>
          <t>Sun</t>
        </is>
      </c>
      <c r="C204" s="29" t="inlineStr">
        <is>
          <t>たいよう</t>
        </is>
      </c>
      <c r="D204" s="29" t="inlineStr">
        <is>
          <t>Soleil</t>
        </is>
      </c>
      <c r="E204" s="29" t="inlineStr">
        <is>
          <t>Sonne</t>
        </is>
      </c>
      <c r="F204" s="29" t="inlineStr">
        <is>
          <t>Sol</t>
        </is>
      </c>
      <c r="G204" s="29" t="inlineStr">
        <is>
          <t>Sole</t>
        </is>
      </c>
      <c r="H204" s="29" t="inlineStr">
        <is>
          <t>태양</t>
        </is>
      </c>
      <c r="I204" s="29" t="inlineStr">
        <is>
          <t>太陽</t>
        </is>
      </c>
      <c r="J204" s="29">
        <f>IFERROR(__xludf.DUMMYFUNCTION("GOOGLETRANSLATE(I204, ""zh_HANT"",""zh_HANS"")"),"太阳")</f>
        <v/>
      </c>
      <c r="K204" s="29">
        <f>F204</f>
        <v/>
      </c>
    </row>
    <row r="205">
      <c r="A205" s="29">
        <f>CONCATENATE("CATEGORY_",UPPER(Pokemon!B194))</f>
        <v/>
      </c>
      <c r="B205" s="29" t="inlineStr">
        <is>
          <t>Clear Wing</t>
        </is>
      </c>
      <c r="C205" s="29" t="inlineStr">
        <is>
          <t>うすばね</t>
        </is>
      </c>
      <c r="D205" s="29" t="inlineStr">
        <is>
          <t>Translaile</t>
        </is>
      </c>
      <c r="E205" s="29" t="inlineStr">
        <is>
          <t>Libelle</t>
        </is>
      </c>
      <c r="F205" s="29" t="inlineStr">
        <is>
          <t>Ala Clara</t>
        </is>
      </c>
      <c r="G205" s="29" t="inlineStr">
        <is>
          <t>Alachiara</t>
        </is>
      </c>
      <c r="H205" s="29" t="inlineStr">
        <is>
          <t>얇은날개</t>
        </is>
      </c>
      <c r="I205" s="29" t="inlineStr">
        <is>
          <t>薄翼</t>
        </is>
      </c>
      <c r="J205" s="29">
        <f>I205</f>
        <v/>
      </c>
      <c r="K205" s="29">
        <f>F205</f>
        <v/>
      </c>
    </row>
    <row r="206">
      <c r="A206" s="29">
        <f>CONCATENATE("CATEGORY_",UPPER(Pokemon!B195))</f>
        <v/>
      </c>
      <c r="B206" s="29" t="inlineStr">
        <is>
          <t>Water Fish</t>
        </is>
      </c>
      <c r="C206" s="29" t="inlineStr">
        <is>
          <t>みずうお</t>
        </is>
      </c>
      <c r="D206" s="29">
        <f>D136</f>
        <v/>
      </c>
      <c r="E206" s="29">
        <f>E136</f>
        <v/>
      </c>
      <c r="F206" s="29" t="inlineStr">
        <is>
          <t>Pez Agua</t>
        </is>
      </c>
      <c r="G206" s="29" t="inlineStr">
        <is>
          <t>Acquapesce</t>
        </is>
      </c>
      <c r="H206" s="29" t="inlineStr">
        <is>
          <t>수어</t>
        </is>
      </c>
      <c r="I206" s="29" t="inlineStr">
        <is>
          <t>水魚</t>
        </is>
      </c>
      <c r="J206" s="29">
        <f>IFERROR(__xludf.DUMMYFUNCTION("GOOGLETRANSLATE(I206, ""zh_HANT"",""zh_HANS"")"),"水鱼")</f>
        <v/>
      </c>
      <c r="K206" s="29">
        <f>F206</f>
        <v/>
      </c>
    </row>
    <row r="207">
      <c r="A207" s="29">
        <f>CONCATENATE(A206,"-P")</f>
        <v/>
      </c>
      <c r="B207" s="29" t="inlineStr">
        <is>
          <t>Poison Fish</t>
        </is>
      </c>
      <c r="C207" s="29" t="inlineStr">
        <is>
          <t>どくうお</t>
        </is>
      </c>
      <c r="D207" s="29" t="inlineStr">
        <is>
          <t>Poizzon</t>
        </is>
      </c>
      <c r="E207" s="29" t="inlineStr">
        <is>
          <t>Giftfisch</t>
        </is>
      </c>
      <c r="F207" s="29" t="inlineStr">
        <is>
          <t>Pez Veneno</t>
        </is>
      </c>
      <c r="G207" s="29" t="inlineStr">
        <is>
          <t>Velenpesce</t>
        </is>
      </c>
      <c r="H207" s="29" t="inlineStr">
        <is>
          <t>독물고기</t>
        </is>
      </c>
      <c r="I207" s="29" t="inlineStr">
        <is>
          <t>毒魚</t>
        </is>
      </c>
      <c r="J207" s="29">
        <f>IFERROR(__xludf.DUMMYFUNCTION("GOOGLETRANSLATE(I207, ""zh_HANT"",""zh_HANS"")"),"毒鱼")</f>
        <v/>
      </c>
      <c r="K207" s="29">
        <f>F207</f>
        <v/>
      </c>
    </row>
    <row r="208">
      <c r="A208" s="29">
        <f>CONCATENATE("CATEGORY_",UPPER(Pokemon!B196))</f>
        <v/>
      </c>
      <c r="B208" s="29">
        <f>B206</f>
        <v/>
      </c>
      <c r="C208" s="29">
        <f>C206</f>
        <v/>
      </c>
      <c r="D208" s="29">
        <f>D206</f>
        <v/>
      </c>
      <c r="E208" s="29">
        <f>E206</f>
        <v/>
      </c>
      <c r="F208" s="29">
        <f>F206</f>
        <v/>
      </c>
      <c r="G208" s="29">
        <f>G206</f>
        <v/>
      </c>
      <c r="H208" s="29">
        <f>H206</f>
        <v/>
      </c>
      <c r="I208" s="29">
        <f>I206</f>
        <v/>
      </c>
      <c r="J208" s="29">
        <f>J206</f>
        <v/>
      </c>
      <c r="K208" s="29">
        <f>F208</f>
        <v/>
      </c>
    </row>
    <row r="209">
      <c r="A209" s="29">
        <f>CONCATENATE("CATEGORY_",UPPER(Pokemon!B197))</f>
        <v/>
      </c>
      <c r="B209" s="29">
        <f>B204</f>
        <v/>
      </c>
      <c r="C209" s="29">
        <f>C204</f>
        <v/>
      </c>
      <c r="D209" s="29">
        <f>D204</f>
        <v/>
      </c>
      <c r="E209" s="29">
        <f>E204</f>
        <v/>
      </c>
      <c r="F209" s="29">
        <f>F204</f>
        <v/>
      </c>
      <c r="G209" s="29">
        <f>G204</f>
        <v/>
      </c>
      <c r="H209" s="29">
        <f>H204</f>
        <v/>
      </c>
      <c r="I209" s="29">
        <f>I204</f>
        <v/>
      </c>
      <c r="J209" s="29">
        <f>J204</f>
        <v/>
      </c>
      <c r="K209" s="29">
        <f>F209</f>
        <v/>
      </c>
    </row>
    <row r="210">
      <c r="A210" s="29">
        <f>CONCATENATE("CATEGORY_",UPPER(Pokemon!B198))</f>
        <v/>
      </c>
      <c r="B210" s="29" t="inlineStr">
        <is>
          <t>Moonlight</t>
        </is>
      </c>
      <c r="C210" s="29" t="inlineStr">
        <is>
          <t>げっこう</t>
        </is>
      </c>
      <c r="D210" s="29" t="inlineStr">
        <is>
          <t>Lune</t>
        </is>
      </c>
      <c r="E210" s="29" t="inlineStr">
        <is>
          <t>Mondschein</t>
        </is>
      </c>
      <c r="F210" s="29" t="inlineStr">
        <is>
          <t>Luz Lunar</t>
        </is>
      </c>
      <c r="G210" s="29" t="inlineStr">
        <is>
          <t>Lucelunare</t>
        </is>
      </c>
      <c r="H210" s="29" t="inlineStr">
        <is>
          <t>달빛</t>
        </is>
      </c>
      <c r="I210" s="29" t="inlineStr">
        <is>
          <t>月光</t>
        </is>
      </c>
      <c r="J210" s="29">
        <f>I210</f>
        <v/>
      </c>
      <c r="K210" s="29">
        <f>F210</f>
        <v/>
      </c>
    </row>
    <row r="211">
      <c r="A211" s="29">
        <f>CONCATENATE("CATEGORY_",UPPER(Pokemon!B199))</f>
        <v/>
      </c>
      <c r="B211" s="29" t="inlineStr">
        <is>
          <t>Darkness</t>
        </is>
      </c>
      <c r="C211" s="29" t="inlineStr">
        <is>
          <t>くらやみ</t>
        </is>
      </c>
      <c r="D211" s="29" t="inlineStr">
        <is>
          <t>Obscurité</t>
        </is>
      </c>
      <c r="E211" s="29" t="inlineStr">
        <is>
          <t>Finsternis</t>
        </is>
      </c>
      <c r="F211" s="29" t="inlineStr">
        <is>
          <t>Oscuridad</t>
        </is>
      </c>
      <c r="G211" s="29" t="inlineStr">
        <is>
          <t>Oscurità</t>
        </is>
      </c>
      <c r="H211" s="29" t="inlineStr">
        <is>
          <t>어둠</t>
        </is>
      </c>
      <c r="I211" s="29" t="inlineStr">
        <is>
          <t>黑暗</t>
        </is>
      </c>
      <c r="J211" s="29">
        <f>I211</f>
        <v/>
      </c>
      <c r="K211" s="29">
        <f>F211</f>
        <v/>
      </c>
    </row>
    <row r="212">
      <c r="A212" s="29">
        <f>CONCATENATE("CATEGORY_",UPPER(Pokemon!B200))</f>
        <v/>
      </c>
      <c r="B212" s="29" t="inlineStr">
        <is>
          <t>Royal</t>
        </is>
      </c>
      <c r="C212" s="29" t="inlineStr">
        <is>
          <t>おうじゃ</t>
        </is>
      </c>
      <c r="D212" s="29" t="inlineStr">
        <is>
          <t>Royal</t>
        </is>
      </c>
      <c r="E212" s="29" t="inlineStr">
        <is>
          <t>Monarch</t>
        </is>
      </c>
      <c r="F212" s="29" t="inlineStr">
        <is>
          <t>Regio</t>
        </is>
      </c>
      <c r="G212" s="29" t="inlineStr">
        <is>
          <t>Reale</t>
        </is>
      </c>
      <c r="H212" s="29" t="inlineStr">
        <is>
          <t>임금</t>
        </is>
      </c>
      <c r="I212" s="29" t="inlineStr">
        <is>
          <t>王者</t>
        </is>
      </c>
      <c r="J212" s="29">
        <f>I212</f>
        <v/>
      </c>
      <c r="K212" s="29">
        <f>F212</f>
        <v/>
      </c>
    </row>
    <row r="213">
      <c r="A213" s="29">
        <f>CONCATENATE(A212,"-G")</f>
        <v/>
      </c>
      <c r="B213" s="29" t="inlineStr">
        <is>
          <t>Hexpert</t>
        </is>
      </c>
      <c r="C213" s="29" t="inlineStr">
        <is>
          <t>じゅじゅつし</t>
        </is>
      </c>
      <c r="D213" s="29" t="inlineStr">
        <is>
          <t>Ensorceleur</t>
        </is>
      </c>
      <c r="E213" s="29" t="inlineStr">
        <is>
          <t>Hexenmeister</t>
        </is>
      </c>
      <c r="F213" s="29" t="inlineStr">
        <is>
          <t>Chamán</t>
        </is>
      </c>
      <c r="G213" s="29" t="inlineStr">
        <is>
          <t>Stregone</t>
        </is>
      </c>
      <c r="H213" s="29" t="inlineStr">
        <is>
          <t>술사</t>
        </is>
      </c>
      <c r="I213" s="29">
        <f>IFERROR(__xludf.DUMMYFUNCTION("GOOGLETRANSLATE(J213,""zh_HANS"",""zh_HANT"")"),"詛咒師")</f>
        <v/>
      </c>
      <c r="J213" s="29" t="inlineStr">
        <is>
          <t>诅咒师</t>
        </is>
      </c>
      <c r="K213" s="29">
        <f>F213</f>
        <v/>
      </c>
    </row>
    <row r="214">
      <c r="A214" s="29">
        <f>CONCATENATE("CATEGORY_",UPPER(Pokemon!B201))</f>
        <v/>
      </c>
      <c r="B214" s="29">
        <f>Moves!B104</f>
        <v/>
      </c>
      <c r="C214" s="29" t="inlineStr">
        <is>
          <t>よなき</t>
        </is>
      </c>
      <c r="D214" s="29" t="inlineStr">
        <is>
          <t>Strident</t>
        </is>
      </c>
      <c r="E214" s="29" t="inlineStr">
        <is>
          <t>Kreischer</t>
        </is>
      </c>
      <c r="F214" s="29">
        <f>Moves!F104</f>
        <v/>
      </c>
      <c r="G214" s="29">
        <f>Moves!G104</f>
        <v/>
      </c>
      <c r="H214" s="29" t="inlineStr">
        <is>
          <t>야명</t>
        </is>
      </c>
      <c r="I214" s="29" t="inlineStr">
        <is>
          <t>夜啼</t>
        </is>
      </c>
      <c r="J214" s="29">
        <f>I214</f>
        <v/>
      </c>
      <c r="K214" s="29">
        <f>F214</f>
        <v/>
      </c>
    </row>
    <row r="215">
      <c r="A215" s="29">
        <f>CONCATENATE("CATEGORY_",UPPER(Pokemon!B202))</f>
        <v/>
      </c>
      <c r="B215" s="29" t="inlineStr">
        <is>
          <t>Symbol</t>
        </is>
      </c>
      <c r="C215" s="29" t="inlineStr">
        <is>
          <t>シンボル</t>
        </is>
      </c>
      <c r="D215" s="29" t="inlineStr">
        <is>
          <t>Symbolique</t>
        </is>
      </c>
      <c r="E215" s="29">
        <f>B215</f>
        <v/>
      </c>
      <c r="F215" s="29" t="inlineStr">
        <is>
          <t>Simbolo</t>
        </is>
      </c>
      <c r="G215" s="29">
        <f>F215</f>
        <v/>
      </c>
      <c r="H215" s="29" t="inlineStr">
        <is>
          <t>심볼</t>
        </is>
      </c>
      <c r="I215" s="29" t="inlineStr">
        <is>
          <t>象徵</t>
        </is>
      </c>
      <c r="J215" s="29">
        <f>IFERROR(__xludf.DUMMYFUNCTION("GOOGLETRANSLATE(I215, ""zh_HANT"",""zh_HANS"")"),"象征")</f>
        <v/>
      </c>
      <c r="K215" s="29">
        <f>F215</f>
        <v/>
      </c>
    </row>
    <row r="216">
      <c r="A216" s="29">
        <f>CONCATENATE("CATEGORY_",UPPER(Pokemon!B203))</f>
        <v/>
      </c>
      <c r="B216" s="29" t="inlineStr">
        <is>
          <t>Patient</t>
        </is>
      </c>
      <c r="C216" s="29" t="inlineStr">
        <is>
          <t>がまん</t>
        </is>
      </c>
      <c r="D216" s="29">
        <f>B216</f>
        <v/>
      </c>
      <c r="E216" s="29" t="inlineStr">
        <is>
          <t>Geduld</t>
        </is>
      </c>
      <c r="F216" s="29" t="inlineStr">
        <is>
          <t>Paciente</t>
        </is>
      </c>
      <c r="G216" s="29" t="inlineStr">
        <is>
          <t>Pazienza</t>
        </is>
      </c>
      <c r="H216" s="29" t="inlineStr">
        <is>
          <t>참기</t>
        </is>
      </c>
      <c r="I216" s="29" t="inlineStr">
        <is>
          <t>忍耐</t>
        </is>
      </c>
      <c r="J216" s="29">
        <f>I216</f>
        <v/>
      </c>
      <c r="K216" s="29">
        <f>F216</f>
        <v/>
      </c>
    </row>
    <row r="217">
      <c r="A217" s="29">
        <f>CONCATENATE("CATEGORY_",UPPER(Pokemon!B204))</f>
        <v/>
      </c>
      <c r="B217" s="29" t="inlineStr">
        <is>
          <t>Long Neck</t>
        </is>
      </c>
      <c r="C217" s="29" t="inlineStr">
        <is>
          <t>くびなが</t>
        </is>
      </c>
      <c r="D217" s="29" t="inlineStr">
        <is>
          <t>Long-Cou</t>
        </is>
      </c>
      <c r="E217" s="29" t="inlineStr">
        <is>
          <t>Langhals</t>
        </is>
      </c>
      <c r="F217" s="29" t="inlineStr">
        <is>
          <t>Gran Cuello</t>
        </is>
      </c>
      <c r="G217" s="29" t="inlineStr">
        <is>
          <t>Lungocollo</t>
        </is>
      </c>
      <c r="H217" s="29" t="inlineStr">
        <is>
          <t>긴목</t>
        </is>
      </c>
      <c r="I217" s="29" t="inlineStr">
        <is>
          <t>長頸</t>
        </is>
      </c>
      <c r="J217" s="29">
        <f>IFERROR(__xludf.DUMMYFUNCTION("GOOGLETRANSLATE(I217, ""zh_HANT"",""zh_HANS"")"),"长颈")</f>
        <v/>
      </c>
      <c r="K217" s="29">
        <f>F217</f>
        <v/>
      </c>
    </row>
    <row r="218">
      <c r="A218" s="29">
        <f>CONCATENATE("CATEGORY_",UPPER(Pokemon!B205))</f>
        <v/>
      </c>
      <c r="B218" s="29" t="inlineStr">
        <is>
          <t>Bagworm</t>
        </is>
      </c>
      <c r="C218" s="29" t="inlineStr">
        <is>
          <t>みのむし</t>
        </is>
      </c>
      <c r="D218" s="29" t="inlineStr">
        <is>
          <t>Ver Caché</t>
        </is>
      </c>
      <c r="E218" s="29" t="inlineStr">
        <is>
          <t>Beutelwurm</t>
        </is>
      </c>
      <c r="F218" s="29" t="inlineStr">
        <is>
          <t>Larva</t>
        </is>
      </c>
      <c r="G218" s="29">
        <f>F218</f>
        <v/>
      </c>
      <c r="H218" s="29" t="inlineStr">
        <is>
          <t>도롱이벌레</t>
        </is>
      </c>
      <c r="I218" s="29" t="inlineStr">
        <is>
          <t>蓑衣蟲</t>
        </is>
      </c>
      <c r="J218" s="29">
        <f>IFERROR(__xludf.DUMMYFUNCTION("GOOGLETRANSLATE(I218, ""zh_HANT"",""zh_HANS"")"),"蓑衣虫")</f>
        <v/>
      </c>
      <c r="K218" s="29">
        <f>F218</f>
        <v/>
      </c>
    </row>
    <row r="219">
      <c r="A219" s="29">
        <f>CONCATENATE("CATEGORY_",UPPER(Pokemon!B206))</f>
        <v/>
      </c>
      <c r="B219" s="29">
        <f>B218</f>
        <v/>
      </c>
      <c r="C219" s="29">
        <f>C218</f>
        <v/>
      </c>
      <c r="D219" s="29">
        <f>D218</f>
        <v/>
      </c>
      <c r="E219" s="29">
        <f>E218</f>
        <v/>
      </c>
      <c r="F219" s="29">
        <f>F218</f>
        <v/>
      </c>
      <c r="G219" s="29">
        <f>G218</f>
        <v/>
      </c>
      <c r="H219" s="29">
        <f>H218</f>
        <v/>
      </c>
      <c r="I219" s="29">
        <f>I218</f>
        <v/>
      </c>
      <c r="J219" s="29">
        <f>J218</f>
        <v/>
      </c>
      <c r="K219" s="29">
        <f>F219</f>
        <v/>
      </c>
    </row>
    <row r="220">
      <c r="A220" s="29">
        <f>CONCATENATE("CATEGORY_",UPPER(Pokemon!B207))</f>
        <v/>
      </c>
      <c r="B220" s="29" t="inlineStr">
        <is>
          <t>Land Snake</t>
        </is>
      </c>
      <c r="C220" s="29" t="inlineStr">
        <is>
          <t>つちへび</t>
        </is>
      </c>
      <c r="D220" s="29" t="inlineStr">
        <is>
          <t>Serpent</t>
        </is>
      </c>
      <c r="E220" s="29" t="inlineStr">
        <is>
          <t>Schlange</t>
        </is>
      </c>
      <c r="F220" s="29" t="inlineStr">
        <is>
          <t>Serptierra</t>
        </is>
      </c>
      <c r="G220" s="29" t="inlineStr">
        <is>
          <t>Terraserpe</t>
        </is>
      </c>
      <c r="H220" s="29" t="inlineStr">
        <is>
          <t>땅뱀</t>
        </is>
      </c>
      <c r="I220" s="29" t="inlineStr">
        <is>
          <t>地蛇</t>
        </is>
      </c>
      <c r="J220" s="29">
        <f>I220</f>
        <v/>
      </c>
      <c r="K220" s="29">
        <f>F220</f>
        <v/>
      </c>
    </row>
    <row r="221">
      <c r="A221" s="29">
        <f>CONCATENATE("CATEGORY_",UPPER(Pokemon!B208))</f>
        <v/>
      </c>
      <c r="B221" s="29" t="inlineStr">
        <is>
          <t>Fly Scorpion</t>
        </is>
      </c>
      <c r="C221" s="29" t="inlineStr">
        <is>
          <t>とばさそり</t>
        </is>
      </c>
      <c r="D221" s="29" t="inlineStr">
        <is>
          <t>Scorpivol</t>
        </is>
      </c>
      <c r="E221" s="29" t="inlineStr">
        <is>
          <t>Flugskorpi</t>
        </is>
      </c>
      <c r="F221" s="29" t="inlineStr">
        <is>
          <t>Escorpiala</t>
        </is>
      </c>
      <c r="G221" s="29" t="inlineStr">
        <is>
          <t>Aliscorpio</t>
        </is>
      </c>
      <c r="H221" s="29" t="inlineStr">
        <is>
          <t>날전갈</t>
        </is>
      </c>
      <c r="I221" s="29" t="inlineStr">
        <is>
          <t>飛蠍</t>
        </is>
      </c>
      <c r="J221" s="29">
        <f>IFERROR(__xludf.DUMMYFUNCTION("GOOGLETRANSLATE(I221, ""zh_HANT"",""zh_HANS"")"),"飞蝎")</f>
        <v/>
      </c>
      <c r="K221" s="29">
        <f>F221</f>
        <v/>
      </c>
    </row>
    <row r="222">
      <c r="A222" s="29">
        <f>CONCATENATE("CATEGORY_",UPPER(Pokemon!B209))</f>
        <v/>
      </c>
      <c r="B222" s="29" t="inlineStr">
        <is>
          <t>Iron Snake</t>
        </is>
      </c>
      <c r="C222" s="29" t="inlineStr">
        <is>
          <t>てつへび</t>
        </is>
      </c>
      <c r="D222" s="29" t="inlineStr">
        <is>
          <t>Serpenfer</t>
        </is>
      </c>
      <c r="E222" s="29" t="inlineStr">
        <is>
          <t>Stahlboa</t>
        </is>
      </c>
      <c r="F222" s="29" t="inlineStr">
        <is>
          <t>Serpférrea</t>
        </is>
      </c>
      <c r="G222" s="29" t="inlineStr">
        <is>
          <t>Ferroserpe</t>
        </is>
      </c>
      <c r="H222" s="29" t="inlineStr">
        <is>
          <t>철뱀</t>
        </is>
      </c>
      <c r="I222" s="29" t="inlineStr">
        <is>
          <t>鐵蛇</t>
        </is>
      </c>
      <c r="J222" s="29">
        <f>IFERROR(__xludf.DUMMYFUNCTION("GOOGLETRANSLATE(I222, ""zh_HANT"",""zh_HANS"")"),"铁蛇")</f>
        <v/>
      </c>
      <c r="K222" s="29">
        <f>F222</f>
        <v/>
      </c>
    </row>
    <row r="223">
      <c r="A223" s="29">
        <f>CONCATENATE("CATEGORY_",UPPER(Pokemon!B210))</f>
        <v/>
      </c>
      <c r="B223" s="29">
        <f>B36</f>
        <v/>
      </c>
      <c r="C223" s="29">
        <f>C36</f>
        <v/>
      </c>
      <c r="D223" s="29">
        <f>D36</f>
        <v/>
      </c>
      <c r="E223" s="29">
        <f>E36</f>
        <v/>
      </c>
      <c r="F223" s="29">
        <f>F36</f>
        <v/>
      </c>
      <c r="G223" s="29">
        <f>G36</f>
        <v/>
      </c>
      <c r="H223" s="29">
        <f>H36</f>
        <v/>
      </c>
      <c r="I223" s="29">
        <f>I36</f>
        <v/>
      </c>
      <c r="J223" s="29">
        <f>J36</f>
        <v/>
      </c>
      <c r="K223" s="29">
        <f>F223</f>
        <v/>
      </c>
    </row>
    <row r="224">
      <c r="A224" s="29">
        <f>CONCATENATE("CATEGORY_",UPPER(Pokemon!B211))</f>
        <v/>
      </c>
      <c r="B224" s="29">
        <f>B36</f>
        <v/>
      </c>
      <c r="C224" s="29">
        <f>C36</f>
        <v/>
      </c>
      <c r="D224" s="29">
        <f>D36</f>
        <v/>
      </c>
      <c r="E224" s="29">
        <f>E36</f>
        <v/>
      </c>
      <c r="F224" s="29">
        <f>F36</f>
        <v/>
      </c>
      <c r="G224" s="29">
        <f>G36</f>
        <v/>
      </c>
      <c r="H224" s="29">
        <f>H36</f>
        <v/>
      </c>
      <c r="I224" s="29">
        <f>I36</f>
        <v/>
      </c>
      <c r="J224" s="29">
        <f>J36</f>
        <v/>
      </c>
      <c r="K224" s="29">
        <f>F224</f>
        <v/>
      </c>
    </row>
    <row r="225">
      <c r="A225" s="29">
        <f>CONCATENATE("CATEGORY_",UPPER(Pokemon!B212))</f>
        <v/>
      </c>
      <c r="B225" s="29">
        <f>B40</f>
        <v/>
      </c>
      <c r="C225" s="29">
        <f>C40</f>
        <v/>
      </c>
      <c r="D225" s="29">
        <f>D40</f>
        <v/>
      </c>
      <c r="E225" s="29">
        <f>E40</f>
        <v/>
      </c>
      <c r="F225" s="29">
        <f>F40</f>
        <v/>
      </c>
      <c r="G225" s="29">
        <f>G40</f>
        <v/>
      </c>
      <c r="H225" s="29">
        <f>H40</f>
        <v/>
      </c>
      <c r="I225" s="29">
        <f>I40</f>
        <v/>
      </c>
      <c r="J225" s="29">
        <f>J40</f>
        <v/>
      </c>
      <c r="K225" s="29">
        <f>F225</f>
        <v/>
      </c>
    </row>
    <row r="226">
      <c r="A226" s="29">
        <f>CONCATENATE("CATEGORY_",UPPER(Pokemon!B213))</f>
        <v/>
      </c>
      <c r="B226" s="29">
        <f>B103</f>
        <v/>
      </c>
      <c r="C226" s="29">
        <f>C103</f>
        <v/>
      </c>
      <c r="D226" s="29">
        <f>D103</f>
        <v/>
      </c>
      <c r="E226" s="29">
        <f>E103</f>
        <v/>
      </c>
      <c r="F226" s="29">
        <f>F103</f>
        <v/>
      </c>
      <c r="G226" s="29">
        <f>G103</f>
        <v/>
      </c>
      <c r="H226" s="29">
        <f>H103</f>
        <v/>
      </c>
      <c r="I226" s="29">
        <f>I103</f>
        <v/>
      </c>
      <c r="J226" s="29">
        <f>J103</f>
        <v/>
      </c>
      <c r="K226" s="29">
        <f>F226</f>
        <v/>
      </c>
    </row>
    <row r="227">
      <c r="A227" s="29">
        <f>CONCATENATE("CATEGORY_",UPPER(Pokemon!B214))</f>
        <v/>
      </c>
      <c r="B227" s="29" t="inlineStr">
        <is>
          <t>Mold</t>
        </is>
      </c>
      <c r="C227" s="29" t="inlineStr">
        <is>
          <t>はっこう</t>
        </is>
      </c>
      <c r="D227" s="29" t="inlineStr">
        <is>
          <t>Pourri</t>
        </is>
      </c>
      <c r="E227" s="29" t="inlineStr">
        <is>
          <t>Schimmel</t>
        </is>
      </c>
      <c r="F227" s="29" t="inlineStr">
        <is>
          <t>Moho</t>
        </is>
      </c>
      <c r="G227" s="29" t="inlineStr">
        <is>
          <t>Muffa</t>
        </is>
      </c>
      <c r="H227" s="29" t="inlineStr">
        <is>
          <t>발효</t>
        </is>
      </c>
      <c r="I227" s="29" t="inlineStr">
        <is>
          <t>發酵</t>
        </is>
      </c>
      <c r="J227" s="29">
        <f>IFERROR(__xludf.DUMMYFUNCTION("GOOGLETRANSLATE(I227, ""zh_HANT"",""zh_HANS"")"),"发酵")</f>
        <v/>
      </c>
      <c r="K227" s="29">
        <f>F227</f>
        <v/>
      </c>
    </row>
    <row r="228">
      <c r="A228" s="29">
        <f>CONCATENATE("CATEGORY_",UPPER(Pokemon!B215))</f>
        <v/>
      </c>
      <c r="B228" s="29" t="inlineStr">
        <is>
          <t>Single Horn</t>
        </is>
      </c>
      <c r="C228" s="29" t="inlineStr">
        <is>
          <t>１ぽんツノ</t>
        </is>
      </c>
      <c r="D228" s="29" t="inlineStr">
        <is>
          <t>Unicorne</t>
        </is>
      </c>
      <c r="E228" s="29" t="inlineStr">
        <is>
          <t>Einzelhorn</t>
        </is>
      </c>
      <c r="F228" s="29" t="inlineStr">
        <is>
          <t>Unicornio</t>
        </is>
      </c>
      <c r="G228" s="29" t="inlineStr">
        <is>
          <t>Monocorno</t>
        </is>
      </c>
      <c r="H228" s="29" t="inlineStr">
        <is>
          <t>외뿔</t>
        </is>
      </c>
      <c r="I228" s="29" t="inlineStr">
        <is>
          <t>獨角</t>
        </is>
      </c>
      <c r="J228" s="29">
        <f>IFERROR(__xludf.DUMMYFUNCTION("GOOGLETRANSLATE(I228, ""zh_HANT"",""zh_HANS"")"),"独角")</f>
        <v/>
      </c>
      <c r="K228" s="29">
        <f>F228</f>
        <v/>
      </c>
    </row>
    <row r="229">
      <c r="A229" s="29">
        <f>CONCATENATE("CATEGORY_",UPPER(Pokemon!B216))</f>
        <v/>
      </c>
      <c r="B229" s="29" t="inlineStr">
        <is>
          <t>Sharp Claw</t>
        </is>
      </c>
      <c r="C229" s="29" t="inlineStr">
        <is>
          <t>かぎづめ</t>
        </is>
      </c>
      <c r="D229" s="29" t="inlineStr">
        <is>
          <t>Grifacérée</t>
        </is>
      </c>
      <c r="E229" s="29" t="inlineStr">
        <is>
          <t>Stichklaue</t>
        </is>
      </c>
      <c r="F229" s="29" t="inlineStr">
        <is>
          <t>Garra Filo</t>
        </is>
      </c>
      <c r="G229" s="29" t="inlineStr">
        <is>
          <t>Lamartigli</t>
        </is>
      </c>
      <c r="H229" s="29" t="inlineStr">
        <is>
          <t>갈고리손톱</t>
        </is>
      </c>
      <c r="I229" s="29" t="inlineStr">
        <is>
          <t>鉤爪</t>
        </is>
      </c>
      <c r="J229" s="29">
        <f>IFERROR(__xludf.DUMMYFUNCTION("GOOGLETRANSLATE(I229, ""zh_HANT"",""zh_HANS"")"),"钩爪")</f>
        <v/>
      </c>
      <c r="K229" s="29">
        <f>F229</f>
        <v/>
      </c>
    </row>
    <row r="230">
      <c r="A230" s="29">
        <f>CONCATENATE("CATEGORY_",UPPER(Pokemon!B217))</f>
        <v/>
      </c>
      <c r="B230" s="29" t="inlineStr">
        <is>
          <t>Little Bear</t>
        </is>
      </c>
      <c r="C230" s="29" t="inlineStr">
        <is>
          <t>こぐま</t>
        </is>
      </c>
      <c r="D230" s="29" t="inlineStr">
        <is>
          <t>Mini Ours</t>
        </is>
      </c>
      <c r="E230" s="29" t="inlineStr">
        <is>
          <t>Kleinbär</t>
        </is>
      </c>
      <c r="F230" s="29" t="inlineStr">
        <is>
          <t>Osito</t>
        </is>
      </c>
      <c r="G230" s="29" t="inlineStr">
        <is>
          <t>Orsetto</t>
        </is>
      </c>
      <c r="H230" s="29" t="inlineStr">
        <is>
          <t>아기곰</t>
        </is>
      </c>
      <c r="I230" s="29" t="inlineStr">
        <is>
          <t>小熊</t>
        </is>
      </c>
      <c r="J230" s="29">
        <f>I230</f>
        <v/>
      </c>
      <c r="K230" s="29">
        <f>F230</f>
        <v/>
      </c>
    </row>
    <row r="231">
      <c r="A231" s="29">
        <f>CONCATENATE("CATEGORY_",UPPER(Pokemon!B218))</f>
        <v/>
      </c>
      <c r="B231" s="29" t="inlineStr">
        <is>
          <t>Hibernator</t>
        </is>
      </c>
      <c r="C231" s="29" t="inlineStr">
        <is>
          <t>とうみん</t>
        </is>
      </c>
      <c r="D231" s="29" t="inlineStr">
        <is>
          <t>Hibernant</t>
        </is>
      </c>
      <c r="E231" s="29" t="inlineStr">
        <is>
          <t>Schläfer</t>
        </is>
      </c>
      <c r="F231" s="29" t="inlineStr">
        <is>
          <t>Hibernante</t>
        </is>
      </c>
      <c r="G231" s="29" t="inlineStr">
        <is>
          <t>Letargo</t>
        </is>
      </c>
      <c r="H231" s="29" t="inlineStr">
        <is>
          <t>동면</t>
        </is>
      </c>
      <c r="I231" s="29" t="inlineStr">
        <is>
          <t>冬眠</t>
        </is>
      </c>
      <c r="J231" s="29">
        <f>I231</f>
        <v/>
      </c>
      <c r="K231" s="29">
        <f>F231</f>
        <v/>
      </c>
    </row>
    <row r="232">
      <c r="A232" s="29">
        <f>CONCATENATE("CATEGORY_",UPPER(Pokemon!B219))</f>
        <v/>
      </c>
      <c r="B232" s="29" t="inlineStr">
        <is>
          <t>Lava</t>
        </is>
      </c>
      <c r="C232" s="29" t="inlineStr">
        <is>
          <t>ようがん</t>
        </is>
      </c>
      <c r="D232" s="29" t="inlineStr">
        <is>
          <t>Lave</t>
        </is>
      </c>
      <c r="E232" s="29">
        <f>B232</f>
        <v/>
      </c>
      <c r="F232" s="29">
        <f>B232</f>
        <v/>
      </c>
      <c r="G232" s="29">
        <f>B232</f>
        <v/>
      </c>
      <c r="H232" s="29" t="inlineStr">
        <is>
          <t>용암</t>
        </is>
      </c>
      <c r="I232" s="29" t="inlineStr">
        <is>
          <t>熔岩</t>
        </is>
      </c>
      <c r="J232" s="29">
        <f>I232</f>
        <v/>
      </c>
      <c r="K232" s="29">
        <f>F232</f>
        <v/>
      </c>
    </row>
    <row r="233">
      <c r="A233" s="29">
        <f>CONCATENATE("CATEGORY_",UPPER(Pokemon!B220))</f>
        <v/>
      </c>
      <c r="B233" s="29">
        <f>B232</f>
        <v/>
      </c>
      <c r="C233" s="29">
        <f>C232</f>
        <v/>
      </c>
      <c r="D233" s="29">
        <f>D232</f>
        <v/>
      </c>
      <c r="E233" s="29">
        <f>E232</f>
        <v/>
      </c>
      <c r="F233" s="29">
        <f>F232</f>
        <v/>
      </c>
      <c r="G233" s="29">
        <f>G232</f>
        <v/>
      </c>
      <c r="H233" s="29">
        <f>H232</f>
        <v/>
      </c>
      <c r="I233" s="29">
        <f>I232</f>
        <v/>
      </c>
      <c r="J233" s="29">
        <f>J232</f>
        <v/>
      </c>
      <c r="K233" s="29">
        <f>F233</f>
        <v/>
      </c>
    </row>
    <row r="234">
      <c r="A234" s="29">
        <f>CONCATENATE("CATEGORY_",UPPER(Pokemon!B221))</f>
        <v/>
      </c>
      <c r="B234" s="29" t="inlineStr">
        <is>
          <t>Pig</t>
        </is>
      </c>
      <c r="C234" s="29" t="inlineStr">
        <is>
          <t>いのぶた</t>
        </is>
      </c>
      <c r="D234" s="29" t="inlineStr">
        <is>
          <t>Cochon</t>
        </is>
      </c>
      <c r="E234" s="29" t="inlineStr">
        <is>
          <t>Ferkel</t>
        </is>
      </c>
      <c r="F234" s="29" t="inlineStr">
        <is>
          <t>Cerdo</t>
        </is>
      </c>
      <c r="G234" s="29" t="inlineStr">
        <is>
          <t>Maiale</t>
        </is>
      </c>
      <c r="H234" s="29" t="inlineStr">
        <is>
          <t>산돼지</t>
        </is>
      </c>
      <c r="I234" s="29" t="inlineStr">
        <is>
          <t>小豬</t>
        </is>
      </c>
      <c r="J234" s="29">
        <f>IFERROR(__xludf.DUMMYFUNCTION("GOOGLETRANSLATE(I234, ""zh_HANT"",""zh_HANS"")"),"小猪")</f>
        <v/>
      </c>
      <c r="K234" s="29">
        <f>F234</f>
        <v/>
      </c>
    </row>
    <row r="235">
      <c r="A235" s="29">
        <f>CONCATENATE("CATEGORY_",UPPER(Pokemon!B222))</f>
        <v/>
      </c>
      <c r="B235" s="29" t="inlineStr">
        <is>
          <t>Swine</t>
        </is>
      </c>
      <c r="C235" s="29" t="inlineStr">
        <is>
          <t>いのしし</t>
        </is>
      </c>
      <c r="D235" s="29" t="inlineStr">
        <is>
          <t>Porc</t>
        </is>
      </c>
      <c r="E235" s="29" t="inlineStr">
        <is>
          <t>Schwein</t>
        </is>
      </c>
      <c r="F235" s="29" t="inlineStr">
        <is>
          <t>Puerco</t>
        </is>
      </c>
      <c r="G235" s="29" t="inlineStr">
        <is>
          <t>Suino</t>
        </is>
      </c>
      <c r="H235" s="29" t="inlineStr">
        <is>
          <t>멧돼지</t>
        </is>
      </c>
      <c r="I235" s="29" t="inlineStr">
        <is>
          <t>野豬</t>
        </is>
      </c>
      <c r="J235" s="29">
        <f>IFERROR(__xludf.DUMMYFUNCTION("GOOGLETRANSLATE(I235, ""zh_HANT"",""zh_HANS"")"),"野猪")</f>
        <v/>
      </c>
      <c r="K235" s="29">
        <f>F235</f>
        <v/>
      </c>
    </row>
    <row r="236">
      <c r="A236" s="29">
        <f>CONCATENATE("CATEGORY_",UPPER(Pokemon!B223))</f>
        <v/>
      </c>
      <c r="B236" s="29" t="inlineStr">
        <is>
          <t>Coral</t>
        </is>
      </c>
      <c r="C236" s="29" t="inlineStr">
        <is>
          <t>さんご</t>
        </is>
      </c>
      <c r="D236" s="29" t="inlineStr">
        <is>
          <t>Corail</t>
        </is>
      </c>
      <c r="E236" s="29" t="inlineStr">
        <is>
          <t>Koralle</t>
        </is>
      </c>
      <c r="F236" s="29">
        <f>B236</f>
        <v/>
      </c>
      <c r="G236" s="29" t="inlineStr">
        <is>
          <t>Corallo</t>
        </is>
      </c>
      <c r="H236" s="29" t="inlineStr">
        <is>
          <t>산호</t>
        </is>
      </c>
      <c r="I236" s="29" t="inlineStr">
        <is>
          <t>珊瑚</t>
        </is>
      </c>
      <c r="J236" s="29">
        <f>I236</f>
        <v/>
      </c>
      <c r="K236" s="29">
        <f>F236</f>
        <v/>
      </c>
    </row>
    <row r="237">
      <c r="A237" s="29">
        <f>CONCATENATE("CATEGORY_",UPPER(Pokemon!B224))</f>
        <v/>
      </c>
      <c r="B237" s="29" t="inlineStr">
        <is>
          <t>Jet</t>
        </is>
      </c>
      <c r="C237" s="29" t="inlineStr">
        <is>
          <t>ふんしゃ</t>
        </is>
      </c>
      <c r="D237" s="29">
        <f>B237</f>
        <v/>
      </c>
      <c r="E237" s="29" t="inlineStr">
        <is>
          <t>Hochdruck</t>
        </is>
      </c>
      <c r="F237" s="29" t="inlineStr">
        <is>
          <t>Reactor</t>
        </is>
      </c>
      <c r="G237" s="29">
        <f>B237</f>
        <v/>
      </c>
      <c r="H237" s="29" t="inlineStr">
        <is>
          <t>분사</t>
        </is>
      </c>
      <c r="I237" s="29" t="inlineStr">
        <is>
          <t>噴射</t>
        </is>
      </c>
      <c r="J237" s="29">
        <f>IFERROR(__xludf.DUMMYFUNCTION("GOOGLETRANSLATE(I237, ""zh_HANT"",""zh_HANS"")"),"喷射")</f>
        <v/>
      </c>
      <c r="K237" s="29">
        <f>F237</f>
        <v/>
      </c>
    </row>
    <row r="238">
      <c r="A238" s="29">
        <f>CONCATENATE("CATEGORY_",UPPER(Pokemon!B225))</f>
        <v/>
      </c>
      <c r="B238" s="29">
        <f>B237</f>
        <v/>
      </c>
      <c r="C238" s="29">
        <f>C237</f>
        <v/>
      </c>
      <c r="D238" s="29">
        <f>D237</f>
        <v/>
      </c>
      <c r="E238" s="29">
        <f>E237</f>
        <v/>
      </c>
      <c r="F238" s="29">
        <f>F237</f>
        <v/>
      </c>
      <c r="G238" s="29">
        <f>G237</f>
        <v/>
      </c>
      <c r="H238" s="29">
        <f>H237</f>
        <v/>
      </c>
      <c r="I238" s="29">
        <f>I237</f>
        <v/>
      </c>
      <c r="J238" s="29">
        <f>J237</f>
        <v/>
      </c>
      <c r="K238" s="29">
        <f>F238</f>
        <v/>
      </c>
    </row>
    <row r="239">
      <c r="A239" s="29">
        <f>CONCATENATE("CATEGORY_",UPPER(Pokemon!B226))</f>
        <v/>
      </c>
      <c r="B239" s="29" t="inlineStr">
        <is>
          <t>Delivery</t>
        </is>
      </c>
      <c r="C239" s="29" t="inlineStr">
        <is>
          <t>はこびや</t>
        </is>
      </c>
      <c r="D239" s="29" t="inlineStr">
        <is>
          <t>Livraison</t>
        </is>
      </c>
      <c r="E239" s="29" t="inlineStr">
        <is>
          <t>Lieferant</t>
        </is>
      </c>
      <c r="F239" s="29" t="inlineStr">
        <is>
          <t>Reparto</t>
        </is>
      </c>
      <c r="G239" s="29" t="inlineStr">
        <is>
          <t>Consegna</t>
        </is>
      </c>
      <c r="H239" s="29" t="inlineStr">
        <is>
          <t>배달</t>
        </is>
      </c>
      <c r="I239" s="29" t="inlineStr">
        <is>
          <t>搬運</t>
        </is>
      </c>
      <c r="J239" s="29">
        <f>IFERROR(__xludf.DUMMYFUNCTION("GOOGLETRANSLATE(I239, ""zh_HANT"",""zh_HANS"")"),"搬运")</f>
        <v/>
      </c>
      <c r="K239" s="29">
        <f>F239</f>
        <v/>
      </c>
    </row>
    <row r="240">
      <c r="A240" s="29">
        <f>CONCATENATE("CATEGORY_",UPPER(Pokemon!B227))</f>
        <v/>
      </c>
      <c r="B240" s="29" t="inlineStr">
        <is>
          <t>Kite</t>
        </is>
      </c>
      <c r="C240" s="29" t="inlineStr">
        <is>
          <t>カイト</t>
        </is>
      </c>
      <c r="D240" s="29" t="inlineStr">
        <is>
          <t>Cervolant</t>
        </is>
      </c>
      <c r="E240" s="29" t="inlineStr">
        <is>
          <t>Flugrochen</t>
        </is>
      </c>
      <c r="F240" s="29" t="inlineStr">
        <is>
          <t>Milano</t>
        </is>
      </c>
      <c r="G240" s="29" t="inlineStr">
        <is>
          <t>Aquilone</t>
        </is>
      </c>
      <c r="H240" s="29" t="inlineStr">
        <is>
          <t>연</t>
        </is>
      </c>
      <c r="I240" s="29" t="inlineStr">
        <is>
          <t>風箏</t>
        </is>
      </c>
      <c r="J240" s="29">
        <f>IFERROR(__xludf.DUMMYFUNCTION("GOOGLETRANSLATE(I240, ""zh_HANT"",""zh_HANS"")"),"风筝")</f>
        <v/>
      </c>
      <c r="K240" s="29">
        <f>F240</f>
        <v/>
      </c>
    </row>
    <row r="241">
      <c r="A241" s="29">
        <f>CONCATENATE("CATEGORY_",UPPER(Pokemon!B228))</f>
        <v/>
      </c>
      <c r="B241" s="29" t="inlineStr">
        <is>
          <t>Armor Bird</t>
        </is>
      </c>
      <c r="C241" s="29" t="inlineStr">
        <is>
          <t>よろいとり</t>
        </is>
      </c>
      <c r="D241" s="29" t="inlineStr">
        <is>
          <t>Armoiseau</t>
        </is>
      </c>
      <c r="E241" s="29" t="inlineStr">
        <is>
          <t>Flugstahl</t>
        </is>
      </c>
      <c r="F241" s="29" t="inlineStr">
        <is>
          <t>Coraza Ave</t>
        </is>
      </c>
      <c r="G241" s="29" t="inlineStr">
        <is>
          <t>Armuccello</t>
        </is>
      </c>
      <c r="H241" s="29" t="inlineStr">
        <is>
          <t>갑옷새</t>
        </is>
      </c>
      <c r="I241" s="29" t="inlineStr">
        <is>
          <t>鋼甲鳥</t>
        </is>
      </c>
      <c r="J241" s="29">
        <f>IFERROR(__xludf.DUMMYFUNCTION("GOOGLETRANSLATE(I241, ""zh_HANT"",""zh_HANS"")"),"钢甲鸟")</f>
        <v/>
      </c>
      <c r="K241" s="29">
        <f>F241</f>
        <v/>
      </c>
    </row>
    <row r="242">
      <c r="A242" s="29">
        <f>CONCATENATE("CATEGORY_",UPPER(Pokemon!B229))</f>
        <v/>
      </c>
      <c r="B242" s="29" t="inlineStr">
        <is>
          <t>Dark</t>
        </is>
      </c>
      <c r="C242" s="29" t="inlineStr">
        <is>
          <t>ダーク</t>
        </is>
      </c>
      <c r="D242" s="29" t="inlineStr">
        <is>
          <t>Sombre</t>
        </is>
      </c>
      <c r="E242" s="29" t="inlineStr">
        <is>
          <t>Hades</t>
        </is>
      </c>
      <c r="F242" s="29" t="inlineStr">
        <is>
          <t>Siniestro</t>
        </is>
      </c>
      <c r="G242" s="29" t="inlineStr">
        <is>
          <t>Buio</t>
        </is>
      </c>
      <c r="H242" s="29" t="inlineStr">
        <is>
          <t>다크</t>
        </is>
      </c>
      <c r="I242" s="29" t="inlineStr">
        <is>
          <t>陰暗</t>
        </is>
      </c>
      <c r="J242" s="29">
        <f>IFERROR(__xludf.DUMMYFUNCTION("GOOGLETRANSLATE(I242, ""zh_HANT"",""zh_HANS"")"),"阴暗")</f>
        <v/>
      </c>
      <c r="K242" s="29">
        <f>F242</f>
        <v/>
      </c>
    </row>
    <row r="243">
      <c r="A243" s="29">
        <f>CONCATENATE("CATEGORY_",UPPER(Pokemon!B230))</f>
        <v/>
      </c>
      <c r="B243" s="29">
        <f>B242</f>
        <v/>
      </c>
      <c r="C243" s="29">
        <f>C242</f>
        <v/>
      </c>
      <c r="D243" s="29">
        <f>D242</f>
        <v/>
      </c>
      <c r="E243" s="29">
        <f>E242</f>
        <v/>
      </c>
      <c r="F243" s="29">
        <f>F242</f>
        <v/>
      </c>
      <c r="G243" s="29">
        <f>G242</f>
        <v/>
      </c>
      <c r="H243" s="29">
        <f>H242</f>
        <v/>
      </c>
      <c r="I243" s="29">
        <f>I242</f>
        <v/>
      </c>
      <c r="J243" s="29">
        <f>J242</f>
        <v/>
      </c>
      <c r="K243" s="29">
        <f>F243</f>
        <v/>
      </c>
    </row>
    <row r="244">
      <c r="A244" s="29">
        <f>CONCATENATE("CATEGORY_",UPPER(Pokemon!B231))</f>
        <v/>
      </c>
      <c r="B244" s="29">
        <f>B122</f>
        <v/>
      </c>
      <c r="C244" s="29">
        <f>C122</f>
        <v/>
      </c>
      <c r="D244" s="29">
        <f>D122</f>
        <v/>
      </c>
      <c r="E244" s="29">
        <f>E122</f>
        <v/>
      </c>
      <c r="F244" s="29">
        <f>F122</f>
        <v/>
      </c>
      <c r="G244" s="29">
        <f>G122</f>
        <v/>
      </c>
      <c r="H244" s="29">
        <f>H122</f>
        <v/>
      </c>
      <c r="I244" s="29">
        <f>I122</f>
        <v/>
      </c>
      <c r="J244" s="29">
        <f>J122</f>
        <v/>
      </c>
      <c r="K244" s="29">
        <f>F244</f>
        <v/>
      </c>
    </row>
    <row r="245">
      <c r="A245" s="29">
        <f>CONCATENATE("CATEGORY_",UPPER(Pokemon!B232))</f>
        <v/>
      </c>
      <c r="B245" s="29" t="inlineStr">
        <is>
          <t>Long Nose</t>
        </is>
      </c>
      <c r="C245" s="29" t="inlineStr">
        <is>
          <t>ながはな</t>
        </is>
      </c>
      <c r="D245" s="29" t="inlineStr">
        <is>
          <t>Longnez</t>
        </is>
      </c>
      <c r="E245" s="29" t="inlineStr">
        <is>
          <t>Langrüssel</t>
        </is>
      </c>
      <c r="F245" s="29" t="inlineStr">
        <is>
          <t>Narizotas</t>
        </is>
      </c>
      <c r="G245" s="29" t="inlineStr">
        <is>
          <t>Nasone</t>
        </is>
      </c>
      <c r="H245" s="29" t="inlineStr">
        <is>
          <t>긴코</t>
        </is>
      </c>
      <c r="I245" s="29" t="inlineStr">
        <is>
          <t>長鼻</t>
        </is>
      </c>
      <c r="J245" s="29">
        <f>IFERROR(__xludf.DUMMYFUNCTION("GOOGLETRANSLATE(I245, ""zh_HANT"",""zh_HANS"")"),"长鼻")</f>
        <v/>
      </c>
      <c r="K245" s="29">
        <f>F245</f>
        <v/>
      </c>
    </row>
    <row r="246">
      <c r="A246" s="29">
        <f>CONCATENATE("CATEGORY_",UPPER(Pokemon!B233))</f>
        <v/>
      </c>
      <c r="B246" s="29" t="inlineStr">
        <is>
          <t>Armor</t>
        </is>
      </c>
      <c r="C246" s="29" t="inlineStr">
        <is>
          <t>よろい</t>
        </is>
      </c>
      <c r="D246" s="29" t="inlineStr">
        <is>
          <t>Armure</t>
        </is>
      </c>
      <c r="E246" s="29" t="inlineStr">
        <is>
          <t>Panzer</t>
        </is>
      </c>
      <c r="F246" s="29" t="inlineStr">
        <is>
          <t>Coraza</t>
        </is>
      </c>
      <c r="G246" s="29" t="inlineStr">
        <is>
          <t>Armadura</t>
        </is>
      </c>
      <c r="H246" s="29" t="inlineStr">
        <is>
          <t>갑옷새</t>
        </is>
      </c>
      <c r="I246" s="29" t="inlineStr">
        <is>
          <t>鎧甲</t>
        </is>
      </c>
      <c r="J246" s="29">
        <f>IFERROR(__xludf.DUMMYFUNCTION("GOOGLETRANSLATE(I246, ""zh_HANT"",""zh_HANS"")"),"铠甲")</f>
        <v/>
      </c>
      <c r="K246" s="29">
        <f>F246</f>
        <v/>
      </c>
    </row>
    <row r="247">
      <c r="A247" s="29">
        <f>CONCATENATE("CATEGORY_",UPPER(Pokemon!B234))</f>
        <v/>
      </c>
      <c r="B247" s="29">
        <f>B144</f>
        <v/>
      </c>
      <c r="C247" s="29">
        <f>C144</f>
        <v/>
      </c>
      <c r="D247" s="29">
        <f>D144</f>
        <v/>
      </c>
      <c r="E247" s="29">
        <f>E144</f>
        <v/>
      </c>
      <c r="F247" s="29">
        <f>F144</f>
        <v/>
      </c>
      <c r="G247" s="29">
        <f>G144</f>
        <v/>
      </c>
      <c r="H247" s="29">
        <f>H144</f>
        <v/>
      </c>
      <c r="I247" s="29">
        <f>I144</f>
        <v/>
      </c>
      <c r="J247" s="29">
        <f>J144</f>
        <v/>
      </c>
      <c r="K247" s="29">
        <f>F247</f>
        <v/>
      </c>
    </row>
    <row r="248">
      <c r="A248" s="29">
        <f>CONCATENATE("CATEGORY_",UPPER(Pokemon!B235))</f>
        <v/>
      </c>
      <c r="B248" s="29" t="inlineStr">
        <is>
          <t>Big Horn</t>
        </is>
      </c>
      <c r="C248" s="29" t="inlineStr">
        <is>
          <t>おおツノ</t>
        </is>
      </c>
      <c r="D248" s="29" t="inlineStr">
        <is>
          <t>Maxi Corne</t>
        </is>
      </c>
      <c r="E248" s="29" t="inlineStr">
        <is>
          <t>Vielender</t>
        </is>
      </c>
      <c r="F248" s="29" t="inlineStr">
        <is>
          <t>Chifrudo</t>
        </is>
      </c>
      <c r="G248" s="29" t="inlineStr">
        <is>
          <t>Grancorno</t>
        </is>
      </c>
      <c r="H248" s="29" t="inlineStr">
        <is>
          <t>큰뿔</t>
        </is>
      </c>
      <c r="I248" s="29" t="inlineStr">
        <is>
          <t>大角</t>
        </is>
      </c>
      <c r="J248" s="29">
        <f>I248</f>
        <v/>
      </c>
      <c r="K248" s="29">
        <f>F248</f>
        <v/>
      </c>
    </row>
    <row r="249">
      <c r="A249" s="29">
        <f>CONCATENATE("CATEGORY_",UPPER(Pokemon!B236))</f>
        <v/>
      </c>
      <c r="B249" s="29" t="inlineStr">
        <is>
          <t>Painter</t>
        </is>
      </c>
      <c r="C249" s="29" t="inlineStr">
        <is>
          <t>えかき</t>
        </is>
      </c>
      <c r="D249" s="29" t="inlineStr">
        <is>
          <t>Peintre</t>
        </is>
      </c>
      <c r="E249" s="29" t="inlineStr">
        <is>
          <t>Maler</t>
        </is>
      </c>
      <c r="F249" s="29" t="inlineStr">
        <is>
          <t>Pintor</t>
        </is>
      </c>
      <c r="G249" s="29" t="inlineStr">
        <is>
          <t>Pittore</t>
        </is>
      </c>
      <c r="H249" s="29" t="inlineStr">
        <is>
          <t>그림장이</t>
        </is>
      </c>
      <c r="I249" s="29" t="inlineStr">
        <is>
          <t>畫畫</t>
        </is>
      </c>
      <c r="J249" s="29">
        <f>IFERROR(__xludf.DUMMYFUNCTION("GOOGLETRANSLATE(I249, ""zh_HANT"",""zh_HANS"")"),"画画")</f>
        <v/>
      </c>
      <c r="K249" s="29">
        <f>F249</f>
        <v/>
      </c>
    </row>
    <row r="250">
      <c r="A250" s="29">
        <f>CONCATENATE("CATEGORY_",UPPER(Pokemon!B237))</f>
        <v/>
      </c>
      <c r="B250" s="29" t="inlineStr">
        <is>
          <t>Scuffle</t>
        </is>
      </c>
      <c r="C250" s="29" t="inlineStr">
        <is>
          <t>けんか</t>
        </is>
      </c>
      <c r="D250" s="29" t="inlineStr">
        <is>
          <t>Bagarreur</t>
        </is>
      </c>
      <c r="E250" s="29" t="inlineStr">
        <is>
          <t>Racker</t>
        </is>
      </c>
      <c r="F250" s="29" t="inlineStr">
        <is>
          <t>Peleón</t>
        </is>
      </c>
      <c r="G250" s="29" t="inlineStr">
        <is>
          <t>Baruffa</t>
        </is>
      </c>
      <c r="H250" s="29" t="inlineStr">
        <is>
          <t>싸움</t>
        </is>
      </c>
      <c r="I250" s="29" t="inlineStr">
        <is>
          <t>打鬥</t>
        </is>
      </c>
      <c r="J250" s="29">
        <f>IFERROR(__xludf.DUMMYFUNCTION("GOOGLETRANSLATE(I250, ""zh_HANT"",""zh_HANS"")"),"打斗")</f>
        <v/>
      </c>
      <c r="K250" s="29">
        <f>F250</f>
        <v/>
      </c>
    </row>
    <row r="251">
      <c r="A251" s="29">
        <f>CONCATENATE("CATEGORY_",UPPER(Pokemon!B238))</f>
        <v/>
      </c>
      <c r="B251" s="29" t="inlineStr">
        <is>
          <t>Headstand</t>
        </is>
      </c>
      <c r="C251" s="29" t="inlineStr">
        <is>
          <t>さかだち</t>
        </is>
      </c>
      <c r="D251" s="29" t="inlineStr">
        <is>
          <t>Poirier</t>
        </is>
      </c>
      <c r="E251" s="29" t="inlineStr">
        <is>
          <t>Kopfstand</t>
        </is>
      </c>
      <c r="F251" s="29" t="inlineStr">
        <is>
          <t>Boca Abajo</t>
        </is>
      </c>
      <c r="G251" s="29" t="inlineStr">
        <is>
          <t>Verticale</t>
        </is>
      </c>
      <c r="H251" s="29" t="inlineStr">
        <is>
          <t>물구나무</t>
        </is>
      </c>
      <c r="I251" s="29" t="inlineStr">
        <is>
          <t>倒立</t>
        </is>
      </c>
      <c r="J251" s="29">
        <f>I251</f>
        <v/>
      </c>
      <c r="K251" s="29">
        <f>F251</f>
        <v/>
      </c>
    </row>
    <row r="252">
      <c r="A252" s="29">
        <f>CONCATENATE("CATEGORY_",UPPER(Pokemon!B239))</f>
        <v/>
      </c>
      <c r="B252" s="29" t="inlineStr">
        <is>
          <t>Kiss</t>
        </is>
      </c>
      <c r="C252" s="29" t="inlineStr">
        <is>
          <t>くちづけ</t>
        </is>
      </c>
      <c r="D252" s="29" t="inlineStr">
        <is>
          <t>Bisou</t>
        </is>
      </c>
      <c r="E252" s="29" t="inlineStr">
        <is>
          <t>Kuss</t>
        </is>
      </c>
      <c r="F252" s="29" t="inlineStr">
        <is>
          <t>Beso</t>
        </is>
      </c>
      <c r="G252" s="29" t="inlineStr">
        <is>
          <t>Bacio</t>
        </is>
      </c>
      <c r="H252" s="29" t="inlineStr">
        <is>
          <t>뽀뽀</t>
        </is>
      </c>
      <c r="I252" s="29" t="inlineStr">
        <is>
          <t>親吻</t>
        </is>
      </c>
      <c r="J252" s="29">
        <f>IFERROR(__xludf.DUMMYFUNCTION("GOOGLETRANSLATE(I252, ""zh_HANT"",""zh_HANS"")"),"亲吻")</f>
        <v/>
      </c>
      <c r="K252" s="29">
        <f>F252</f>
        <v/>
      </c>
    </row>
    <row r="253">
      <c r="A253" s="29">
        <f>CONCATENATE("CATEGORY_",UPPER(Pokemon!B240))</f>
        <v/>
      </c>
      <c r="B253" s="29">
        <f>B132</f>
        <v/>
      </c>
      <c r="C253" s="29">
        <f>Types!C14</f>
        <v/>
      </c>
      <c r="D253" s="29">
        <f>D132</f>
        <v/>
      </c>
      <c r="E253" s="29">
        <f>E132</f>
        <v/>
      </c>
      <c r="F253" s="29">
        <f>F132</f>
        <v/>
      </c>
      <c r="G253" s="29">
        <f>G132</f>
        <v/>
      </c>
      <c r="H253" s="29" t="inlineStr">
        <is>
          <t>전류</t>
        </is>
      </c>
      <c r="I253" s="29" t="inlineStr">
        <is>
          <t>電氣</t>
        </is>
      </c>
      <c r="J253" s="29">
        <f>IFERROR(__xludf.DUMMYFUNCTION("GOOGLETRANSLATE(I253, ""zh_HANT"",""zh_HANS"")"),"电气")</f>
        <v/>
      </c>
      <c r="K253" s="29">
        <f>F253</f>
        <v/>
      </c>
    </row>
    <row r="254">
      <c r="A254" s="29">
        <f>CONCATENATE("CATEGORY_",UPPER(Pokemon!B241))</f>
        <v/>
      </c>
      <c r="B254" s="29" t="inlineStr">
        <is>
          <t>Live Coal</t>
        </is>
      </c>
      <c r="C254" s="29" t="inlineStr">
        <is>
          <t>ひだね</t>
        </is>
      </c>
      <c r="D254" s="29" t="inlineStr">
        <is>
          <t>Charbon</t>
        </is>
      </c>
      <c r="E254" s="29" t="inlineStr">
        <is>
          <t>Glutherd</t>
        </is>
      </c>
      <c r="F254" s="29" t="inlineStr">
        <is>
          <t>Ascuas</t>
        </is>
      </c>
      <c r="G254" s="29" t="inlineStr">
        <is>
          <t>Carbonvivo</t>
        </is>
      </c>
      <c r="H254" s="29" t="inlineStr">
        <is>
          <t>불씨</t>
        </is>
      </c>
      <c r="I254" s="29" t="inlineStr">
        <is>
          <t>火種</t>
        </is>
      </c>
      <c r="J254" s="29">
        <f>IFERROR(__xludf.DUMMYFUNCTION("GOOGLETRANSLATE(I254, ""zh_HANT"",""zh_HANS"")"),"火种")</f>
        <v/>
      </c>
      <c r="K254" s="29">
        <f>F254</f>
        <v/>
      </c>
    </row>
    <row r="255">
      <c r="A255" s="29">
        <f>CONCATENATE("CATEGORY_",UPPER(Pokemon!B242))</f>
        <v/>
      </c>
      <c r="B255" s="29" t="inlineStr">
        <is>
          <t>Milk Cow</t>
        </is>
      </c>
      <c r="C255" s="29" t="inlineStr">
        <is>
          <t>ちちうし</t>
        </is>
      </c>
      <c r="D255" s="29" t="inlineStr">
        <is>
          <t>Vachalait</t>
        </is>
      </c>
      <c r="E255" s="29" t="inlineStr">
        <is>
          <t>Milchkuh</t>
        </is>
      </c>
      <c r="F255" s="29" t="inlineStr">
        <is>
          <t>Lechera</t>
        </is>
      </c>
      <c r="G255" s="29" t="inlineStr">
        <is>
          <t>Bovino</t>
        </is>
      </c>
      <c r="H255" s="29" t="inlineStr">
        <is>
          <t>젖소</t>
        </is>
      </c>
      <c r="I255" s="29" t="inlineStr">
        <is>
          <t>乳牛</t>
        </is>
      </c>
      <c r="J255" s="29">
        <f>IFERROR(__xludf.DUMMYFUNCTION("GOOGLETRANSLATE(I255, ""zh_HANT"",""zh_HANS"")"),"奶牛")</f>
        <v/>
      </c>
      <c r="K255" s="29">
        <f>F255</f>
        <v/>
      </c>
    </row>
    <row r="256">
      <c r="A256" s="29">
        <f>CONCATENATE("CATEGORY_",UPPER(Pokemon!B243))</f>
        <v/>
      </c>
      <c r="B256" s="29">
        <f>B188</f>
        <v/>
      </c>
      <c r="C256" s="29">
        <f>C188</f>
        <v/>
      </c>
      <c r="D256" s="29">
        <f>D188</f>
        <v/>
      </c>
      <c r="E256" s="29">
        <f>E188</f>
        <v/>
      </c>
      <c r="F256" s="29">
        <f>F188</f>
        <v/>
      </c>
      <c r="G256" s="29">
        <f>G188</f>
        <v/>
      </c>
      <c r="H256" s="29">
        <f>H188</f>
        <v/>
      </c>
      <c r="I256" s="29">
        <f>I188</f>
        <v/>
      </c>
      <c r="J256" s="29">
        <f>J188</f>
        <v/>
      </c>
      <c r="K256" s="29">
        <f>F256</f>
        <v/>
      </c>
    </row>
    <row r="257">
      <c r="A257" s="29">
        <f>CONCATENATE("CATEGORY_",UPPER(Pokemon!B244))</f>
        <v/>
      </c>
      <c r="B257" s="29">
        <f>Moves!B88</f>
        <v/>
      </c>
      <c r="C257" s="29" t="inlineStr">
        <is>
          <t>いかずち</t>
        </is>
      </c>
      <c r="D257" s="29" t="inlineStr">
        <is>
          <t>Foudre</t>
        </is>
      </c>
      <c r="E257" s="29">
        <f>Moves!E88</f>
        <v/>
      </c>
      <c r="F257" s="29">
        <f>Moves!F88</f>
        <v/>
      </c>
      <c r="G257" s="29">
        <f>Moves!G88</f>
        <v/>
      </c>
      <c r="H257" s="29" t="inlineStr">
        <is>
          <t>우뢰</t>
        </is>
      </c>
      <c r="I257" s="29" t="inlineStr">
        <is>
          <t>天雷</t>
        </is>
      </c>
      <c r="J257" s="29">
        <f>I257</f>
        <v/>
      </c>
      <c r="K257" s="29">
        <f>F257</f>
        <v/>
      </c>
    </row>
    <row r="258">
      <c r="A258" s="29">
        <f>CONCATENATE("CATEGORY_",UPPER(Pokemon!B245))</f>
        <v/>
      </c>
      <c r="B258" s="29">
        <f>B166</f>
        <v/>
      </c>
      <c r="C258" s="29">
        <f>C166</f>
        <v/>
      </c>
      <c r="D258" s="29">
        <f>D166</f>
        <v/>
      </c>
      <c r="E258" s="29">
        <f>E166</f>
        <v/>
      </c>
      <c r="F258" s="29">
        <f>F166</f>
        <v/>
      </c>
      <c r="G258" s="29">
        <f>G166</f>
        <v/>
      </c>
      <c r="H258" s="29">
        <f>H166</f>
        <v/>
      </c>
      <c r="I258" s="29">
        <f>I166</f>
        <v/>
      </c>
      <c r="J258" s="29">
        <f>J166</f>
        <v/>
      </c>
      <c r="K258" s="29">
        <f>F258</f>
        <v/>
      </c>
    </row>
    <row r="259">
      <c r="A259" s="29">
        <f>CONCATENATE("CATEGORY_",UPPER(Pokemon!B246))</f>
        <v/>
      </c>
      <c r="B259" s="29" t="inlineStr">
        <is>
          <t>Aurora</t>
        </is>
      </c>
      <c r="C259" s="29" t="inlineStr">
        <is>
          <t>オーロラ</t>
        </is>
      </c>
      <c r="D259" s="29" t="inlineStr">
        <is>
          <t>Aurore</t>
        </is>
      </c>
      <c r="E259" s="29" t="inlineStr">
        <is>
          <t>Polarlicht</t>
        </is>
      </c>
      <c r="F259" s="29">
        <f>B259</f>
        <v/>
      </c>
      <c r="G259" s="29">
        <f>B259</f>
        <v/>
      </c>
      <c r="H259" s="29" t="inlineStr">
        <is>
          <t>오로라</t>
        </is>
      </c>
      <c r="I259" s="29" t="inlineStr">
        <is>
          <t>極光</t>
        </is>
      </c>
      <c r="J259" s="29">
        <f>IFERROR(__xludf.DUMMYFUNCTION("GOOGLETRANSLATE(I259, ""zh_HANT"",""zh_HANS"")"),"极光")</f>
        <v/>
      </c>
      <c r="K259" s="29">
        <f>F259</f>
        <v/>
      </c>
    </row>
    <row r="260">
      <c r="A260" s="29">
        <f>CONCATENATE("CATEGORY_",UPPER(Pokemon!B247))</f>
        <v/>
      </c>
      <c r="B260" s="29" t="inlineStr">
        <is>
          <t>Rock Skin</t>
        </is>
      </c>
      <c r="C260" s="29" t="inlineStr">
        <is>
          <t>いわはだ</t>
        </is>
      </c>
      <c r="D260" s="29" t="inlineStr">
        <is>
          <t>Peaupierre</t>
        </is>
      </c>
      <c r="E260" s="29" t="inlineStr">
        <is>
          <t>Felshaut</t>
        </is>
      </c>
      <c r="F260" s="29" t="inlineStr">
        <is>
          <t>Piel Roca</t>
        </is>
      </c>
      <c r="G260" s="29" t="inlineStr">
        <is>
          <t>Peldisasso</t>
        </is>
      </c>
      <c r="H260" s="29" t="inlineStr">
        <is>
          <t>바위표면</t>
        </is>
      </c>
      <c r="I260" s="29" t="inlineStr">
        <is>
          <t>岩石膚</t>
        </is>
      </c>
      <c r="J260" s="29">
        <f>IFERROR(__xludf.DUMMYFUNCTION("GOOGLETRANSLATE(I260, ""zh_HANT"",""zh_HANS"")"),"岩石肤")</f>
        <v/>
      </c>
      <c r="K260" s="29">
        <f>F260</f>
        <v/>
      </c>
    </row>
    <row r="261">
      <c r="A261" s="29">
        <f>CONCATENATE("CATEGORY_",UPPER(Pokemon!B248))</f>
        <v/>
      </c>
      <c r="B261" s="29" t="inlineStr">
        <is>
          <t>Hard Shell</t>
        </is>
      </c>
      <c r="C261" s="29" t="inlineStr">
        <is>
          <t>だんがん</t>
        </is>
      </c>
      <c r="D261" s="29" t="inlineStr">
        <is>
          <t>Carapadure</t>
        </is>
      </c>
      <c r="E261" s="29" t="inlineStr">
        <is>
          <t>Hartschale</t>
        </is>
      </c>
      <c r="F261" s="29" t="inlineStr">
        <is>
          <t>Caparazón</t>
        </is>
      </c>
      <c r="G261" s="29" t="inlineStr">
        <is>
          <t>Guscioduro</t>
        </is>
      </c>
      <c r="H261" s="29" t="inlineStr">
        <is>
          <t>탄환</t>
        </is>
      </c>
      <c r="I261" s="29" t="inlineStr">
        <is>
          <t>子彈</t>
        </is>
      </c>
      <c r="J261" s="29">
        <f>IFERROR(__xludf.DUMMYFUNCTION("GOOGLETRANSLATE(I261, ""zh_HANT"",""zh_HANS"")"),"子弹")</f>
        <v/>
      </c>
      <c r="K261" s="29">
        <f>F261</f>
        <v/>
      </c>
    </row>
    <row r="262">
      <c r="A262" s="29">
        <f>CONCATENATE("CATEGORY_",UPPER(Pokemon!B249))</f>
        <v/>
      </c>
      <c r="B262" s="29">
        <f>B246</f>
        <v/>
      </c>
      <c r="C262" s="29">
        <f>C246</f>
        <v/>
      </c>
      <c r="D262" s="29">
        <f>D246</f>
        <v/>
      </c>
      <c r="E262" s="29">
        <f>E246</f>
        <v/>
      </c>
      <c r="F262" s="29">
        <f>F246</f>
        <v/>
      </c>
      <c r="G262" s="29">
        <f>G246</f>
        <v/>
      </c>
      <c r="H262" s="29">
        <f>H246</f>
        <v/>
      </c>
      <c r="I262" s="29">
        <f>I246</f>
        <v/>
      </c>
      <c r="J262" s="29">
        <f>J246</f>
        <v/>
      </c>
      <c r="K262" s="29">
        <f>F262</f>
        <v/>
      </c>
    </row>
    <row r="263">
      <c r="A263" s="29">
        <f>CONCATENATE("CATEGORY_",UPPER(Pokemon!B250))</f>
        <v/>
      </c>
      <c r="B263" s="29" t="inlineStr">
        <is>
          <t>Diving</t>
        </is>
      </c>
      <c r="C263" s="29" t="inlineStr">
        <is>
          <t>せんすい</t>
        </is>
      </c>
      <c r="D263" s="29" t="inlineStr">
        <is>
          <t>Plongeon</t>
        </is>
      </c>
      <c r="E263" s="29" t="inlineStr">
        <is>
          <t>Taucher</t>
        </is>
      </c>
      <c r="F263" s="29" t="inlineStr">
        <is>
          <t>Immersione</t>
        </is>
      </c>
      <c r="G263" s="29" t="inlineStr">
        <is>
          <t>Buceo</t>
        </is>
      </c>
      <c r="H263" s="29" t="inlineStr">
        <is>
          <t>잠수</t>
        </is>
      </c>
      <c r="I263" s="29" t="inlineStr">
        <is>
          <t>潛水</t>
        </is>
      </c>
      <c r="J263" s="29">
        <f>IFERROR(__xludf.DUMMYFUNCTION("GOOGLETRANSLATE(I263, ""zh_HANT"",""zh_HANS"")"),"潜水")</f>
        <v/>
      </c>
      <c r="K263" s="29">
        <f>F263</f>
        <v/>
      </c>
    </row>
    <row r="264">
      <c r="A264" s="29">
        <f>CONCATENATE("CATEGORY_",UPPER(Pokemon!B251))</f>
        <v/>
      </c>
      <c r="B264" s="29" t="inlineStr">
        <is>
          <t>Rainbow</t>
        </is>
      </c>
      <c r="C264" s="29" t="inlineStr">
        <is>
          <t>にじいろ</t>
        </is>
      </c>
      <c r="D264" s="29" t="inlineStr">
        <is>
          <t>Arcenciel</t>
        </is>
      </c>
      <c r="E264" s="29" t="inlineStr">
        <is>
          <t>Regenbogen</t>
        </is>
      </c>
      <c r="F264" s="29" t="inlineStr">
        <is>
          <t>Arcoíris</t>
        </is>
      </c>
      <c r="G264" s="29" t="inlineStr">
        <is>
          <t>Arcobaleno</t>
        </is>
      </c>
      <c r="H264" s="29" t="inlineStr">
        <is>
          <t>무지개색</t>
        </is>
      </c>
      <c r="I264" s="29" t="inlineStr">
        <is>
          <t>虹色</t>
        </is>
      </c>
      <c r="J264" s="29">
        <f>I264</f>
        <v/>
      </c>
      <c r="K264" s="29">
        <f>F264</f>
        <v/>
      </c>
    </row>
    <row r="265">
      <c r="A265" s="29">
        <f>CONCATENATE("CATEGORY_",UPPER(Pokemon!B252))</f>
        <v/>
      </c>
      <c r="B265" s="29" t="inlineStr">
        <is>
          <t>Time Travel</t>
        </is>
      </c>
      <c r="C265" s="29" t="inlineStr">
        <is>
          <t>ときわたり</t>
        </is>
      </c>
      <c r="D265" s="29" t="inlineStr">
        <is>
          <t>Temporel</t>
        </is>
      </c>
      <c r="E265" s="29" t="inlineStr">
        <is>
          <t>Zeitreise</t>
        </is>
      </c>
      <c r="F265" s="29" t="inlineStr">
        <is>
          <t>Viajetiempo</t>
        </is>
      </c>
      <c r="G265" s="29" t="inlineStr">
        <is>
          <t>Tempovia</t>
        </is>
      </c>
      <c r="H265" s="29" t="inlineStr">
        <is>
          <t>시간이동</t>
        </is>
      </c>
      <c r="I265" s="29" t="inlineStr">
        <is>
          <t>時空穿越</t>
        </is>
      </c>
      <c r="J265" s="29">
        <f>IFERROR(__xludf.DUMMYFUNCTION("GOOGLETRANSLATE(I265, ""zh_HANT"",""zh_HANS"")"),"时空穿越")</f>
        <v/>
      </c>
      <c r="K265" s="29">
        <f>F265</f>
        <v/>
      </c>
    </row>
    <row r="266">
      <c r="A266" s="29">
        <f>CONCATENATE("CATEGORY_",UPPER(Pokemon!B253))</f>
        <v/>
      </c>
      <c r="B266" s="29" t="inlineStr">
        <is>
          <t>Wood Gecko</t>
        </is>
      </c>
      <c r="C266" s="29" t="inlineStr">
        <is>
          <t>もりトカゲ</t>
        </is>
      </c>
      <c r="D266" s="29" t="inlineStr">
        <is>
          <t>Bois Gecko</t>
        </is>
      </c>
      <c r="E266" s="29" t="inlineStr">
        <is>
          <t>Waldgecko</t>
        </is>
      </c>
      <c r="F266" s="29" t="inlineStr">
        <is>
          <t>Geco Bosque</t>
        </is>
      </c>
      <c r="G266" s="29" t="inlineStr">
        <is>
          <t>Legnogeco</t>
        </is>
      </c>
      <c r="H266" s="29" t="inlineStr">
        <is>
          <t>숲도마뱀</t>
        </is>
      </c>
      <c r="I266" s="29" t="inlineStr">
        <is>
          <t>林蜥</t>
        </is>
      </c>
      <c r="J266" s="29">
        <f>I266</f>
        <v/>
      </c>
      <c r="K266" s="29">
        <f>F266</f>
        <v/>
      </c>
    </row>
    <row r="267">
      <c r="A267" s="29">
        <f>CONCATENATE("CATEGORY_",UPPER(Pokemon!B254))</f>
        <v/>
      </c>
      <c r="B267" s="29">
        <f>B266</f>
        <v/>
      </c>
      <c r="C267" s="29">
        <f>C266</f>
        <v/>
      </c>
      <c r="D267" s="29">
        <f>D266</f>
        <v/>
      </c>
      <c r="E267" s="29">
        <f>E266</f>
        <v/>
      </c>
      <c r="F267" s="29">
        <f>F266</f>
        <v/>
      </c>
      <c r="G267" s="29">
        <f>G266</f>
        <v/>
      </c>
      <c r="H267" s="29">
        <f>H266</f>
        <v/>
      </c>
      <c r="I267" s="29">
        <f>I266</f>
        <v/>
      </c>
      <c r="J267" s="29">
        <f>J266</f>
        <v/>
      </c>
      <c r="K267" s="29">
        <f>F267</f>
        <v/>
      </c>
    </row>
    <row r="268">
      <c r="A268" s="29">
        <f>CONCATENATE("CATEGORY_",UPPER(Pokemon!B255))</f>
        <v/>
      </c>
      <c r="B268" s="29" t="inlineStr">
        <is>
          <t>Forest</t>
        </is>
      </c>
      <c r="C268" s="29" t="inlineStr">
        <is>
          <t>みつりん</t>
        </is>
      </c>
      <c r="D268" s="29" t="inlineStr">
        <is>
          <t>Forêt</t>
        </is>
      </c>
      <c r="E268" s="29" t="inlineStr">
        <is>
          <t>Dschungel</t>
        </is>
      </c>
      <c r="F268" s="29" t="inlineStr">
        <is>
          <t>Monte</t>
        </is>
      </c>
      <c r="G268" s="29" t="inlineStr">
        <is>
          <t>Foresta</t>
        </is>
      </c>
      <c r="H268" s="29" t="inlineStr">
        <is>
          <t>밀림</t>
        </is>
      </c>
      <c r="I268" s="29" t="inlineStr">
        <is>
          <t>密林</t>
        </is>
      </c>
      <c r="J268" s="29">
        <f>I268</f>
        <v/>
      </c>
      <c r="K268" s="29">
        <f>F268</f>
        <v/>
      </c>
    </row>
    <row r="269">
      <c r="A269" s="29">
        <f>CONCATENATE("CATEGORY_",UPPER(Pokemon!B256))</f>
        <v/>
      </c>
      <c r="B269" s="29" t="inlineStr">
        <is>
          <t>Chick</t>
        </is>
      </c>
      <c r="C269" s="29" t="inlineStr">
        <is>
          <t>ひよこ</t>
        </is>
      </c>
      <c r="D269" s="29" t="inlineStr">
        <is>
          <t>Poussin</t>
        </is>
      </c>
      <c r="E269" s="29" t="inlineStr">
        <is>
          <t>Küken</t>
        </is>
      </c>
      <c r="F269" s="29" t="inlineStr">
        <is>
          <t>Polluelo</t>
        </is>
      </c>
      <c r="G269" s="29" t="inlineStr">
        <is>
          <t>Pulcino</t>
        </is>
      </c>
      <c r="H269" s="29" t="inlineStr">
        <is>
          <t>풋내기</t>
        </is>
      </c>
      <c r="I269" s="29" t="inlineStr">
        <is>
          <t>雛雞</t>
        </is>
      </c>
      <c r="J269" s="29">
        <f>IFERROR(__xludf.DUMMYFUNCTION("GOOGLETRANSLATE(I269, ""zh_HANT"",""zh_HANS"")"),"雏鸡")</f>
        <v/>
      </c>
      <c r="K269" s="29">
        <f>F269</f>
        <v/>
      </c>
    </row>
    <row r="270">
      <c r="A270" s="29">
        <f>CONCATENATE("CATEGORY_",UPPER(Pokemon!B257))</f>
        <v/>
      </c>
      <c r="B270" s="29" t="inlineStr">
        <is>
          <t>Young Fowl</t>
        </is>
      </c>
      <c r="C270" s="29" t="inlineStr">
        <is>
          <t>わかどり</t>
        </is>
      </c>
      <c r="D270" s="29" t="inlineStr">
        <is>
          <t>Poulet</t>
        </is>
      </c>
      <c r="E270" s="29" t="inlineStr">
        <is>
          <t>Kleinhahn</t>
        </is>
      </c>
      <c r="F270" s="29" t="inlineStr">
        <is>
          <t>Ave Corral</t>
        </is>
      </c>
      <c r="G270" s="29" t="inlineStr">
        <is>
          <t>Rampollo</t>
        </is>
      </c>
      <c r="H270" s="29" t="inlineStr">
        <is>
          <t>꼬마닭</t>
        </is>
      </c>
      <c r="I270" s="29" t="inlineStr">
        <is>
          <t>幼雞</t>
        </is>
      </c>
      <c r="J270" s="29">
        <f>IFERROR(__xludf.DUMMYFUNCTION("GOOGLETRANSLATE(I270, ""zh_HANT"",""zh_HANS"")"),"幼鸡")</f>
        <v/>
      </c>
      <c r="K270" s="29">
        <f>F270</f>
        <v/>
      </c>
    </row>
    <row r="271">
      <c r="A271" s="29">
        <f>CONCATENATE("CATEGORY_",UPPER(Pokemon!B258))</f>
        <v/>
      </c>
      <c r="B271" s="29">
        <f>Abilities!B67</f>
        <v/>
      </c>
      <c r="C271" s="29">
        <f>Abilities!C67</f>
        <v/>
      </c>
      <c r="D271" s="29" t="inlineStr">
        <is>
          <t>Ardent</t>
        </is>
      </c>
      <c r="E271" s="29">
        <f>Abilities!E67</f>
        <v/>
      </c>
      <c r="F271" s="29" t="inlineStr">
        <is>
          <t>Llameante</t>
        </is>
      </c>
      <c r="G271" s="29" t="inlineStr">
        <is>
          <t>Vampe</t>
        </is>
      </c>
      <c r="H271" s="29">
        <f>Abilities!H67</f>
        <v/>
      </c>
      <c r="I271" s="29">
        <f>Abilities!I67</f>
        <v/>
      </c>
      <c r="J271" s="29">
        <f>Abilities!J67</f>
        <v/>
      </c>
      <c r="K271" s="29">
        <f>F271</f>
        <v/>
      </c>
    </row>
    <row r="272">
      <c r="A272" s="29">
        <f>CONCATENATE("CATEGORY_",UPPER(Pokemon!B259))</f>
        <v/>
      </c>
      <c r="B272" s="29" t="inlineStr">
        <is>
          <t>Mud Fish</t>
        </is>
      </c>
      <c r="C272" s="29" t="inlineStr">
        <is>
          <t>ぬまうお</t>
        </is>
      </c>
      <c r="D272" s="29" t="inlineStr">
        <is>
          <t>Poissonboue</t>
        </is>
      </c>
      <c r="E272" s="29" t="inlineStr">
        <is>
          <t>Lehmhüpfer</t>
        </is>
      </c>
      <c r="F272" s="29" t="inlineStr">
        <is>
          <t>Pez Lodo</t>
        </is>
      </c>
      <c r="G272" s="29" t="inlineStr">
        <is>
          <t>Fango Pesce</t>
        </is>
      </c>
      <c r="H272" s="29" t="inlineStr">
        <is>
          <t>늪물고기</t>
        </is>
      </c>
      <c r="I272" s="29" t="inlineStr">
        <is>
          <t>沼魚</t>
        </is>
      </c>
      <c r="J272" s="29">
        <f>IFERROR(__xludf.DUMMYFUNCTION("GOOGLETRANSLATE(I272, ""zh_HANT"",""zh_HANS"")"),"沼鱼")</f>
        <v/>
      </c>
      <c r="K272" s="29">
        <f>F272</f>
        <v/>
      </c>
    </row>
    <row r="273">
      <c r="A273" s="29">
        <f>CONCATENATE("CATEGORY_",UPPER(Pokemon!B260))</f>
        <v/>
      </c>
      <c r="B273" s="29">
        <f>B272</f>
        <v/>
      </c>
      <c r="C273" s="29">
        <f>C272</f>
        <v/>
      </c>
      <c r="D273" s="29">
        <f>D272</f>
        <v/>
      </c>
      <c r="E273" s="29">
        <f>E272</f>
        <v/>
      </c>
      <c r="F273" s="29">
        <f>F272</f>
        <v/>
      </c>
      <c r="G273" s="29">
        <f>G272</f>
        <v/>
      </c>
      <c r="H273" s="29">
        <f>H272</f>
        <v/>
      </c>
      <c r="I273" s="29">
        <f>I272</f>
        <v/>
      </c>
      <c r="J273" s="29">
        <f>J272</f>
        <v/>
      </c>
      <c r="K273" s="29">
        <f>F273</f>
        <v/>
      </c>
    </row>
    <row r="274">
      <c r="A274" s="29">
        <f>CONCATENATE("CATEGORY_",UPPER(Pokemon!B261))</f>
        <v/>
      </c>
      <c r="B274" s="29">
        <f>B272</f>
        <v/>
      </c>
      <c r="C274" s="29">
        <f>C272</f>
        <v/>
      </c>
      <c r="D274" s="29">
        <f>D272</f>
        <v/>
      </c>
      <c r="E274" s="29">
        <f>E272</f>
        <v/>
      </c>
      <c r="F274" s="29">
        <f>F272</f>
        <v/>
      </c>
      <c r="G274" s="29">
        <f>G272</f>
        <v/>
      </c>
      <c r="H274" s="29">
        <f>H272</f>
        <v/>
      </c>
      <c r="I274" s="29">
        <f>I272</f>
        <v/>
      </c>
      <c r="J274" s="29">
        <f>J272</f>
        <v/>
      </c>
      <c r="K274" s="29">
        <f>F274</f>
        <v/>
      </c>
    </row>
    <row r="275">
      <c r="A275" s="29">
        <f>CONCATENATE("CATEGORY_",UPPER(Pokemon!B262))</f>
        <v/>
      </c>
      <c r="B275" s="29">
        <f>Moves!B45</f>
        <v/>
      </c>
      <c r="C275" s="29">
        <f>Moves!C45</f>
        <v/>
      </c>
      <c r="D275" s="29">
        <f>Moves!D45</f>
        <v/>
      </c>
      <c r="E275" s="29">
        <f>Moves!E45</f>
        <v/>
      </c>
      <c r="F275" s="29">
        <f>Moves!F45</f>
        <v/>
      </c>
      <c r="G275" s="29">
        <f>Moves!G45</f>
        <v/>
      </c>
      <c r="H275" s="29">
        <f>Moves!H45</f>
        <v/>
      </c>
      <c r="I275" s="29">
        <f>Moves!I45</f>
        <v/>
      </c>
      <c r="J275" s="29">
        <f>Moves!J45</f>
        <v/>
      </c>
      <c r="K275" s="29">
        <f>F275</f>
        <v/>
      </c>
    </row>
    <row r="276">
      <c r="A276" s="29">
        <f>CONCATENATE("CATEGORY_",UPPER(Pokemon!B263))</f>
        <v/>
      </c>
      <c r="B276" s="29">
        <f>B275</f>
        <v/>
      </c>
      <c r="C276" s="29">
        <f>C275</f>
        <v/>
      </c>
      <c r="D276" s="29">
        <f>D275</f>
        <v/>
      </c>
      <c r="E276" s="29">
        <f>E275</f>
        <v/>
      </c>
      <c r="F276" s="29">
        <f>F275</f>
        <v/>
      </c>
      <c r="G276" s="29">
        <f>G275</f>
        <v/>
      </c>
      <c r="H276" s="29">
        <f>H275</f>
        <v/>
      </c>
      <c r="I276" s="29">
        <f>I275</f>
        <v/>
      </c>
      <c r="J276" s="29">
        <f>J275</f>
        <v/>
      </c>
      <c r="K276" s="29">
        <f>F276</f>
        <v/>
      </c>
    </row>
    <row r="277">
      <c r="A277" s="29">
        <f>CONCATENATE("CATEGORY_",UPPER(Pokemon!B264))</f>
        <v/>
      </c>
      <c r="B277" s="29" t="inlineStr">
        <is>
          <t>Tiny Raccoon</t>
        </is>
      </c>
      <c r="C277" s="29" t="inlineStr">
        <is>
          <t>まめだぬき</t>
        </is>
      </c>
      <c r="D277" s="29" t="inlineStr">
        <is>
          <t>Petit Raton</t>
        </is>
      </c>
      <c r="E277" s="29" t="inlineStr">
        <is>
          <t>Kleindachs</t>
        </is>
      </c>
      <c r="F277" s="29" t="inlineStr">
        <is>
          <t>Mapachito</t>
        </is>
      </c>
      <c r="G277" s="29" t="inlineStr">
        <is>
          <t>Procione</t>
        </is>
      </c>
      <c r="H277" s="29" t="inlineStr">
        <is>
          <t>앙증너구리</t>
        </is>
      </c>
      <c r="I277" s="29" t="inlineStr">
        <is>
          <t>豆貍</t>
        </is>
      </c>
      <c r="J277" s="29">
        <f>IFERROR(__xludf.DUMMYFUNCTION("GOOGLETRANSLATE(I277, ""zh_HANT"",""zh_HANS"")"),"豆狸")</f>
        <v/>
      </c>
      <c r="K277" s="29">
        <f>F277</f>
        <v/>
      </c>
    </row>
    <row r="278">
      <c r="A278" s="29">
        <f>CONCATENATE("CATEGORY_",UPPER(Pokemon!B265))</f>
        <v/>
      </c>
      <c r="B278" s="29" t="inlineStr">
        <is>
          <t>Rushing</t>
        </is>
      </c>
      <c r="C278" s="29" t="inlineStr">
        <is>
          <t>とっしん</t>
        </is>
      </c>
      <c r="D278" s="29" t="inlineStr">
        <is>
          <t>Fonceur</t>
        </is>
      </c>
      <c r="E278" s="29" t="inlineStr">
        <is>
          <t>Sprinter</t>
        </is>
      </c>
      <c r="F278" s="29" t="inlineStr">
        <is>
          <t>Lanzado</t>
        </is>
      </c>
      <c r="G278" s="29" t="inlineStr">
        <is>
          <t>Sfrecciante</t>
        </is>
      </c>
      <c r="H278" s="29" t="inlineStr">
        <is>
          <t>돌진</t>
        </is>
      </c>
      <c r="I278" s="29" t="inlineStr">
        <is>
          <t>猛衝</t>
        </is>
      </c>
      <c r="J278" s="29">
        <f>IFERROR(__xludf.DUMMYFUNCTION("GOOGLETRANSLATE(I278, ""zh_HANT"",""zh_HANS"")"),"猛冲")</f>
        <v/>
      </c>
      <c r="K278" s="29">
        <f>F278</f>
        <v/>
      </c>
    </row>
    <row r="279">
      <c r="A279" s="29">
        <f>CONCATENATE("CATEGORY_",UPPER(Pokemon!B266))</f>
        <v/>
      </c>
      <c r="B279" s="29">
        <f>B11</f>
        <v/>
      </c>
      <c r="C279" s="29">
        <f>C11</f>
        <v/>
      </c>
      <c r="D279" s="29">
        <f>D11</f>
        <v/>
      </c>
      <c r="E279" s="29">
        <f>E11</f>
        <v/>
      </c>
      <c r="F279" s="29">
        <f>F11</f>
        <v/>
      </c>
      <c r="G279" s="29">
        <f>G11</f>
        <v/>
      </c>
      <c r="H279" s="29">
        <f>H11</f>
        <v/>
      </c>
      <c r="I279" s="29">
        <f>I11</f>
        <v/>
      </c>
      <c r="J279" s="29">
        <f>J11</f>
        <v/>
      </c>
      <c r="K279" s="29">
        <f>F279</f>
        <v/>
      </c>
    </row>
    <row r="280">
      <c r="A280" s="29">
        <f>CONCATENATE("CATEGORY_",UPPER(Pokemon!B267))</f>
        <v/>
      </c>
      <c r="B280" s="29">
        <f>B12</f>
        <v/>
      </c>
      <c r="C280" s="29">
        <f>C12</f>
        <v/>
      </c>
      <c r="D280" s="29">
        <f>D12</f>
        <v/>
      </c>
      <c r="E280" s="29">
        <f>E12</f>
        <v/>
      </c>
      <c r="F280" s="29">
        <f>F12</f>
        <v/>
      </c>
      <c r="G280" s="29">
        <f>G12</f>
        <v/>
      </c>
      <c r="H280" s="29">
        <f>H12</f>
        <v/>
      </c>
      <c r="I280" s="29">
        <f>I12</f>
        <v/>
      </c>
      <c r="J280" s="29">
        <f>J12</f>
        <v/>
      </c>
      <c r="K280" s="29">
        <f>F280</f>
        <v/>
      </c>
    </row>
    <row r="281">
      <c r="A281" s="29">
        <f>CONCATENATE("CATEGORY_",UPPER(Pokemon!B268))</f>
        <v/>
      </c>
      <c r="B281" s="29">
        <f>B13</f>
        <v/>
      </c>
      <c r="C281" s="29">
        <f>C13</f>
        <v/>
      </c>
      <c r="D281" s="29">
        <f>D13</f>
        <v/>
      </c>
      <c r="E281" s="29">
        <f>E13</f>
        <v/>
      </c>
      <c r="F281" s="29">
        <f>F13</f>
        <v/>
      </c>
      <c r="G281" s="29">
        <f>G13</f>
        <v/>
      </c>
      <c r="H281" s="29">
        <f>H13</f>
        <v/>
      </c>
      <c r="I281" s="29">
        <f>I13</f>
        <v/>
      </c>
      <c r="J281" s="29">
        <f>J13</f>
        <v/>
      </c>
      <c r="K281" s="29">
        <f>F281</f>
        <v/>
      </c>
    </row>
    <row r="282">
      <c r="A282" s="29">
        <f>CONCATENATE("CATEGORY_",UPPER(Pokemon!B269))</f>
        <v/>
      </c>
      <c r="B282" s="29">
        <f>B12</f>
        <v/>
      </c>
      <c r="C282" s="29">
        <f>C12</f>
        <v/>
      </c>
      <c r="D282" s="29">
        <f>D12</f>
        <v/>
      </c>
      <c r="E282" s="29">
        <f>E12</f>
        <v/>
      </c>
      <c r="F282" s="29">
        <f>F12</f>
        <v/>
      </c>
      <c r="G282" s="29">
        <f>G12</f>
        <v/>
      </c>
      <c r="H282" s="29">
        <f>H12</f>
        <v/>
      </c>
      <c r="I282" s="29">
        <f>I12</f>
        <v/>
      </c>
      <c r="J282" s="29">
        <f>J12</f>
        <v/>
      </c>
      <c r="K282" s="29">
        <f>F282</f>
        <v/>
      </c>
    </row>
    <row r="283">
      <c r="A283" s="29">
        <f>CONCATENATE("CATEGORY_",UPPER(Pokemon!B270))</f>
        <v/>
      </c>
      <c r="B283" s="29">
        <f>B50</f>
        <v/>
      </c>
      <c r="C283" s="29">
        <f>C50</f>
        <v/>
      </c>
      <c r="D283" s="29">
        <f>D50</f>
        <v/>
      </c>
      <c r="E283" s="29">
        <f>E50</f>
        <v/>
      </c>
      <c r="F283" s="29">
        <f>F50</f>
        <v/>
      </c>
      <c r="G283" s="29">
        <f>G50</f>
        <v/>
      </c>
      <c r="H283" s="29">
        <f>H50</f>
        <v/>
      </c>
      <c r="I283" s="29">
        <f>I50</f>
        <v/>
      </c>
      <c r="J283" s="29">
        <f>J50</f>
        <v/>
      </c>
      <c r="K283" s="29">
        <f>F283</f>
        <v/>
      </c>
    </row>
    <row r="284">
      <c r="A284" s="29">
        <f>CONCATENATE("CATEGORY_",UPPER(Pokemon!B271))</f>
        <v/>
      </c>
      <c r="B284" s="29" t="inlineStr">
        <is>
          <t>Water Weed</t>
        </is>
      </c>
      <c r="C284" s="29" t="inlineStr">
        <is>
          <t>うきくさ</t>
        </is>
      </c>
      <c r="D284" s="29" t="inlineStr">
        <is>
          <t>Aquaplante</t>
        </is>
      </c>
      <c r="E284" s="29" t="inlineStr">
        <is>
          <t>Wasserlinse</t>
        </is>
      </c>
      <c r="F284" s="29" t="inlineStr">
        <is>
          <t>Alga</t>
        </is>
      </c>
      <c r="G284" s="29">
        <f>F284</f>
        <v/>
      </c>
      <c r="H284" s="29" t="inlineStr">
        <is>
          <t>개구리밥</t>
        </is>
      </c>
      <c r="I284" s="29">
        <f>J284</f>
        <v/>
      </c>
      <c r="J284" s="29" t="inlineStr">
        <is>
          <t>浮萍</t>
        </is>
      </c>
      <c r="K284" s="29">
        <f>F284</f>
        <v/>
      </c>
    </row>
    <row r="285">
      <c r="A285" s="29">
        <f>CONCATENATE("CATEGORY_",UPPER(Pokemon!B272))</f>
        <v/>
      </c>
      <c r="B285" s="29">
        <f>Natures!B13</f>
        <v/>
      </c>
      <c r="C285" s="29">
        <f>Natures!C13</f>
        <v/>
      </c>
      <c r="D285" s="29">
        <f>Natures!D13</f>
        <v/>
      </c>
      <c r="E285" s="29">
        <f>Natures!E13</f>
        <v/>
      </c>
      <c r="F285" s="29">
        <f>Natures!F13</f>
        <v/>
      </c>
      <c r="G285" s="29" t="inlineStr">
        <is>
          <t>Giocoso</t>
        </is>
      </c>
      <c r="H285" s="29" t="inlineStr">
        <is>
          <t>명랑함</t>
        </is>
      </c>
      <c r="I285" s="29">
        <f>Natures!I13</f>
        <v/>
      </c>
      <c r="J285" s="29">
        <f>Natures!J13</f>
        <v/>
      </c>
      <c r="K285" s="29">
        <f>F285</f>
        <v/>
      </c>
    </row>
    <row r="286">
      <c r="A286" s="29">
        <f>CONCATENATE("CATEGORY_",UPPER(Pokemon!B273))</f>
        <v/>
      </c>
      <c r="B286" s="29" t="inlineStr">
        <is>
          <t>Carefree</t>
        </is>
      </c>
      <c r="C286" s="29" t="inlineStr">
        <is>
          <t>のうてんき</t>
        </is>
      </c>
      <c r="D286" s="29" t="inlineStr">
        <is>
          <t>Insouciant</t>
        </is>
      </c>
      <c r="E286" s="29" t="inlineStr">
        <is>
          <t>Sorglos</t>
        </is>
      </c>
      <c r="F286" s="29" t="inlineStr">
        <is>
          <t>Optimista</t>
        </is>
      </c>
      <c r="G286" s="29" t="inlineStr">
        <is>
          <t>Spensierato</t>
        </is>
      </c>
      <c r="H286" s="29" t="inlineStr">
        <is>
          <t>행복하기</t>
        </is>
      </c>
      <c r="I286" s="29" t="inlineStr">
        <is>
          <t>樂天</t>
        </is>
      </c>
      <c r="J286" s="29">
        <f>IFERROR(__xludf.DUMMYFUNCTION("GOOGLETRANSLATE(I286, ""zh_HANT"",""zh_HANS"")"),"乐天")</f>
        <v/>
      </c>
      <c r="K286" s="29">
        <f>F286</f>
        <v/>
      </c>
    </row>
    <row r="287">
      <c r="A287" s="29">
        <f>CONCATENATE("CATEGORY_",UPPER(Pokemon!B274))</f>
        <v/>
      </c>
      <c r="B287" s="29" t="inlineStr">
        <is>
          <t>Acorn</t>
        </is>
      </c>
      <c r="C287" s="29" t="inlineStr">
        <is>
          <t>どんぐり</t>
        </is>
      </c>
      <c r="D287" s="29" t="inlineStr">
        <is>
          <t>Gland</t>
        </is>
      </c>
      <c r="E287" s="29" t="inlineStr">
        <is>
          <t>Eichelnuss</t>
        </is>
      </c>
      <c r="F287" s="29" t="inlineStr">
        <is>
          <t>Bellota</t>
        </is>
      </c>
      <c r="G287" s="29" t="inlineStr">
        <is>
          <t>Ghianda</t>
        </is>
      </c>
      <c r="H287" s="29" t="inlineStr">
        <is>
          <t>도토리</t>
        </is>
      </c>
      <c r="I287" s="29" t="inlineStr">
        <is>
          <t>橡實</t>
        </is>
      </c>
      <c r="J287" s="29">
        <f>IFERROR(__xludf.DUMMYFUNCTION("GOOGLETRANSLATE(I287, ""zh_HANT"",""zh_HANS"")"),"橡实")</f>
        <v/>
      </c>
      <c r="K287" s="29">
        <f>F287</f>
        <v/>
      </c>
    </row>
    <row r="288">
      <c r="A288" s="29">
        <f>CONCATENATE("CATEGORY_",UPPER(Pokemon!B275))</f>
        <v/>
      </c>
      <c r="B288" s="29" t="inlineStr">
        <is>
          <t>Wily</t>
        </is>
      </c>
      <c r="C288" s="29" t="inlineStr">
        <is>
          <t>いじわる</t>
        </is>
      </c>
      <c r="D288" s="29" t="inlineStr">
        <is>
          <t>Malin</t>
        </is>
      </c>
      <c r="E288" s="29" t="inlineStr">
        <is>
          <t>Hinterlist</t>
        </is>
      </c>
      <c r="F288" s="29" t="inlineStr">
        <is>
          <t>Astuto</t>
        </is>
      </c>
      <c r="G288" s="29" t="inlineStr">
        <is>
          <t>Scaltro</t>
        </is>
      </c>
      <c r="H288" s="29" t="inlineStr">
        <is>
          <t>꾀부리기</t>
        </is>
      </c>
      <c r="I288" s="29" t="inlineStr">
        <is>
          <t>捉弄</t>
        </is>
      </c>
      <c r="J288" s="29">
        <f>I288</f>
        <v/>
      </c>
      <c r="K288" s="29">
        <f>F288</f>
        <v/>
      </c>
    </row>
    <row r="289">
      <c r="A289" s="29">
        <f>CONCATENATE("CATEGORY_",UPPER(Pokemon!B276))</f>
        <v/>
      </c>
      <c r="B289" s="29" t="inlineStr">
        <is>
          <t>Wicked</t>
        </is>
      </c>
      <c r="C289" s="29" t="inlineStr">
        <is>
          <t>よこしま</t>
        </is>
      </c>
      <c r="D289" s="29" t="inlineStr">
        <is>
          <t>Malveillant</t>
        </is>
      </c>
      <c r="E289" s="29" t="inlineStr">
        <is>
          <t>Verschlagen</t>
        </is>
      </c>
      <c r="F289" s="29" t="inlineStr">
        <is>
          <t>Malvado</t>
        </is>
      </c>
      <c r="G289" s="29" t="inlineStr">
        <is>
          <t>Burbero</t>
        </is>
      </c>
      <c r="H289" s="29" t="inlineStr">
        <is>
          <t>부정하기</t>
        </is>
      </c>
      <c r="I289" s="29" t="inlineStr">
        <is>
          <t>邪惡</t>
        </is>
      </c>
      <c r="J289" s="29">
        <f>IFERROR(__xludf.DUMMYFUNCTION("GOOGLETRANSLATE(I289, ""zh_HANT"",""zh_HANS"")"),"邪恶")</f>
        <v/>
      </c>
      <c r="K289" s="29">
        <f>F289</f>
        <v/>
      </c>
    </row>
    <row r="290">
      <c r="A290" s="29">
        <f>CONCATENATE("CATEGORY_",UPPER(Pokemon!B277))</f>
        <v/>
      </c>
      <c r="B290" s="29" t="inlineStr">
        <is>
          <t>Tiny Swallow</t>
        </is>
      </c>
      <c r="C290" s="29" t="inlineStr">
        <is>
          <t>こツベメ</t>
        </is>
      </c>
      <c r="D290" s="29" t="inlineStr">
        <is>
          <t>Minirondel</t>
        </is>
      </c>
      <c r="E290" s="29" t="inlineStr">
        <is>
          <t>Schwälblein</t>
        </is>
      </c>
      <c r="F290" s="29" t="inlineStr">
        <is>
          <t>Pequebuche</t>
        </is>
      </c>
      <c r="G290" s="29" t="inlineStr">
        <is>
          <t>Rondinella</t>
        </is>
      </c>
      <c r="H290" s="29" t="inlineStr">
        <is>
          <t>아기제비</t>
        </is>
      </c>
      <c r="I290" s="29" t="inlineStr">
        <is>
          <t>幼燕</t>
        </is>
      </c>
      <c r="J290" s="29">
        <f>I290</f>
        <v/>
      </c>
      <c r="K290" s="29">
        <f>F290</f>
        <v/>
      </c>
    </row>
    <row r="291">
      <c r="A291" s="29">
        <f>CONCATENATE("CATEGORY_",UPPER(Pokemon!B278))</f>
        <v/>
      </c>
      <c r="B291" s="29" t="inlineStr">
        <is>
          <t>Swallow</t>
        </is>
      </c>
      <c r="C291" s="29" t="inlineStr">
        <is>
          <t>ツベメ</t>
        </is>
      </c>
      <c r="D291" s="29" t="inlineStr">
        <is>
          <t>Hirondelle</t>
        </is>
      </c>
      <c r="E291" s="29" t="inlineStr">
        <is>
          <t>Schwalbe</t>
        </is>
      </c>
      <c r="F291" s="29" t="inlineStr">
        <is>
          <t>Buche</t>
        </is>
      </c>
      <c r="G291" s="29" t="inlineStr">
        <is>
          <t>Rondine</t>
        </is>
      </c>
      <c r="H291" s="29" t="inlineStr">
        <is>
          <t>제비</t>
        </is>
      </c>
      <c r="I291" s="29" t="inlineStr">
        <is>
          <t>燕子</t>
        </is>
      </c>
      <c r="J291" s="29">
        <f>I291</f>
        <v/>
      </c>
      <c r="K291" s="29">
        <f>F291</f>
        <v/>
      </c>
    </row>
    <row r="292">
      <c r="A292" s="29">
        <f>CONCATENATE("CATEGORY_",UPPER(Pokemon!B279))</f>
        <v/>
      </c>
      <c r="B292" s="29" t="inlineStr">
        <is>
          <t>Seagull</t>
        </is>
      </c>
      <c r="C292" s="29" t="inlineStr">
        <is>
          <t>うみねこ</t>
        </is>
      </c>
      <c r="D292" s="29" t="inlineStr">
        <is>
          <t>Mouette</t>
        </is>
      </c>
      <c r="E292" s="29" t="inlineStr">
        <is>
          <t>Seemöwe</t>
        </is>
      </c>
      <c r="F292" s="29" t="inlineStr">
        <is>
          <t>Gaviota</t>
        </is>
      </c>
      <c r="G292" s="29" t="inlineStr">
        <is>
          <t>Gabbiano</t>
        </is>
      </c>
      <c r="H292" s="29" t="inlineStr">
        <is>
          <t>괭이갈매기</t>
        </is>
      </c>
      <c r="I292" s="29" t="inlineStr">
        <is>
          <t>海鷗</t>
        </is>
      </c>
      <c r="J292" s="29">
        <f>IFERROR(__xludf.DUMMYFUNCTION("GOOGLETRANSLATE(I292, ""zh_HANT"",""zh_HANS"")"),"海鸥")</f>
        <v/>
      </c>
      <c r="K292" s="29">
        <f>F292</f>
        <v/>
      </c>
    </row>
    <row r="293">
      <c r="A293" s="29">
        <f>CONCATENATE("CATEGORY_",UPPER(Pokemon!B280))</f>
        <v/>
      </c>
      <c r="B293" s="29" t="inlineStr">
        <is>
          <t>Water Bird</t>
        </is>
      </c>
      <c r="C293" s="29" t="inlineStr">
        <is>
          <t>みずどり</t>
        </is>
      </c>
      <c r="D293" s="29" t="inlineStr">
        <is>
          <t>Oiseaudo</t>
        </is>
      </c>
      <c r="E293" s="29" t="inlineStr">
        <is>
          <t>Wasservogel</t>
        </is>
      </c>
      <c r="F293" s="29" t="inlineStr">
        <is>
          <t>Ave Agua</t>
        </is>
      </c>
      <c r="G293" s="29" t="inlineStr">
        <is>
          <t>Alacquatico</t>
        </is>
      </c>
      <c r="H293" s="29" t="inlineStr">
        <is>
          <t>물새</t>
        </is>
      </c>
      <c r="I293" s="29" t="inlineStr">
        <is>
          <t>水鳥</t>
        </is>
      </c>
      <c r="J293" s="29">
        <f>IFERROR(__xludf.DUMMYFUNCTION("GOOGLETRANSLATE(I293, ""zh_HANT"",""zh_HANS"")"),"水鸟")</f>
        <v/>
      </c>
      <c r="K293" s="29">
        <f>F293</f>
        <v/>
      </c>
    </row>
    <row r="294">
      <c r="A294" s="29">
        <f>CONCATENATE("CATEGORY_",UPPER(Pokemon!B281))</f>
        <v/>
      </c>
      <c r="B294" s="29" t="inlineStr">
        <is>
          <t>Feeling</t>
        </is>
      </c>
      <c r="C294" s="29" t="inlineStr">
        <is>
          <t>きもち</t>
        </is>
      </c>
      <c r="D294" s="29" t="inlineStr">
        <is>
          <t>Sentiment</t>
        </is>
      </c>
      <c r="E294" s="29" t="inlineStr">
        <is>
          <t>Gefühl</t>
        </is>
      </c>
      <c r="F294" s="29" t="inlineStr">
        <is>
          <t>Sensible</t>
        </is>
      </c>
      <c r="G294" s="29" t="inlineStr">
        <is>
          <t>Sensazione</t>
        </is>
      </c>
      <c r="H294" s="29" t="inlineStr">
        <is>
          <t>느낌</t>
        </is>
      </c>
      <c r="I294" s="29" t="inlineStr">
        <is>
          <t>心情</t>
        </is>
      </c>
      <c r="J294" s="29">
        <f>I294</f>
        <v/>
      </c>
      <c r="K294" s="29">
        <f>F294</f>
        <v/>
      </c>
    </row>
    <row r="295">
      <c r="A295" s="29">
        <f>CONCATENATE("CATEGORY_",UPPER(Pokemon!B282))</f>
        <v/>
      </c>
      <c r="B295" s="29" t="inlineStr">
        <is>
          <t>Emotion</t>
        </is>
      </c>
      <c r="C295" s="29" t="inlineStr">
        <is>
          <t>かんじょう</t>
        </is>
      </c>
      <c r="D295" s="29" t="inlineStr">
        <is>
          <t>Émotion</t>
        </is>
      </c>
      <c r="E295" s="29">
        <f>B295</f>
        <v/>
      </c>
      <c r="F295" s="29" t="inlineStr">
        <is>
          <t>Sensorio</t>
        </is>
      </c>
      <c r="G295" s="29" t="inlineStr">
        <is>
          <t>Emozione</t>
        </is>
      </c>
      <c r="H295" s="29" t="inlineStr">
        <is>
          <t>감정</t>
        </is>
      </c>
      <c r="I295" s="29" t="inlineStr">
        <is>
          <t>感情</t>
        </is>
      </c>
      <c r="J295" s="29">
        <f>I295</f>
        <v/>
      </c>
      <c r="K295" s="29">
        <f>F295</f>
        <v/>
      </c>
    </row>
    <row r="296">
      <c r="A296" s="29">
        <f>CONCATENATE("CATEGORY_",UPPER(Pokemon!B283))</f>
        <v/>
      </c>
      <c r="B296" s="29" t="inlineStr">
        <is>
          <t>Embrace</t>
        </is>
      </c>
      <c r="C296" s="29" t="inlineStr">
        <is>
          <t>ほうよう</t>
        </is>
      </c>
      <c r="D296" s="29" t="inlineStr">
        <is>
          <t>Étreinte</t>
        </is>
      </c>
      <c r="E296" s="29" t="inlineStr">
        <is>
          <t>Umarmung</t>
        </is>
      </c>
      <c r="F296" s="29" t="inlineStr">
        <is>
          <t>Envolvente</t>
        </is>
      </c>
      <c r="G296" s="29" t="inlineStr">
        <is>
          <t>Abbraccio</t>
        </is>
      </c>
      <c r="H296" s="29" t="inlineStr">
        <is>
          <t>포용</t>
        </is>
      </c>
      <c r="I296" s="29" t="inlineStr">
        <is>
          <t>包容</t>
        </is>
      </c>
      <c r="J296" s="29">
        <f>I296</f>
        <v/>
      </c>
      <c r="K296" s="29">
        <f>F296</f>
        <v/>
      </c>
    </row>
    <row r="297">
      <c r="A297" s="29">
        <f>CONCATENATE("CATEGORY_",UPPER(Pokemon!B284))</f>
        <v/>
      </c>
      <c r="B297" s="29" t="inlineStr">
        <is>
          <t>Pond Skater</t>
        </is>
      </c>
      <c r="C297" s="29" t="inlineStr">
        <is>
          <t>あめんぼ</t>
        </is>
      </c>
      <c r="D297" s="29" t="inlineStr">
        <is>
          <t>Maresurfeur</t>
        </is>
      </c>
      <c r="E297" s="29" t="inlineStr">
        <is>
          <t>Wassergeher</t>
        </is>
      </c>
      <c r="F297" s="29" t="inlineStr">
        <is>
          <t>Zapatero</t>
        </is>
      </c>
      <c r="G297" s="29" t="inlineStr">
        <is>
          <t>Sfiorapozze</t>
        </is>
      </c>
      <c r="H297" s="29" t="inlineStr">
        <is>
          <t>소금쟁이</t>
        </is>
      </c>
      <c r="I297" s="29" t="inlineStr">
        <is>
          <t>水黽</t>
        </is>
      </c>
      <c r="J297" s="29">
        <f>IFERROR(__xludf.DUMMYFUNCTION("GOOGLETRANSLATE(I297, ""zh_HANT"",""zh_HANS"")"),"水黾")</f>
        <v/>
      </c>
      <c r="K297" s="29">
        <f>F297</f>
        <v/>
      </c>
    </row>
    <row r="298">
      <c r="A298" s="29">
        <f>CONCATENATE("CATEGORY_",UPPER(Pokemon!B285))</f>
        <v/>
      </c>
      <c r="B298" s="29" t="inlineStr">
        <is>
          <t>Eyeball</t>
        </is>
      </c>
      <c r="C298" s="29" t="inlineStr">
        <is>
          <t>めだま</t>
        </is>
      </c>
      <c r="D298" s="29" t="inlineStr">
        <is>
          <t>Boule Œil</t>
        </is>
      </c>
      <c r="E298" s="29" t="inlineStr">
        <is>
          <t>Auge</t>
        </is>
      </c>
      <c r="F298" s="29" t="inlineStr">
        <is>
          <t>Globocular</t>
        </is>
      </c>
      <c r="G298" s="29" t="inlineStr">
        <is>
          <t>Occhi</t>
        </is>
      </c>
      <c r="H298" s="29" t="inlineStr">
        <is>
          <t>안구</t>
        </is>
      </c>
      <c r="I298" s="29" t="inlineStr">
        <is>
          <t>眼珠</t>
        </is>
      </c>
      <c r="J298" s="29">
        <f>I298</f>
        <v/>
      </c>
      <c r="K298" s="29">
        <f>F298</f>
        <v/>
      </c>
    </row>
    <row r="299">
      <c r="A299" s="29">
        <f>CONCATENATE("CATEGORY_",UPPER(Pokemon!B286))</f>
        <v/>
      </c>
      <c r="B299" s="29">
        <f>B47</f>
        <v/>
      </c>
      <c r="C299" s="29">
        <f>C47</f>
        <v/>
      </c>
      <c r="D299" s="29">
        <f>D47</f>
        <v/>
      </c>
      <c r="E299" s="29">
        <f>E47</f>
        <v/>
      </c>
      <c r="F299" s="29">
        <f>F47</f>
        <v/>
      </c>
      <c r="G299" s="29">
        <f>G47</f>
        <v/>
      </c>
      <c r="H299" s="29">
        <f>H47</f>
        <v/>
      </c>
      <c r="I299" s="29">
        <f>I47</f>
        <v/>
      </c>
      <c r="J299" s="29">
        <f>J47</f>
        <v/>
      </c>
      <c r="K299" s="29">
        <f>F299</f>
        <v/>
      </c>
    </row>
    <row r="300">
      <c r="A300" s="29">
        <f>CONCATENATE("CATEGORY_",UPPER(Pokemon!B287))</f>
        <v/>
      </c>
      <c r="B300" s="29">
        <f>B47</f>
        <v/>
      </c>
      <c r="C300" s="29">
        <f>C47</f>
        <v/>
      </c>
      <c r="D300" s="29">
        <f>D47</f>
        <v/>
      </c>
      <c r="E300" s="29">
        <f>E47</f>
        <v/>
      </c>
      <c r="F300" s="29">
        <f>F47</f>
        <v/>
      </c>
      <c r="G300" s="29">
        <f>G47</f>
        <v/>
      </c>
      <c r="H300" s="29">
        <f>H47</f>
        <v/>
      </c>
      <c r="I300" s="29">
        <f>I47</f>
        <v/>
      </c>
      <c r="J300" s="29">
        <f>J47</f>
        <v/>
      </c>
      <c r="K300" s="29">
        <f>F300</f>
        <v/>
      </c>
    </row>
    <row r="301">
      <c r="A301" s="29">
        <f>CONCATENATE("CATEGORY_",UPPER(Pokemon!B288))</f>
        <v/>
      </c>
      <c r="B301" s="29" t="inlineStr">
        <is>
          <t>Slacker</t>
        </is>
      </c>
      <c r="C301" s="29" t="inlineStr">
        <is>
          <t>なまけもの</t>
        </is>
      </c>
      <c r="D301" s="29" t="inlineStr">
        <is>
          <t>Flâneur</t>
        </is>
      </c>
      <c r="E301" s="29" t="inlineStr">
        <is>
          <t>Faulpelz</t>
        </is>
      </c>
      <c r="F301" s="29" t="inlineStr">
        <is>
          <t>Gandul</t>
        </is>
      </c>
      <c r="G301" s="29" t="inlineStr">
        <is>
          <t>Ozioso</t>
        </is>
      </c>
      <c r="H301" s="29" t="inlineStr">
        <is>
          <t>게으름뱅이</t>
        </is>
      </c>
      <c r="I301" s="29" t="inlineStr">
        <is>
          <t>懶人</t>
        </is>
      </c>
      <c r="J301" s="29">
        <f>IFERROR(__xludf.DUMMYFUNCTION("GOOGLETRANSLATE(I301, ""zh_HANT"",""zh_HANS"")"),"懒人")</f>
        <v/>
      </c>
      <c r="K301" s="29">
        <f>F301</f>
        <v/>
      </c>
    </row>
    <row r="302">
      <c r="A302" s="29">
        <f>CONCATENATE("CATEGORY_",UPPER(Pokemon!B289))</f>
        <v/>
      </c>
      <c r="B302" s="29" t="inlineStr">
        <is>
          <t>Wild Monkey</t>
        </is>
      </c>
      <c r="C302" s="29" t="inlineStr">
        <is>
          <t>あばれザル</t>
        </is>
      </c>
      <c r="D302" s="29" t="inlineStr">
        <is>
          <t>Turbusinge</t>
        </is>
      </c>
      <c r="E302" s="29" t="inlineStr">
        <is>
          <t>Wildaffe</t>
        </is>
      </c>
      <c r="F302" s="29" t="inlineStr">
        <is>
          <t>Mono Feroz</t>
        </is>
      </c>
      <c r="G302" s="29" t="inlineStr">
        <is>
          <t>Indocile</t>
        </is>
      </c>
      <c r="H302" s="29" t="inlineStr">
        <is>
          <t>성난원숭이</t>
        </is>
      </c>
      <c r="I302" s="29" t="inlineStr">
        <is>
          <t>暴猿</t>
        </is>
      </c>
      <c r="J302" s="29">
        <f>I302</f>
        <v/>
      </c>
      <c r="K302" s="29">
        <f>F302</f>
        <v/>
      </c>
    </row>
    <row r="303">
      <c r="A303" s="29">
        <f>CONCATENATE("CATEGORY_",UPPER(Pokemon!B290))</f>
        <v/>
      </c>
      <c r="B303" s="29" t="inlineStr">
        <is>
          <t>Lazy</t>
        </is>
      </c>
      <c r="C303" s="29" t="inlineStr">
        <is>
          <t>ものぐさ</t>
        </is>
      </c>
      <c r="D303" s="29" t="inlineStr">
        <is>
          <t>Fainéant</t>
        </is>
      </c>
      <c r="E303" s="29" t="inlineStr">
        <is>
          <t>Müßig</t>
        </is>
      </c>
      <c r="F303" s="29" t="inlineStr">
        <is>
          <t xml:space="preserve">Holgazán        </t>
        </is>
      </c>
      <c r="G303" s="29" t="inlineStr">
        <is>
          <t>Pigrizia</t>
        </is>
      </c>
      <c r="H303" s="29" t="inlineStr">
        <is>
          <t>나태함</t>
        </is>
      </c>
      <c r="I303" s="29" t="inlineStr">
        <is>
          <t>怕麻煩</t>
        </is>
      </c>
      <c r="J303" s="29">
        <f>IFERROR(__xludf.DUMMYFUNCTION("GOOGLETRANSLATE(I303, ""zh_HANT"",""zh_HANS"")"),"怕麻烦")</f>
        <v/>
      </c>
      <c r="K303" s="29">
        <f>F303</f>
        <v/>
      </c>
    </row>
    <row r="304">
      <c r="A304" s="29">
        <f>CONCATENATE("CATEGORY_",UPPER(Pokemon!B291))</f>
        <v/>
      </c>
      <c r="B304" s="29" t="inlineStr">
        <is>
          <t>Trainee</t>
        </is>
      </c>
      <c r="C304" s="29" t="inlineStr">
        <is>
          <t>したづみ</t>
        </is>
      </c>
      <c r="D304" s="29" t="inlineStr">
        <is>
          <t>Apprenti</t>
        </is>
      </c>
      <c r="E304" s="29" t="inlineStr">
        <is>
          <t>Vorbereiter</t>
        </is>
      </c>
      <c r="F304" s="29" t="inlineStr">
        <is>
          <t>Aprendiz</t>
        </is>
      </c>
      <c r="G304" s="29" t="inlineStr">
        <is>
          <t>Novizio</t>
        </is>
      </c>
      <c r="H304" s="29" t="inlineStr">
        <is>
          <t>신참</t>
        </is>
      </c>
      <c r="I304" s="29" t="inlineStr">
        <is>
          <t>入門</t>
        </is>
      </c>
      <c r="J304" s="29">
        <f>IFERROR(__xludf.DUMMYFUNCTION("GOOGLETRANSLATE(I304, ""zh_HANT"",""zh_HANS"")"),"入门")</f>
        <v/>
      </c>
      <c r="K304" s="29">
        <f>F304</f>
        <v/>
      </c>
    </row>
    <row r="305">
      <c r="A305" s="29">
        <f>CONCATENATE("CATEGORY_",UPPER(Pokemon!B292))</f>
        <v/>
      </c>
      <c r="B305" s="29" t="inlineStr">
        <is>
          <t>Ninja</t>
        </is>
      </c>
      <c r="C305" s="29" t="inlineStr">
        <is>
          <t>しのび</t>
        </is>
      </c>
      <c r="D305" s="29">
        <f>B305</f>
        <v/>
      </c>
      <c r="E305" s="29">
        <f>B305</f>
        <v/>
      </c>
      <c r="F305" s="29">
        <f>B305</f>
        <v/>
      </c>
      <c r="G305" s="29">
        <f>B305</f>
        <v/>
      </c>
      <c r="H305" s="29" t="inlineStr">
        <is>
          <t>시노비</t>
        </is>
      </c>
      <c r="I305" s="29" t="inlineStr">
        <is>
          <t>忍者</t>
        </is>
      </c>
      <c r="J305" s="29">
        <f>I305</f>
        <v/>
      </c>
      <c r="K305" s="29">
        <f>F305</f>
        <v/>
      </c>
    </row>
    <row r="306">
      <c r="A306" s="29">
        <f>CONCATENATE("CATEGORY_",UPPER(Pokemon!B293))</f>
        <v/>
      </c>
      <c r="B306" s="29" t="inlineStr">
        <is>
          <t>Shed</t>
        </is>
      </c>
      <c r="C306" s="29" t="inlineStr">
        <is>
          <t>ぬけがら</t>
        </is>
      </c>
      <c r="D306" s="29" t="inlineStr">
        <is>
          <t>Exuvie</t>
        </is>
      </c>
      <c r="E306" s="29" t="inlineStr">
        <is>
          <t>Häutung</t>
        </is>
      </c>
      <c r="F306" s="29" t="inlineStr">
        <is>
          <t>Muda</t>
        </is>
      </c>
      <c r="G306" s="29" t="inlineStr">
        <is>
          <t>Cambiapelle</t>
        </is>
      </c>
      <c r="H306" s="29" t="inlineStr">
        <is>
          <t>허물</t>
        </is>
      </c>
      <c r="I306" s="29" t="inlineStr">
        <is>
          <t>空殼</t>
        </is>
      </c>
      <c r="J306" s="29">
        <f>IFERROR(__xludf.DUMMYFUNCTION("GOOGLETRANSLATE(I306, ""zh_HANT"",""zh_HANS"")"),"空壳")</f>
        <v/>
      </c>
      <c r="K306" s="29">
        <f>F306</f>
        <v/>
      </c>
    </row>
    <row r="307">
      <c r="A307" s="29">
        <f>CONCATENATE("CATEGORY_",UPPER(Pokemon!B294))</f>
        <v/>
      </c>
      <c r="B307" s="29" t="inlineStr">
        <is>
          <t>Whisper</t>
        </is>
      </c>
      <c r="C307" s="29" t="inlineStr">
        <is>
          <t>ささやき</t>
        </is>
      </c>
      <c r="D307" s="29" t="inlineStr">
        <is>
          <t>Chuchoteur</t>
        </is>
      </c>
      <c r="E307" s="29" t="inlineStr">
        <is>
          <t>Flüster</t>
        </is>
      </c>
      <c r="F307" s="29" t="inlineStr">
        <is>
          <t>Susurro</t>
        </is>
      </c>
      <c r="G307" s="29" t="inlineStr">
        <is>
          <t>Sussurro</t>
        </is>
      </c>
      <c r="H307" s="29" t="inlineStr">
        <is>
          <t>속삭임</t>
        </is>
      </c>
      <c r="I307" s="29" t="inlineStr">
        <is>
          <t>細語</t>
        </is>
      </c>
      <c r="J307" s="29">
        <f>IFERROR(__xludf.DUMMYFUNCTION("GOOGLETRANSLATE(I307, ""zh_HANT"",""zh_HANS"")"),"细语")</f>
        <v/>
      </c>
      <c r="K307" s="29">
        <f>F307</f>
        <v/>
      </c>
    </row>
    <row r="308">
      <c r="A308" s="29">
        <f>CONCATENATE("CATEGORY_",UPPER(Pokemon!B295))</f>
        <v/>
      </c>
      <c r="B308" s="29" t="inlineStr">
        <is>
          <t>Big Voice</t>
        </is>
      </c>
      <c r="C308" s="29" t="inlineStr">
        <is>
          <t>おおごえ</t>
        </is>
      </c>
      <c r="D308" s="29" t="inlineStr">
        <is>
          <t>Grosse Voix</t>
        </is>
      </c>
      <c r="E308" s="29" t="inlineStr">
        <is>
          <t>Lauthals</t>
        </is>
      </c>
      <c r="F308" s="29" t="inlineStr">
        <is>
          <t>Chillón</t>
        </is>
      </c>
      <c r="G308" s="29" t="inlineStr">
        <is>
          <t>Vocione</t>
        </is>
      </c>
      <c r="H308" s="29" t="inlineStr">
        <is>
          <t>큰목소리</t>
        </is>
      </c>
      <c r="I308" s="29" t="inlineStr">
        <is>
          <t>大聲</t>
        </is>
      </c>
      <c r="J308" s="29">
        <f>IFERROR(__xludf.DUMMYFUNCTION("GOOGLETRANSLATE(I308, ""zh_HANT"",""zh_HANS"")"),"大声")</f>
        <v/>
      </c>
      <c r="K308" s="29">
        <f>F308</f>
        <v/>
      </c>
    </row>
    <row r="309">
      <c r="A309" s="29">
        <f>CONCATENATE("CATEGORY_",UPPER(Pokemon!B296))</f>
        <v/>
      </c>
      <c r="B309" s="29" t="inlineStr">
        <is>
          <t>Loud Noise</t>
        </is>
      </c>
      <c r="C309" s="29" t="inlineStr">
        <is>
          <t>そうおん</t>
        </is>
      </c>
      <c r="D309" s="29" t="inlineStr">
        <is>
          <t>Bruit Sourd</t>
        </is>
      </c>
      <c r="E309" s="29" t="inlineStr">
        <is>
          <t>Krach</t>
        </is>
      </c>
      <c r="F309" s="29" t="inlineStr">
        <is>
          <t>Escandaloso</t>
        </is>
      </c>
      <c r="G309" s="29" t="inlineStr">
        <is>
          <t>Fragore</t>
        </is>
      </c>
      <c r="H309" s="29" t="inlineStr">
        <is>
          <t>소음</t>
        </is>
      </c>
      <c r="I309" s="29" t="inlineStr">
        <is>
          <t>噪音</t>
        </is>
      </c>
      <c r="J309" s="29">
        <f>I309</f>
        <v/>
      </c>
      <c r="K309" s="29">
        <f>F309</f>
        <v/>
      </c>
    </row>
    <row r="310">
      <c r="A310" s="29">
        <f>CONCATENATE("CATEGORY_",UPPER(Pokemon!B297))</f>
        <v/>
      </c>
      <c r="B310" s="29">
        <f>Abilities!B63</f>
        <v/>
      </c>
      <c r="C310" s="29">
        <f>Abilities!C63</f>
        <v/>
      </c>
      <c r="D310" s="29" t="inlineStr">
        <is>
          <t>Tenace</t>
        </is>
      </c>
      <c r="E310" s="29" t="inlineStr">
        <is>
          <t>Courage</t>
        </is>
      </c>
      <c r="F310" s="29" t="inlineStr">
        <is>
          <t>Valiente</t>
        </is>
      </c>
      <c r="G310" s="29" t="inlineStr">
        <is>
          <t>Coraggio</t>
        </is>
      </c>
      <c r="H310" s="29">
        <f>Abilities!H63</f>
        <v/>
      </c>
      <c r="I310" s="29">
        <f>Abilities!I63</f>
        <v/>
      </c>
      <c r="J310" s="29">
        <f>Abilities!J63</f>
        <v/>
      </c>
      <c r="K310" s="29">
        <f>F310</f>
        <v/>
      </c>
    </row>
    <row r="311">
      <c r="A311" s="29">
        <f>CONCATENATE("CATEGORY_",UPPER(Pokemon!B298))</f>
        <v/>
      </c>
      <c r="B311" s="29">
        <f>Moves!B293</f>
        <v/>
      </c>
      <c r="C311" s="29">
        <f>Moves!C293</f>
        <v/>
      </c>
      <c r="D311" s="29" t="inlineStr">
        <is>
          <t>Cogneur</t>
        </is>
      </c>
      <c r="E311" s="29">
        <f>Moves!E293</f>
        <v/>
      </c>
      <c r="F311" s="29">
        <f>Moves!F293</f>
        <v/>
      </c>
      <c r="G311" s="29">
        <f>Moves!G293</f>
        <v/>
      </c>
      <c r="H311" s="29">
        <f>Moves!H293</f>
        <v/>
      </c>
      <c r="I311" s="29">
        <f>Moves!I293</f>
        <v/>
      </c>
      <c r="J311" s="29">
        <f>Moves!J293</f>
        <v/>
      </c>
      <c r="K311" s="29">
        <f>F311</f>
        <v/>
      </c>
    </row>
    <row r="312">
      <c r="A312" s="29">
        <f>CONCATENATE("CATEGORY_",UPPER(Pokemon!B299))</f>
        <v/>
      </c>
      <c r="B312" s="29" t="inlineStr">
        <is>
          <t>Polka Dot</t>
        </is>
      </c>
      <c r="C312" s="29" t="inlineStr">
        <is>
          <t>みずだま</t>
        </is>
      </c>
      <c r="D312" s="29" t="inlineStr">
        <is>
          <t>Point Polka</t>
        </is>
      </c>
      <c r="E312" s="29" t="inlineStr">
        <is>
          <t>Gepunktet</t>
        </is>
      </c>
      <c r="F312" s="29" t="inlineStr">
        <is>
          <t>A Topos</t>
        </is>
      </c>
      <c r="G312" s="29" t="inlineStr">
        <is>
          <t>Pois</t>
        </is>
      </c>
      <c r="H312" s="29" t="inlineStr">
        <is>
          <t>물방울</t>
        </is>
      </c>
      <c r="I312" s="29" t="inlineStr">
        <is>
          <t>水珠</t>
        </is>
      </c>
      <c r="J312" s="29">
        <f>I312</f>
        <v/>
      </c>
      <c r="K312" s="29">
        <f>F312</f>
        <v/>
      </c>
    </row>
    <row r="313">
      <c r="A313" s="29">
        <f>CONCATENATE("CATEGORY_",UPPER(Pokemon!B300))</f>
        <v/>
      </c>
      <c r="B313" s="29" t="inlineStr">
        <is>
          <t>Compass</t>
        </is>
      </c>
      <c r="C313" s="29" t="inlineStr">
        <is>
          <t>コンパス</t>
        </is>
      </c>
      <c r="D313" s="29" t="inlineStr">
        <is>
          <t>Boussole</t>
        </is>
      </c>
      <c r="E313" s="29" t="inlineStr">
        <is>
          <t>Kompass</t>
        </is>
      </c>
      <c r="F313" s="29" t="inlineStr">
        <is>
          <t>Brújula</t>
        </is>
      </c>
      <c r="G313" s="29" t="inlineStr">
        <is>
          <t>Bussola</t>
        </is>
      </c>
      <c r="H313" s="29" t="inlineStr">
        <is>
          <t>콤파스</t>
        </is>
      </c>
      <c r="I313" s="29" t="inlineStr">
        <is>
          <t>羅盤</t>
        </is>
      </c>
      <c r="J313" s="29">
        <f>IFERROR(__xludf.DUMMYFUNCTION("GOOGLETRANSLATE(I313, ""zh_HANT"",""zh_HANS"")"),"罗盘")</f>
        <v/>
      </c>
      <c r="K313" s="29">
        <f>F313</f>
        <v/>
      </c>
    </row>
    <row r="314">
      <c r="A314" s="29">
        <f>CONCATENATE("CATEGORY_",UPPER(Pokemon!B301))</f>
        <v/>
      </c>
      <c r="B314" s="29" t="inlineStr">
        <is>
          <t>Kitten</t>
        </is>
      </c>
      <c r="C314" s="29" t="inlineStr">
        <is>
          <t>こねこ</t>
        </is>
      </c>
      <c r="D314" s="29" t="inlineStr">
        <is>
          <t>Chaton</t>
        </is>
      </c>
      <c r="E314" s="29" t="inlineStr">
        <is>
          <t>Kätzchen</t>
        </is>
      </c>
      <c r="F314" s="29" t="inlineStr">
        <is>
          <t>Gatito</t>
        </is>
      </c>
      <c r="G314" s="29" t="inlineStr">
        <is>
          <t>Micio</t>
        </is>
      </c>
      <c r="H314" s="29" t="inlineStr">
        <is>
          <t>작은고양이</t>
        </is>
      </c>
      <c r="I314" s="29" t="inlineStr">
        <is>
          <t>小貓</t>
        </is>
      </c>
      <c r="J314" s="29">
        <f>IFERROR(__xludf.DUMMYFUNCTION("GOOGLETRANSLATE(I314, ""zh_HANT"",""zh_HANS"")"),"小猫")</f>
        <v/>
      </c>
      <c r="K314" s="29">
        <f>F314</f>
        <v/>
      </c>
    </row>
    <row r="315">
      <c r="A315" s="29">
        <f>CONCATENATE("CATEGORY_",UPPER(Pokemon!B302))</f>
        <v/>
      </c>
      <c r="B315" s="29" t="inlineStr">
        <is>
          <t>Prim</t>
        </is>
      </c>
      <c r="C315" s="29" t="inlineStr">
        <is>
          <t>おすまし</t>
        </is>
      </c>
      <c r="D315" s="29" t="inlineStr">
        <is>
          <t>Guindé</t>
        </is>
      </c>
      <c r="E315" s="29" t="inlineStr">
        <is>
          <t>Eingebildet</t>
        </is>
      </c>
      <c r="F315" s="29" t="inlineStr">
        <is>
          <t>Cursi</t>
        </is>
      </c>
      <c r="G315" s="29" t="inlineStr">
        <is>
          <t>Finezza</t>
        </is>
      </c>
      <c r="H315" s="29" t="inlineStr">
        <is>
          <t>새침떼기</t>
        </is>
      </c>
      <c r="I315" s="29" t="inlineStr">
        <is>
          <t>清高</t>
        </is>
      </c>
      <c r="J315" s="29">
        <f>I315</f>
        <v/>
      </c>
      <c r="K315" s="29">
        <f>F315</f>
        <v/>
      </c>
    </row>
    <row r="316">
      <c r="A316" s="29">
        <f>CONCATENATE("CATEGORY_",UPPER(Pokemon!B303))</f>
        <v/>
      </c>
      <c r="B316" s="29">
        <f>B211</f>
        <v/>
      </c>
      <c r="C316" s="29">
        <f>C211</f>
        <v/>
      </c>
      <c r="D316" s="29">
        <f>D211</f>
        <v/>
      </c>
      <c r="E316" s="29" t="inlineStr">
        <is>
          <t xml:space="preserve">Finsternis       </t>
        </is>
      </c>
      <c r="F316" s="29">
        <f>F211</f>
        <v/>
      </c>
      <c r="G316" s="29">
        <f>G211</f>
        <v/>
      </c>
      <c r="H316" s="29">
        <f>H211</f>
        <v/>
      </c>
      <c r="I316" s="29">
        <f>I211</f>
        <v/>
      </c>
      <c r="J316" s="29">
        <f>J211</f>
        <v/>
      </c>
      <c r="K316" s="29">
        <f>F316</f>
        <v/>
      </c>
    </row>
    <row r="317">
      <c r="A317" s="29">
        <f>CONCATENATE("CATEGORY_",UPPER(Pokemon!B304))</f>
        <v/>
      </c>
      <c r="B317" s="29" t="inlineStr">
        <is>
          <t>Deceiver</t>
        </is>
      </c>
      <c r="C317" s="29" t="inlineStr">
        <is>
          <t>あざむき</t>
        </is>
      </c>
      <c r="D317" s="29" t="inlineStr">
        <is>
          <t>Trompeur</t>
        </is>
      </c>
      <c r="E317" s="29" t="inlineStr">
        <is>
          <t>Schwindel</t>
        </is>
      </c>
      <c r="F317" s="29" t="inlineStr">
        <is>
          <t>Tramposo</t>
        </is>
      </c>
      <c r="G317" s="29" t="inlineStr">
        <is>
          <t>Inganno</t>
        </is>
      </c>
      <c r="H317" s="29" t="inlineStr">
        <is>
          <t>배반</t>
        </is>
      </c>
      <c r="I317" s="29" t="inlineStr">
        <is>
          <t>欺騙</t>
        </is>
      </c>
      <c r="J317" s="29">
        <f>IFERROR(__xludf.DUMMYFUNCTION("GOOGLETRANSLATE(I317, ""zh_HANT"",""zh_HANS"")"),"欺骗")</f>
        <v/>
      </c>
      <c r="K317" s="29">
        <f>F317</f>
        <v/>
      </c>
    </row>
    <row r="318">
      <c r="A318" s="29">
        <f>CONCATENATE("CATEGORY_",UPPER(Pokemon!B305))</f>
        <v/>
      </c>
      <c r="B318" s="29" t="inlineStr">
        <is>
          <t>Iron Armor</t>
        </is>
      </c>
      <c r="C318" s="29" t="inlineStr">
        <is>
          <t>てつヨロイ</t>
        </is>
      </c>
      <c r="D318" s="29" t="inlineStr">
        <is>
          <t>Armufer</t>
        </is>
      </c>
      <c r="E318" s="29" t="inlineStr">
        <is>
          <t>Eisenpanzer</t>
        </is>
      </c>
      <c r="F318" s="29" t="inlineStr">
        <is>
          <t>Cor. Férrea</t>
        </is>
      </c>
      <c r="G318" s="29" t="inlineStr">
        <is>
          <t>Corazza</t>
        </is>
      </c>
      <c r="H318" s="29" t="inlineStr">
        <is>
          <t>철갑옷</t>
        </is>
      </c>
      <c r="I318" s="29" t="inlineStr">
        <is>
          <t>鐵鎧</t>
        </is>
      </c>
      <c r="J318" s="29">
        <f>IFERROR(__xludf.DUMMYFUNCTION("GOOGLETRANSLATE(I318, ""zh_HANT"",""zh_HANS"")"),"铁铠")</f>
        <v/>
      </c>
      <c r="K318" s="29">
        <f>F318</f>
        <v/>
      </c>
    </row>
    <row r="319">
      <c r="A319" s="29">
        <f>CONCATENATE("CATEGORY_",UPPER(Pokemon!B306))</f>
        <v/>
      </c>
      <c r="B319" s="29">
        <f>B318</f>
        <v/>
      </c>
      <c r="C319" s="29">
        <f>C318</f>
        <v/>
      </c>
      <c r="D319" s="29">
        <f>D318</f>
        <v/>
      </c>
      <c r="E319" s="29">
        <f>E318</f>
        <v/>
      </c>
      <c r="F319" s="29">
        <f>F318</f>
        <v/>
      </c>
      <c r="G319" s="29">
        <f>G318</f>
        <v/>
      </c>
      <c r="H319" s="29">
        <f>H318</f>
        <v/>
      </c>
      <c r="I319" s="29">
        <f>I318</f>
        <v/>
      </c>
      <c r="J319" s="29">
        <f>J318</f>
        <v/>
      </c>
      <c r="K319" s="29">
        <f>F319</f>
        <v/>
      </c>
    </row>
    <row r="320">
      <c r="A320" s="29">
        <f>CONCATENATE("CATEGORY_",UPPER(Pokemon!B307))</f>
        <v/>
      </c>
      <c r="B320" s="29">
        <f>B318</f>
        <v/>
      </c>
      <c r="C320" s="29">
        <f>C318</f>
        <v/>
      </c>
      <c r="D320" s="29">
        <f>D318</f>
        <v/>
      </c>
      <c r="E320" s="29">
        <f>E318</f>
        <v/>
      </c>
      <c r="F320" s="29">
        <f>F318</f>
        <v/>
      </c>
      <c r="G320" s="29">
        <f>G318</f>
        <v/>
      </c>
      <c r="H320" s="29">
        <f>H318</f>
        <v/>
      </c>
      <c r="I320" s="29">
        <f>I318</f>
        <v/>
      </c>
      <c r="J320" s="29">
        <f>J318</f>
        <v/>
      </c>
      <c r="K320" s="29">
        <f>F320</f>
        <v/>
      </c>
    </row>
    <row r="321">
      <c r="A321" s="29">
        <f>CONCATENATE("CATEGORY_",UPPER(Pokemon!B308))</f>
        <v/>
      </c>
      <c r="B321" s="29">
        <f>Moves!B97</f>
        <v/>
      </c>
      <c r="C321" s="29" t="inlineStr">
        <is>
          <t>めいそう</t>
        </is>
      </c>
      <c r="D321" s="29" t="inlineStr">
        <is>
          <t>Méditation</t>
        </is>
      </c>
      <c r="E321" s="29">
        <f>Moves!E97</f>
        <v/>
      </c>
      <c r="F321" s="29" t="inlineStr">
        <is>
          <t>Meditador</t>
        </is>
      </c>
      <c r="G321" s="29">
        <f>Moves!G97</f>
        <v/>
      </c>
      <c r="H321" s="29" t="inlineStr">
        <is>
          <t>명상</t>
        </is>
      </c>
      <c r="I321" s="29" t="inlineStr">
        <is>
          <t>冥想</t>
        </is>
      </c>
      <c r="J321" s="29">
        <f>I321</f>
        <v/>
      </c>
      <c r="K321" s="29">
        <f>F321</f>
        <v/>
      </c>
    </row>
    <row r="322">
      <c r="A322" s="29">
        <f>CONCATENATE("CATEGORY_",UPPER(Pokemon!B309))</f>
        <v/>
      </c>
      <c r="B322" s="29">
        <f>B321</f>
        <v/>
      </c>
      <c r="C322" s="29">
        <f>C321</f>
        <v/>
      </c>
      <c r="D322" s="29">
        <f>D321</f>
        <v/>
      </c>
      <c r="E322" s="29">
        <f>E321</f>
        <v/>
      </c>
      <c r="F322" s="29">
        <f>F321</f>
        <v/>
      </c>
      <c r="G322" s="29">
        <f>G321</f>
        <v/>
      </c>
      <c r="H322" s="29">
        <f>H321</f>
        <v/>
      </c>
      <c r="I322" s="29">
        <f>I321</f>
        <v/>
      </c>
      <c r="J322" s="29">
        <f>J321</f>
        <v/>
      </c>
      <c r="K322" s="29">
        <f>F322</f>
        <v/>
      </c>
    </row>
    <row r="323">
      <c r="A323" s="29">
        <f>CONCATENATE("CATEGORY_",UPPER(Pokemon!B310))</f>
        <v/>
      </c>
      <c r="B323" s="29">
        <f>B142</f>
        <v/>
      </c>
      <c r="C323" s="29" t="inlineStr">
        <is>
          <t>いなずま</t>
        </is>
      </c>
      <c r="D323" s="29">
        <f>D142</f>
        <v/>
      </c>
      <c r="E323" s="29" t="inlineStr">
        <is>
          <t>Gewitter</t>
        </is>
      </c>
      <c r="F323" s="29" t="inlineStr">
        <is>
          <t>Calambre</t>
        </is>
      </c>
      <c r="G323" s="29" t="inlineStr">
        <is>
          <t>Lampo</t>
        </is>
      </c>
      <c r="H323" s="29" t="inlineStr">
        <is>
          <t>천둥번개</t>
        </is>
      </c>
      <c r="I323" s="29" t="inlineStr">
        <is>
          <t>閃電</t>
        </is>
      </c>
      <c r="J323" s="29">
        <f>IFERROR(__xludf.DUMMYFUNCTION("GOOGLETRANSLATE(I323, ""zh_HANT"",""zh_HANS"")"),"闪电")</f>
        <v/>
      </c>
      <c r="K323" s="29">
        <f>F323</f>
        <v/>
      </c>
    </row>
    <row r="324">
      <c r="A324" s="29">
        <f>CONCATENATE("CATEGORY_",UPPER(Pokemon!B311))</f>
        <v/>
      </c>
      <c r="B324" s="29">
        <f>Moves!B436</f>
        <v/>
      </c>
      <c r="C324" s="29">
        <f>Moves!C436</f>
        <v/>
      </c>
      <c r="D324" s="29" t="inlineStr">
        <is>
          <t>Décharge</t>
        </is>
      </c>
      <c r="E324" s="29" t="inlineStr">
        <is>
          <t>Entladung</t>
        </is>
      </c>
      <c r="F324" s="29" t="inlineStr">
        <is>
          <t>Descarga</t>
        </is>
      </c>
      <c r="G324" s="29" t="inlineStr">
        <is>
          <t>Scossa</t>
        </is>
      </c>
      <c r="H324" s="29" t="inlineStr">
        <is>
          <t>방전</t>
        </is>
      </c>
      <c r="I324" s="29" t="inlineStr">
        <is>
          <t>放電</t>
        </is>
      </c>
      <c r="J324" s="29">
        <f>IFERROR(__xludf.DUMMYFUNCTION("GOOGLETRANSLATE(I324, ""zh_HANT"",""zh_HANS"")"),"放电")</f>
        <v/>
      </c>
      <c r="K324" s="29">
        <f>F324</f>
        <v/>
      </c>
    </row>
    <row r="325">
      <c r="A325" s="29">
        <f>CONCATENATE("CATEGORY_",UPPER(Pokemon!B312))</f>
        <v/>
      </c>
      <c r="B325" s="29" t="inlineStr">
        <is>
          <t>Cheering</t>
        </is>
      </c>
      <c r="C325" s="29" t="inlineStr">
        <is>
          <t>おうえん</t>
        </is>
      </c>
      <c r="D325" s="29" t="inlineStr">
        <is>
          <t>Acclameur</t>
        </is>
      </c>
      <c r="E325" s="29" t="inlineStr">
        <is>
          <t>Jubel</t>
        </is>
      </c>
      <c r="F325" s="29" t="inlineStr">
        <is>
          <t>Ánimo</t>
        </is>
      </c>
      <c r="G325" s="29" t="inlineStr">
        <is>
          <t>Incitamento</t>
        </is>
      </c>
      <c r="H325" s="29" t="inlineStr">
        <is>
          <t>응원</t>
        </is>
      </c>
      <c r="I325" s="29" t="inlineStr">
        <is>
          <t>加油</t>
        </is>
      </c>
      <c r="J325" s="29">
        <f>I325</f>
        <v/>
      </c>
      <c r="K325" s="29">
        <f>F325</f>
        <v/>
      </c>
    </row>
    <row r="326">
      <c r="A326" s="29">
        <f>CONCATENATE("CATEGORY_",UPPER(Pokemon!B313))</f>
        <v/>
      </c>
      <c r="B326" s="29">
        <f>B325</f>
        <v/>
      </c>
      <c r="C326" s="29">
        <f>C325</f>
        <v/>
      </c>
      <c r="D326" s="29">
        <f>D325</f>
        <v/>
      </c>
      <c r="E326" s="29">
        <f>E325</f>
        <v/>
      </c>
      <c r="F326" s="29">
        <f>F325</f>
        <v/>
      </c>
      <c r="G326" s="29">
        <f>G325</f>
        <v/>
      </c>
      <c r="H326" s="29">
        <f>H325</f>
        <v/>
      </c>
      <c r="I326" s="29">
        <f>I325</f>
        <v/>
      </c>
      <c r="J326" s="29">
        <f>J325</f>
        <v/>
      </c>
      <c r="K326" s="29">
        <f>F326</f>
        <v/>
      </c>
    </row>
    <row r="327">
      <c r="A327" s="29">
        <f>CONCATENATE("CATEGORY_",UPPER(Pokemon!B314))</f>
        <v/>
      </c>
      <c r="B327" s="29" t="inlineStr">
        <is>
          <t>Firefly</t>
        </is>
      </c>
      <c r="C327" s="29" t="inlineStr">
        <is>
          <t>ほたる</t>
        </is>
      </c>
      <c r="D327" s="29" t="inlineStr">
        <is>
          <t>Luciole</t>
        </is>
      </c>
      <c r="E327" s="29" t="inlineStr">
        <is>
          <t>Libelle</t>
        </is>
      </c>
      <c r="F327" s="29" t="inlineStr">
        <is>
          <t>Luciérnaga</t>
        </is>
      </c>
      <c r="G327" s="29" t="inlineStr">
        <is>
          <t>Lucciola</t>
        </is>
      </c>
      <c r="H327" s="29" t="inlineStr">
        <is>
          <t>반딧불</t>
        </is>
      </c>
      <c r="I327" s="29" t="inlineStr">
        <is>
          <t>螢火蟲</t>
        </is>
      </c>
      <c r="J327" s="29">
        <f>IFERROR(__xludf.DUMMYFUNCTION("GOOGLETRANSLATE(I327, ""zh_HANT"",""zh_HANS"")"),"萤火虫")</f>
        <v/>
      </c>
      <c r="K327" s="29">
        <f>F327</f>
        <v/>
      </c>
    </row>
    <row r="328">
      <c r="A328" s="29">
        <f>CONCATENATE("CATEGORY_",UPPER(Pokemon!B315))</f>
        <v/>
      </c>
      <c r="B328" s="29">
        <f>B327</f>
        <v/>
      </c>
      <c r="C328" s="29">
        <f>C327</f>
        <v/>
      </c>
      <c r="D328" s="29">
        <f>D327</f>
        <v/>
      </c>
      <c r="E328" s="29">
        <f>E327</f>
        <v/>
      </c>
      <c r="F328" s="29">
        <f>F327</f>
        <v/>
      </c>
      <c r="G328" s="29">
        <f>G327</f>
        <v/>
      </c>
      <c r="H328" s="29">
        <f>H327</f>
        <v/>
      </c>
      <c r="I328" s="29">
        <f>I327</f>
        <v/>
      </c>
      <c r="J328" s="29">
        <f>J327</f>
        <v/>
      </c>
      <c r="K328" s="29">
        <f>F328</f>
        <v/>
      </c>
    </row>
    <row r="329">
      <c r="A329" s="29">
        <f>CONCATENATE("CATEGORY_",UPPER(Pokemon!B316))</f>
        <v/>
      </c>
      <c r="B329" s="29" t="inlineStr">
        <is>
          <t>Thorn</t>
        </is>
      </c>
      <c r="C329" s="29" t="inlineStr">
        <is>
          <t>いばら</t>
        </is>
      </c>
      <c r="D329" s="29" t="inlineStr">
        <is>
          <t>Épine</t>
        </is>
      </c>
      <c r="E329" s="29" t="inlineStr">
        <is>
          <t>Dorn</t>
        </is>
      </c>
      <c r="F329" s="29" t="inlineStr">
        <is>
          <t>Espina</t>
        </is>
      </c>
      <c r="G329" s="29" t="inlineStr">
        <is>
          <t>Spina</t>
        </is>
      </c>
      <c r="H329" s="29" t="inlineStr">
        <is>
          <t>가시</t>
        </is>
      </c>
      <c r="I329" s="29" t="inlineStr">
        <is>
          <t>荊棘</t>
        </is>
      </c>
      <c r="J329" s="29">
        <f>IFERROR(__xludf.DUMMYFUNCTION("GOOGLETRANSLATE(I329, ""zh_HANT"",""zh_HANS"")"),"荆棘")</f>
        <v/>
      </c>
      <c r="K329" s="29">
        <f>F329</f>
        <v/>
      </c>
    </row>
    <row r="330">
      <c r="A330" s="29">
        <f>CONCATENATE("CATEGORY_",UPPER(Pokemon!B317))</f>
        <v/>
      </c>
      <c r="B330" s="29" t="inlineStr">
        <is>
          <t>Stomach</t>
        </is>
      </c>
      <c r="C330" s="29" t="inlineStr">
        <is>
          <t>いぶくろ</t>
        </is>
      </c>
      <c r="D330" s="29" t="inlineStr">
        <is>
          <t>Estomac</t>
        </is>
      </c>
      <c r="E330" s="29" t="inlineStr">
        <is>
          <t>Magen</t>
        </is>
      </c>
      <c r="F330" s="29" t="inlineStr">
        <is>
          <t>Estómago</t>
        </is>
      </c>
      <c r="G330" s="29" t="inlineStr">
        <is>
          <t>Stomaco</t>
        </is>
      </c>
      <c r="H330" s="29" t="inlineStr">
        <is>
          <t>밥통</t>
        </is>
      </c>
      <c r="I330" s="29" t="inlineStr">
        <is>
          <t>胃袋</t>
        </is>
      </c>
      <c r="J330" s="29">
        <f>I330</f>
        <v/>
      </c>
      <c r="K330" s="29">
        <f>F330</f>
        <v/>
      </c>
    </row>
    <row r="331">
      <c r="A331" s="29">
        <f>CONCATENATE("CATEGORY_",UPPER(Pokemon!B318))</f>
        <v/>
      </c>
      <c r="B331" s="29" t="inlineStr">
        <is>
          <t>Poison Bag</t>
        </is>
      </c>
      <c r="C331" s="29" t="inlineStr">
        <is>
          <t>どくぶくろ</t>
        </is>
      </c>
      <c r="D331" s="29" t="inlineStr">
        <is>
          <t>Sac Poison</t>
        </is>
      </c>
      <c r="E331" s="29" t="inlineStr">
        <is>
          <t>Giftbeutel</t>
        </is>
      </c>
      <c r="F331" s="29" t="inlineStr">
        <is>
          <t>Bolsa Veneno</t>
        </is>
      </c>
      <c r="G331" s="29" t="inlineStr">
        <is>
          <t>Velenosacco</t>
        </is>
      </c>
      <c r="H331" s="29" t="inlineStr">
        <is>
          <t>독봉지</t>
        </is>
      </c>
      <c r="I331" s="29" t="inlineStr">
        <is>
          <t>毒袋</t>
        </is>
      </c>
      <c r="J331" s="29">
        <f>I331</f>
        <v/>
      </c>
      <c r="K331" s="29">
        <f>F331</f>
        <v/>
      </c>
    </row>
    <row r="332">
      <c r="A332" s="29">
        <f>CONCATENATE("CATEGORY_",UPPER(Pokemon!B319))</f>
        <v/>
      </c>
      <c r="B332" s="29" t="inlineStr">
        <is>
          <t>Savage</t>
        </is>
      </c>
      <c r="C332" s="29" t="inlineStr">
        <is>
          <t>どうもう</t>
        </is>
      </c>
      <c r="D332" s="29" t="inlineStr">
        <is>
          <t>Féroce</t>
        </is>
      </c>
      <c r="E332" s="29" t="inlineStr">
        <is>
          <t>Gnadenlos</t>
        </is>
      </c>
      <c r="F332" s="29" t="inlineStr">
        <is>
          <t>Feroz</t>
        </is>
      </c>
      <c r="G332" s="29" t="inlineStr">
        <is>
          <t>Feroce</t>
        </is>
      </c>
      <c r="H332" s="29" t="inlineStr">
        <is>
          <t>사나움</t>
        </is>
      </c>
      <c r="I332" s="29" t="inlineStr">
        <is>
          <t>凶猛</t>
        </is>
      </c>
      <c r="J332" s="29">
        <f>I332</f>
        <v/>
      </c>
      <c r="K332" s="29">
        <f>F332</f>
        <v/>
      </c>
    </row>
    <row r="333">
      <c r="A333" s="29">
        <f>CONCATENATE("CATEGORY_",UPPER(Pokemon!B320))</f>
        <v/>
      </c>
      <c r="B333" s="29" t="inlineStr">
        <is>
          <t>Brutal</t>
        </is>
      </c>
      <c r="C333" s="29" t="inlineStr">
        <is>
          <t>きょうぼう</t>
        </is>
      </c>
      <c r="D333" s="29" t="inlineStr">
        <is>
          <t>Brutal</t>
        </is>
      </c>
      <c r="E333" s="29">
        <f>B333</f>
        <v/>
      </c>
      <c r="F333" s="29" t="inlineStr">
        <is>
          <t>Voraz</t>
        </is>
      </c>
      <c r="G333" s="29">
        <f>CONCATENATE(B333,"e")</f>
        <v/>
      </c>
      <c r="H333" s="29" t="inlineStr">
        <is>
          <t>난폭</t>
        </is>
      </c>
      <c r="I333" s="29" t="inlineStr">
        <is>
          <t>凶暴</t>
        </is>
      </c>
      <c r="J333" s="29">
        <f>I333</f>
        <v/>
      </c>
      <c r="K333" s="29">
        <f>F333</f>
        <v/>
      </c>
    </row>
    <row r="334">
      <c r="A334" s="29">
        <f>CONCATENATE("CATEGORY_",UPPER(Pokemon!B321))</f>
        <v/>
      </c>
      <c r="B334" s="29" t="inlineStr">
        <is>
          <t>Ball Whale</t>
        </is>
      </c>
      <c r="C334" s="29" t="inlineStr">
        <is>
          <t>たまくじら</t>
        </is>
      </c>
      <c r="D334" s="29" t="inlineStr">
        <is>
          <t>Baleinboule</t>
        </is>
      </c>
      <c r="E334" s="29" t="inlineStr">
        <is>
          <t>Kugelwal</t>
        </is>
      </c>
      <c r="F334" s="29" t="inlineStr">
        <is>
          <t>Ballenabola</t>
        </is>
      </c>
      <c r="G334" s="29" t="inlineStr">
        <is>
          <t>Balenottero</t>
        </is>
      </c>
      <c r="H334" s="29" t="inlineStr">
        <is>
          <t>둥근고래</t>
        </is>
      </c>
      <c r="I334" s="29" t="inlineStr">
        <is>
          <t>球鯨</t>
        </is>
      </c>
      <c r="J334" s="29">
        <f>IFERROR(__xludf.DUMMYFUNCTION("GOOGLETRANSLATE(I334, ""zh_HANT"",""zh_HANS"")"),"球鲸")</f>
        <v/>
      </c>
      <c r="K334" s="29">
        <f>F334</f>
        <v/>
      </c>
    </row>
    <row r="335">
      <c r="A335" s="29">
        <f>CONCATENATE("CATEGORY_",UPPER(Pokemon!B322))</f>
        <v/>
      </c>
      <c r="B335" s="29" t="inlineStr">
        <is>
          <t>Float Whale</t>
        </is>
      </c>
      <c r="C335" s="29" t="inlineStr">
        <is>
          <t>うきくじら</t>
        </is>
      </c>
      <c r="D335" s="29" t="inlineStr">
        <is>
          <t>Cachabouée</t>
        </is>
      </c>
      <c r="E335" s="29" t="inlineStr">
        <is>
          <t>Flutwal</t>
        </is>
      </c>
      <c r="F335" s="29" t="inlineStr">
        <is>
          <t>Ballenaflot</t>
        </is>
      </c>
      <c r="G335" s="29" t="inlineStr">
        <is>
          <t>Megabalena</t>
        </is>
      </c>
      <c r="H335" s="29" t="inlineStr">
        <is>
          <t>뜸고래</t>
        </is>
      </c>
      <c r="I335" s="29" t="inlineStr">
        <is>
          <t>浮鯨</t>
        </is>
      </c>
      <c r="J335" s="29">
        <f>IFERROR(__xludf.DUMMYFUNCTION("GOOGLETRANSLATE(I335, ""zh_HANT"",""zh_HANS"")"),"浮鲸")</f>
        <v/>
      </c>
      <c r="K335" s="29">
        <f>F335</f>
        <v/>
      </c>
    </row>
    <row r="336">
      <c r="A336" s="29">
        <f>CONCATENATE("CATEGORY_",UPPER(Pokemon!B323))</f>
        <v/>
      </c>
      <c r="B336" s="29" t="inlineStr">
        <is>
          <t>Numb</t>
        </is>
      </c>
      <c r="C336" s="29" t="inlineStr">
        <is>
          <t>どんかん</t>
        </is>
      </c>
      <c r="D336" s="29" t="inlineStr">
        <is>
          <t>Engourdi</t>
        </is>
      </c>
      <c r="E336" s="29" t="inlineStr">
        <is>
          <t>Taubheit</t>
        </is>
      </c>
      <c r="F336" s="29" t="inlineStr">
        <is>
          <t>Torpe</t>
        </is>
      </c>
      <c r="G336" s="29" t="inlineStr">
        <is>
          <t>Torpore</t>
        </is>
      </c>
      <c r="H336" s="29" t="inlineStr">
        <is>
          <t>둔감</t>
        </is>
      </c>
      <c r="I336" s="29" t="inlineStr">
        <is>
          <t>遲鈍</t>
        </is>
      </c>
      <c r="J336" s="29">
        <f>IFERROR(__xludf.DUMMYFUNCTION("GOOGLETRANSLATE(I336, ""zh_HANT"",""zh_HANS"")"),"迟钝")</f>
        <v/>
      </c>
      <c r="K336" s="29">
        <f>F336</f>
        <v/>
      </c>
    </row>
    <row r="337">
      <c r="A337" s="29">
        <f>CONCATENATE("CATEGORY_",UPPER(Pokemon!B324))</f>
        <v/>
      </c>
      <c r="B337" s="29">
        <f>Moves!B285</f>
        <v/>
      </c>
      <c r="C337" s="29">
        <f>Moves!C285</f>
        <v/>
      </c>
      <c r="D337" s="29">
        <f>Moves!D285</f>
        <v/>
      </c>
      <c r="E337" s="29" t="inlineStr">
        <is>
          <t>Ausbruch</t>
        </is>
      </c>
      <c r="F337" s="29" t="inlineStr">
        <is>
          <t>Erupción</t>
        </is>
      </c>
      <c r="G337" s="29">
        <f>Moves!G285</f>
        <v/>
      </c>
      <c r="H337" s="29">
        <f>Moves!H285</f>
        <v/>
      </c>
      <c r="I337" s="29">
        <f>Moves!I285</f>
        <v/>
      </c>
      <c r="J337" s="29">
        <f>Moves!J285</f>
        <v/>
      </c>
      <c r="K337" s="29">
        <f>F337</f>
        <v/>
      </c>
    </row>
    <row r="338">
      <c r="A338" s="29">
        <f>CONCATENATE("CATEGORY_",UPPER(Pokemon!B325))</f>
        <v/>
      </c>
      <c r="B338" s="29" t="inlineStr">
        <is>
          <t>Coal</t>
        </is>
      </c>
      <c r="C338" s="29" t="inlineStr">
        <is>
          <t>せきたん</t>
        </is>
      </c>
      <c r="D338" s="29" t="inlineStr">
        <is>
          <t>Charbon</t>
        </is>
      </c>
      <c r="E338" s="29" t="inlineStr">
        <is>
          <t>Kohle</t>
        </is>
      </c>
      <c r="F338" s="29" t="inlineStr">
        <is>
          <t>Carbón</t>
        </is>
      </c>
      <c r="G338" s="29" t="inlineStr">
        <is>
          <t>Carbone</t>
        </is>
      </c>
      <c r="H338" s="29" t="inlineStr">
        <is>
          <t>석탄</t>
        </is>
      </c>
      <c r="I338" s="29" t="inlineStr">
        <is>
          <t>煤炭</t>
        </is>
      </c>
      <c r="J338" s="29">
        <f>I338</f>
        <v/>
      </c>
      <c r="K338" s="29">
        <f>F338</f>
        <v/>
      </c>
    </row>
    <row r="339">
      <c r="A339" s="29">
        <f>CONCATENATE("CATEGORY_",UPPER(Pokemon!B326))</f>
        <v/>
      </c>
      <c r="B339" s="29">
        <f>Moves!B341</f>
        <v/>
      </c>
      <c r="C339" s="29" t="inlineStr">
        <is>
          <t>とびはね</t>
        </is>
      </c>
      <c r="D339" s="29">
        <f>Moves!D341</f>
        <v/>
      </c>
      <c r="E339" s="29">
        <f>Moves!E341</f>
        <v/>
      </c>
      <c r="F339" s="29" t="inlineStr">
        <is>
          <t>Saltarin</t>
        </is>
      </c>
      <c r="G339" s="29" t="inlineStr">
        <is>
          <t>Molla</t>
        </is>
      </c>
      <c r="H339" s="29" t="inlineStr">
        <is>
          <t>튀다</t>
        </is>
      </c>
      <c r="I339" s="29">
        <f>Moves!I341</f>
        <v/>
      </c>
      <c r="J339" s="29">
        <f>Moves!J341</f>
        <v/>
      </c>
      <c r="K339" s="29">
        <f>F339</f>
        <v/>
      </c>
    </row>
    <row r="340">
      <c r="A340" s="29">
        <f>CONCATENATE("CATEGORY_",UPPER(Pokemon!B327))</f>
        <v/>
      </c>
      <c r="B340" s="29" t="inlineStr">
        <is>
          <t>Manipulation</t>
        </is>
      </c>
      <c r="C340" s="29" t="inlineStr">
        <is>
          <t>あやつり</t>
        </is>
      </c>
      <c r="D340" s="29" t="inlineStr">
        <is>
          <t>Magouilleur</t>
        </is>
      </c>
      <c r="E340" s="29" t="inlineStr">
        <is>
          <t>Manipulator</t>
        </is>
      </c>
      <c r="F340" s="29" t="inlineStr">
        <is>
          <t>Manipulador</t>
        </is>
      </c>
      <c r="G340" s="29" t="inlineStr">
        <is>
          <t>Raggiro</t>
        </is>
      </c>
      <c r="H340" s="29" t="inlineStr">
        <is>
          <t>조작</t>
        </is>
      </c>
      <c r="I340" s="29" t="inlineStr">
        <is>
          <t>操縱</t>
        </is>
      </c>
      <c r="J340" s="29">
        <f>IFERROR(__xludf.DUMMYFUNCTION("GOOGLETRANSLATE(I340, ""zh_HANT"",""zh_HANS"")"),"操纵")</f>
        <v/>
      </c>
      <c r="K340" s="29">
        <f>F340</f>
        <v/>
      </c>
    </row>
    <row r="341">
      <c r="A341" s="29">
        <f>CONCATENATE("CATEGORY_",UPPER(Pokemon!B328))</f>
        <v/>
      </c>
      <c r="B341" s="29" t="inlineStr">
        <is>
          <t>Spot Panda</t>
        </is>
      </c>
      <c r="C341" s="29" t="inlineStr">
        <is>
          <t>ぶちパンダ</t>
        </is>
      </c>
      <c r="D341" s="29" t="inlineStr">
        <is>
          <t>Panda Taché</t>
        </is>
      </c>
      <c r="E341" s="29" t="inlineStr">
        <is>
          <t>Punkt-Panda</t>
        </is>
      </c>
      <c r="F341" s="29" t="inlineStr">
        <is>
          <t>Panda Topos</t>
        </is>
      </c>
      <c r="G341" s="29" t="inlineStr">
        <is>
          <t>Macchipanda</t>
        </is>
      </c>
      <c r="H341" s="29" t="inlineStr">
        <is>
          <t>얼룩팬더</t>
        </is>
      </c>
      <c r="I341" s="29" t="inlineStr">
        <is>
          <t>斑點熊貓</t>
        </is>
      </c>
      <c r="J341" s="29">
        <f>IFERROR(__xludf.DUMMYFUNCTION("GOOGLETRANSLATE(I341, ""zh_HANT"",""zh_HANS"")"),"斑点熊猫")</f>
        <v/>
      </c>
      <c r="K341" s="29">
        <f>F341</f>
        <v/>
      </c>
    </row>
    <row r="342">
      <c r="A342" s="29">
        <f>CONCATENATE("CATEGORY_",UPPER(Pokemon!B329))</f>
        <v/>
      </c>
      <c r="B342" s="29" t="inlineStr">
        <is>
          <t>Ant Pit</t>
        </is>
      </c>
      <c r="C342" s="29" t="inlineStr">
        <is>
          <t>ありじごく</t>
        </is>
      </c>
      <c r="D342" s="29" t="inlineStr">
        <is>
          <t>Piégeur</t>
        </is>
      </c>
      <c r="E342" s="29" t="inlineStr">
        <is>
          <t>Ameisenlöwe</t>
        </is>
      </c>
      <c r="F342" s="29" t="inlineStr">
        <is>
          <t>Hormigaleón</t>
        </is>
      </c>
      <c r="G342" s="29" t="inlineStr">
        <is>
          <t>Trappola</t>
        </is>
      </c>
      <c r="H342" s="29" t="inlineStr">
        <is>
          <t>개미지옥</t>
        </is>
      </c>
      <c r="I342" s="29" t="inlineStr">
        <is>
          <t>蟻獅</t>
        </is>
      </c>
      <c r="J342" s="29">
        <f>IFERROR(__xludf.DUMMYFUNCTION("GOOGLETRANSLATE(I342, ""zh_HANT"",""zh_HANS"")"),"蚁狮")</f>
        <v/>
      </c>
      <c r="K342" s="29">
        <f>F342</f>
        <v/>
      </c>
    </row>
    <row r="343">
      <c r="A343" s="29">
        <f>CONCATENATE("CATEGORY_",UPPER(Pokemon!B330))</f>
        <v/>
      </c>
      <c r="B343" s="29" t="inlineStr">
        <is>
          <t>Vibration</t>
        </is>
      </c>
      <c r="C343" s="29" t="inlineStr">
        <is>
          <t>しんどう</t>
        </is>
      </c>
      <c r="D343" s="29">
        <f>B343</f>
        <v/>
      </c>
      <c r="E343" s="29">
        <f>B343</f>
        <v/>
      </c>
      <c r="F343" s="29" t="inlineStr">
        <is>
          <t>Vibrante</t>
        </is>
      </c>
      <c r="G343" s="29" t="inlineStr">
        <is>
          <t>Vibrazione</t>
        </is>
      </c>
      <c r="H343" s="29" t="inlineStr">
        <is>
          <t>진동</t>
        </is>
      </c>
      <c r="I343" s="29" t="inlineStr">
        <is>
          <t>震動</t>
        </is>
      </c>
      <c r="J343" s="29">
        <f>IFERROR(__xludf.DUMMYFUNCTION("GOOGLETRANSLATE(I343, ""zh_HANT"",""zh_HANS"")"),"震动")</f>
        <v/>
      </c>
      <c r="K343" s="29">
        <f>F343</f>
        <v/>
      </c>
    </row>
    <row r="344">
      <c r="A344" s="29">
        <f>CONCATENATE("CATEGORY_",UPPER(Pokemon!B331))</f>
        <v/>
      </c>
      <c r="B344" s="29">
        <f>B190</f>
        <v/>
      </c>
      <c r="C344" s="29">
        <f>C190</f>
        <v/>
      </c>
      <c r="D344" s="29">
        <f>D190</f>
        <v/>
      </c>
      <c r="E344" s="29">
        <f>E190</f>
        <v/>
      </c>
      <c r="F344" s="29">
        <f>F190</f>
        <v/>
      </c>
      <c r="G344" s="29">
        <f>G190</f>
        <v/>
      </c>
      <c r="H344" s="29">
        <f>H190</f>
        <v/>
      </c>
      <c r="I344" s="29">
        <f>I190</f>
        <v/>
      </c>
      <c r="J344" s="29">
        <f>J190</f>
        <v/>
      </c>
      <c r="K344" s="29">
        <f>F344</f>
        <v/>
      </c>
    </row>
    <row r="345">
      <c r="A345" s="29">
        <f>CONCATENATE("CATEGORY_",UPPER(Pokemon!B332))</f>
        <v/>
      </c>
      <c r="B345" s="29" t="inlineStr">
        <is>
          <t>Cactus</t>
        </is>
      </c>
      <c r="C345" s="29" t="inlineStr">
        <is>
          <t>サボテン</t>
        </is>
      </c>
      <c r="D345" s="29" t="inlineStr">
        <is>
          <t>Cactus</t>
        </is>
      </c>
      <c r="E345" s="29" t="inlineStr">
        <is>
          <t>Kaktus</t>
        </is>
      </c>
      <c r="F345" s="29">
        <f>B345</f>
        <v/>
      </c>
      <c r="G345" s="29">
        <f>B345</f>
        <v/>
      </c>
      <c r="H345" s="29" t="inlineStr">
        <is>
          <t>선인장</t>
        </is>
      </c>
      <c r="I345" s="29" t="inlineStr">
        <is>
          <t>仙人掌</t>
        </is>
      </c>
      <c r="J345" s="29">
        <f>I345</f>
        <v/>
      </c>
      <c r="K345" s="29">
        <f>F345</f>
        <v/>
      </c>
    </row>
    <row r="346">
      <c r="A346" s="29">
        <f>CONCATENATE("CATEGORY_",UPPER(Pokemon!B333))</f>
        <v/>
      </c>
      <c r="B346" s="29" t="inlineStr">
        <is>
          <t>Scarecrow</t>
        </is>
      </c>
      <c r="C346" s="29" t="inlineStr">
        <is>
          <t>カカシぐさ</t>
        </is>
      </c>
      <c r="D346" s="29" t="inlineStr">
        <is>
          <t>Épouvantail</t>
        </is>
      </c>
      <c r="E346" s="29" t="inlineStr">
        <is>
          <t>Vogelschock</t>
        </is>
      </c>
      <c r="F346" s="29" t="inlineStr">
        <is>
          <t>Espantajo</t>
        </is>
      </c>
      <c r="G346" s="29" t="inlineStr">
        <is>
          <t>Spavento</t>
        </is>
      </c>
      <c r="H346" s="29" t="inlineStr">
        <is>
          <t>허수아비</t>
        </is>
      </c>
      <c r="I346" s="29" t="inlineStr">
        <is>
          <t>稻草人</t>
        </is>
      </c>
      <c r="J346" s="29">
        <f>I346</f>
        <v/>
      </c>
      <c r="K346" s="29">
        <f>F346</f>
        <v/>
      </c>
    </row>
    <row r="347">
      <c r="A347" s="29">
        <f>CONCATENATE("CATEGORY_",UPPER(Pokemon!B334))</f>
        <v/>
      </c>
      <c r="B347" s="29" t="inlineStr">
        <is>
          <t>Cotton Bird</t>
        </is>
      </c>
      <c r="C347" s="29" t="inlineStr">
        <is>
          <t>わたとり</t>
        </is>
      </c>
      <c r="D347" s="29" t="inlineStr">
        <is>
          <t>Oiseaucoton</t>
        </is>
      </c>
      <c r="E347" s="29" t="inlineStr">
        <is>
          <t>Wollvogel</t>
        </is>
      </c>
      <c r="F347" s="29" t="inlineStr">
        <is>
          <t>Ave Algodón</t>
        </is>
      </c>
      <c r="G347" s="29" t="inlineStr">
        <is>
          <t>Alidicotone</t>
        </is>
      </c>
      <c r="H347" s="29" t="inlineStr">
        <is>
          <t>솜새</t>
        </is>
      </c>
      <c r="I347" s="29" t="inlineStr">
        <is>
          <t>綿鳥</t>
        </is>
      </c>
      <c r="J347" s="29">
        <f>IFERROR(__xludf.DUMMYFUNCTION("GOOGLETRANSLATE(I347, ""zh_HANT"",""zh_HANS"")"),"绵鸟")</f>
        <v/>
      </c>
      <c r="K347" s="29">
        <f>F347</f>
        <v/>
      </c>
    </row>
    <row r="348">
      <c r="A348" s="29">
        <f>CONCATENATE("CATEGORY_",UPPER(Pokemon!B335))</f>
        <v/>
      </c>
      <c r="B348" s="29" t="inlineStr">
        <is>
          <t>Humming</t>
        </is>
      </c>
      <c r="C348" s="29" t="inlineStr">
        <is>
          <t>ハミング</t>
        </is>
      </c>
      <c r="D348" s="29" t="inlineStr">
        <is>
          <t>Virevolteur</t>
        </is>
      </c>
      <c r="E348" s="29" t="inlineStr">
        <is>
          <t>Summsel</t>
        </is>
      </c>
      <c r="F348" s="29" t="inlineStr">
        <is>
          <t>Cantor</t>
        </is>
      </c>
      <c r="G348" s="29" t="inlineStr">
        <is>
          <t>Canterino</t>
        </is>
      </c>
      <c r="H348" s="29" t="inlineStr">
        <is>
          <t>허밍</t>
        </is>
      </c>
      <c r="I348" s="29" t="inlineStr">
        <is>
          <t>哼唱</t>
        </is>
      </c>
      <c r="J348" s="29">
        <f>I348</f>
        <v/>
      </c>
      <c r="K348" s="29">
        <f>F348</f>
        <v/>
      </c>
    </row>
    <row r="349">
      <c r="A349" s="29">
        <f>CONCATENATE("CATEGORY_",UPPER(Pokemon!B336))</f>
        <v/>
      </c>
      <c r="B349" s="29" t="inlineStr">
        <is>
          <t>Cat Furret</t>
        </is>
      </c>
      <c r="C349" s="29" t="inlineStr">
        <is>
          <t>ネコイタチ</t>
        </is>
      </c>
      <c r="D349" s="29" t="inlineStr">
        <is>
          <t>Chat Furet</t>
        </is>
      </c>
      <c r="E349" s="29" t="inlineStr">
        <is>
          <t>Frettkatz</t>
        </is>
      </c>
      <c r="F349" s="29" t="inlineStr">
        <is>
          <t>Gato Hurón</t>
        </is>
      </c>
      <c r="G349" s="29" t="inlineStr">
        <is>
          <t>Furogatto</t>
        </is>
      </c>
      <c r="H349" s="29" t="inlineStr">
        <is>
          <t>고양이족제비</t>
        </is>
      </c>
      <c r="I349" s="29" t="inlineStr">
        <is>
          <t>貓鼬</t>
        </is>
      </c>
      <c r="J349" s="29">
        <f>IFERROR(__xludf.DUMMYFUNCTION("GOOGLETRANSLATE(I349, ""zh_HANT"",""zh_HANS"")"),"猫鼬")</f>
        <v/>
      </c>
      <c r="K349" s="29">
        <f>F349</f>
        <v/>
      </c>
    </row>
    <row r="350">
      <c r="A350" s="29">
        <f>CONCATENATE("CATEGORY_",UPPER(Pokemon!B337))</f>
        <v/>
      </c>
      <c r="B350" s="29" t="inlineStr">
        <is>
          <t>Fang Snake</t>
        </is>
      </c>
      <c r="C350" s="29" t="inlineStr">
        <is>
          <t>キバへび</t>
        </is>
      </c>
      <c r="D350" s="29" t="inlineStr">
        <is>
          <t>Serparoc</t>
        </is>
      </c>
      <c r="E350" s="29" t="inlineStr">
        <is>
          <t>Reißzahn</t>
        </is>
      </c>
      <c r="F350" s="29" t="inlineStr">
        <is>
          <t>Colmillos</t>
        </is>
      </c>
      <c r="G350" s="29" t="inlineStr">
        <is>
          <t>Zannaserpe</t>
        </is>
      </c>
      <c r="H350" s="29" t="inlineStr">
        <is>
          <t>송곳뱀</t>
        </is>
      </c>
      <c r="I350" s="29" t="inlineStr">
        <is>
          <t>牙蛇</t>
        </is>
      </c>
      <c r="J350" s="29">
        <f>I350</f>
        <v/>
      </c>
      <c r="K350" s="29">
        <f>F350</f>
        <v/>
      </c>
    </row>
    <row r="351">
      <c r="A351" s="29">
        <f>CONCATENATE("CATEGORY_",UPPER(Pokemon!B338))</f>
        <v/>
      </c>
      <c r="B351" s="29" t="inlineStr">
        <is>
          <t>Meteorite</t>
        </is>
      </c>
      <c r="C351" s="29" t="inlineStr">
        <is>
          <t>いんせき</t>
        </is>
      </c>
      <c r="D351" s="29" t="inlineStr">
        <is>
          <t>Météorite</t>
        </is>
      </c>
      <c r="E351" s="29" t="inlineStr">
        <is>
          <t>Meterorit</t>
        </is>
      </c>
      <c r="F351" s="29" t="inlineStr">
        <is>
          <t>Meteorito</t>
        </is>
      </c>
      <c r="G351" s="29">
        <f>B351</f>
        <v/>
      </c>
      <c r="H351" s="29" t="inlineStr">
        <is>
          <t>별똥별</t>
        </is>
      </c>
      <c r="I351" s="29" t="inlineStr">
        <is>
          <t>隕石</t>
        </is>
      </c>
      <c r="J351" s="29">
        <f>IFERROR(__xludf.DUMMYFUNCTION("GOOGLETRANSLATE(I351, ""zh_HANT"",""zh_HANS"")"),"陨石")</f>
        <v/>
      </c>
      <c r="K351" s="29">
        <f>F351</f>
        <v/>
      </c>
    </row>
    <row r="352">
      <c r="A352" s="29">
        <f>CONCATENATE("CATEGORY_",UPPER(Pokemon!B339))</f>
        <v/>
      </c>
      <c r="B352" s="29">
        <f>B351</f>
        <v/>
      </c>
      <c r="C352" s="29">
        <f>C351</f>
        <v/>
      </c>
      <c r="D352" s="29">
        <f>D351</f>
        <v/>
      </c>
      <c r="E352" s="29">
        <f>E351</f>
        <v/>
      </c>
      <c r="F352" s="29">
        <f>F351</f>
        <v/>
      </c>
      <c r="G352" s="29">
        <f>G351</f>
        <v/>
      </c>
      <c r="H352" s="29">
        <f>H351</f>
        <v/>
      </c>
      <c r="I352" s="29">
        <f>I351</f>
        <v/>
      </c>
      <c r="J352" s="29">
        <f>J351</f>
        <v/>
      </c>
      <c r="K352" s="29">
        <f>F352</f>
        <v/>
      </c>
    </row>
    <row r="353">
      <c r="A353" s="29">
        <f>CONCATENATE("CATEGORY_",UPPER(Pokemon!B340))</f>
        <v/>
      </c>
      <c r="B353" s="29" t="inlineStr">
        <is>
          <t>Whiskers</t>
        </is>
      </c>
      <c r="C353" s="29" t="inlineStr">
        <is>
          <t>ひげうお</t>
        </is>
      </c>
      <c r="D353" s="29" t="inlineStr">
        <is>
          <t>Barbillon</t>
        </is>
      </c>
      <c r="E353" s="29" t="inlineStr">
        <is>
          <t>Barthaar</t>
        </is>
      </c>
      <c r="F353" s="29" t="inlineStr">
        <is>
          <t>Bigotudo</t>
        </is>
      </c>
      <c r="G353" s="29" t="inlineStr">
        <is>
          <t>Baffetti</t>
        </is>
      </c>
      <c r="H353" s="29" t="inlineStr">
        <is>
          <t>수염물고기</t>
        </is>
      </c>
      <c r="I353" s="29" t="inlineStr">
        <is>
          <t>鬚魚</t>
        </is>
      </c>
      <c r="J353" s="29">
        <f>IFERROR(__xludf.DUMMYFUNCTION("GOOGLETRANSLATE(I353, ""zh_HANT"",""zh_HANS"")"),"须鱼")</f>
        <v/>
      </c>
      <c r="K353" s="29">
        <f>F353</f>
        <v/>
      </c>
    </row>
    <row r="354">
      <c r="A354" s="29">
        <f>CONCATENATE("CATEGORY_",UPPER(Pokemon!B341))</f>
        <v/>
      </c>
      <c r="B354" s="29">
        <f>B353</f>
        <v/>
      </c>
      <c r="C354" s="29">
        <f>C353</f>
        <v/>
      </c>
      <c r="D354" s="29">
        <f>D353</f>
        <v/>
      </c>
      <c r="E354" s="29">
        <f>E353</f>
        <v/>
      </c>
      <c r="F354" s="29">
        <f>F353</f>
        <v/>
      </c>
      <c r="G354" s="29">
        <f>G353</f>
        <v/>
      </c>
      <c r="H354" s="29">
        <f>H353</f>
        <v/>
      </c>
      <c r="I354" s="29">
        <f>I353</f>
        <v/>
      </c>
      <c r="J354" s="29">
        <f>J353</f>
        <v/>
      </c>
      <c r="K354" s="29">
        <f>F354</f>
        <v/>
      </c>
    </row>
    <row r="355">
      <c r="A355" s="29">
        <f>CONCATENATE("CATEGORY_",UPPER(Pokemon!B342))</f>
        <v/>
      </c>
      <c r="B355" s="29" t="inlineStr">
        <is>
          <t>Ruffian</t>
        </is>
      </c>
      <c r="C355" s="29" t="inlineStr">
        <is>
          <t>ごろつき</t>
        </is>
      </c>
      <c r="D355" s="29" t="inlineStr">
        <is>
          <t>Brute</t>
        </is>
      </c>
      <c r="E355" s="29" t="inlineStr">
        <is>
          <t>Grobian</t>
        </is>
      </c>
      <c r="F355" s="29" t="inlineStr">
        <is>
          <t>Rufián</t>
        </is>
      </c>
      <c r="G355" s="29" t="inlineStr">
        <is>
          <t>Birbone</t>
        </is>
      </c>
      <c r="H355" s="29" t="inlineStr">
        <is>
          <t>건달</t>
        </is>
      </c>
      <c r="I355" s="29" t="inlineStr">
        <is>
          <t>無賴</t>
        </is>
      </c>
      <c r="J355" s="29">
        <f>IFERROR(__xludf.DUMMYFUNCTION("GOOGLETRANSLATE(I355, ""zh_HANT"",""zh_HANS"")"),"无赖")</f>
        <v/>
      </c>
      <c r="K355" s="29">
        <f>F355</f>
        <v/>
      </c>
    </row>
    <row r="356">
      <c r="A356" s="29">
        <f>CONCATENATE("CATEGORY_",UPPER(Pokemon!B343))</f>
        <v/>
      </c>
      <c r="B356" s="29" t="inlineStr">
        <is>
          <t>Rogue</t>
        </is>
      </c>
      <c r="C356" s="29" t="inlineStr">
        <is>
          <t>ならずもの</t>
        </is>
      </c>
      <c r="D356" s="29" t="inlineStr">
        <is>
          <t>Crapule</t>
        </is>
      </c>
      <c r="E356" s="29" t="inlineStr">
        <is>
          <t>Schlingel</t>
        </is>
      </c>
      <c r="F356" s="29" t="inlineStr">
        <is>
          <t>Granuja</t>
        </is>
      </c>
      <c r="G356" s="29" t="inlineStr">
        <is>
          <t>Canaglia</t>
        </is>
      </c>
      <c r="H356" s="29" t="inlineStr">
        <is>
          <t>불량배</t>
        </is>
      </c>
      <c r="I356" s="29" t="inlineStr">
        <is>
          <t>流氓</t>
        </is>
      </c>
      <c r="J356" s="29">
        <f>I356</f>
        <v/>
      </c>
      <c r="K356" s="29">
        <f>F356</f>
        <v/>
      </c>
    </row>
    <row r="357">
      <c r="A357" s="29">
        <f>CONCATENATE("CATEGORY_",UPPER(Pokemon!B344))</f>
        <v/>
      </c>
      <c r="B357" s="29" t="inlineStr">
        <is>
          <t>Clay Doll</t>
        </is>
      </c>
      <c r="C357" s="29" t="inlineStr">
        <is>
          <t>どぐう</t>
        </is>
      </c>
      <c r="D357" s="29" t="inlineStr">
        <is>
          <t>Poupargile</t>
        </is>
      </c>
      <c r="E357" s="29" t="inlineStr">
        <is>
          <t>Lehmpuppe</t>
        </is>
      </c>
      <c r="F357" s="29" t="inlineStr">
        <is>
          <t>Muñeca Barro</t>
        </is>
      </c>
      <c r="G357" s="29" t="inlineStr">
        <is>
          <t>Argilla</t>
        </is>
      </c>
      <c r="H357" s="29" t="inlineStr">
        <is>
          <t>토우</t>
        </is>
      </c>
      <c r="I357" s="29" t="inlineStr">
        <is>
          <t>泥偶</t>
        </is>
      </c>
      <c r="J357" s="29">
        <f>I357</f>
        <v/>
      </c>
      <c r="K357" s="29">
        <f>F357</f>
        <v/>
      </c>
    </row>
    <row r="358">
      <c r="A358" s="29">
        <f>CONCATENATE("CATEGORY_",UPPER(Pokemon!B345))</f>
        <v/>
      </c>
      <c r="B358" s="29">
        <f>B357</f>
        <v/>
      </c>
      <c r="C358" s="29">
        <f>C357</f>
        <v/>
      </c>
      <c r="D358" s="29">
        <f>D357</f>
        <v/>
      </c>
      <c r="E358" s="29">
        <f>E357</f>
        <v/>
      </c>
      <c r="F358" s="29">
        <f>F357</f>
        <v/>
      </c>
      <c r="G358" s="29">
        <f>G357</f>
        <v/>
      </c>
      <c r="H358" s="29">
        <f>H357</f>
        <v/>
      </c>
      <c r="I358" s="29">
        <f>I357</f>
        <v/>
      </c>
      <c r="J358" s="29">
        <f>J357</f>
        <v/>
      </c>
      <c r="K358" s="29">
        <f>F358</f>
        <v/>
      </c>
    </row>
    <row r="359">
      <c r="A359" s="29">
        <f>CONCATENATE("CATEGORY_",UPPER(Pokemon!B346))</f>
        <v/>
      </c>
      <c r="B359" s="29" t="inlineStr">
        <is>
          <t>Sea Lily</t>
        </is>
      </c>
      <c r="C359" s="29" t="inlineStr">
        <is>
          <t>ウミユリ</t>
        </is>
      </c>
      <c r="D359" s="29" t="inlineStr">
        <is>
          <t>Lis d'Eau</t>
        </is>
      </c>
      <c r="E359" s="29" t="inlineStr">
        <is>
          <t>Seeanemone</t>
        </is>
      </c>
      <c r="F359" s="29" t="inlineStr">
        <is>
          <t>Lila Mar</t>
        </is>
      </c>
      <c r="G359" s="29" t="inlineStr">
        <is>
          <t>Fiordimare</t>
        </is>
      </c>
      <c r="H359" s="29" t="inlineStr">
        <is>
          <t>바다나리</t>
        </is>
      </c>
      <c r="I359" s="29" t="inlineStr">
        <is>
          <t>海百合</t>
        </is>
      </c>
      <c r="J359" s="29">
        <f>I359</f>
        <v/>
      </c>
      <c r="K359" s="29">
        <f>F359</f>
        <v/>
      </c>
    </row>
    <row r="360">
      <c r="A360" s="29">
        <f>CONCATENATE("CATEGORY_",UPPER(Pokemon!B347))</f>
        <v/>
      </c>
      <c r="B360" s="29" t="inlineStr">
        <is>
          <t>Barnacle</t>
        </is>
      </c>
      <c r="C360" s="29" t="inlineStr">
        <is>
          <t>いわつぼ</t>
        </is>
      </c>
      <c r="D360" s="29" t="inlineStr">
        <is>
          <t>Bemacle</t>
        </is>
      </c>
      <c r="E360" s="29" t="inlineStr">
        <is>
          <t>Rankfüßer</t>
        </is>
      </c>
      <c r="F360" s="29" t="inlineStr">
        <is>
          <t>Percebe</t>
        </is>
      </c>
      <c r="G360" s="29" t="inlineStr">
        <is>
          <t>Lepade</t>
        </is>
      </c>
      <c r="H360" s="29" t="inlineStr">
        <is>
          <t>바위단지</t>
        </is>
      </c>
      <c r="I360" s="29" t="inlineStr">
        <is>
          <t>藤壺</t>
        </is>
      </c>
      <c r="J360" s="29">
        <f>IFERROR(__xludf.DUMMYFUNCTION("GOOGLETRANSLATE(I360, ""zh_HANT"",""zh_HANS"")"),"藤壶")</f>
        <v/>
      </c>
      <c r="K360" s="29">
        <f>F360</f>
        <v/>
      </c>
    </row>
    <row r="361">
      <c r="A361" s="29">
        <f>CONCATENATE("CATEGORY_",UPPER(Pokemon!B348))</f>
        <v/>
      </c>
      <c r="B361" s="29" t="inlineStr">
        <is>
          <t>Old Shrimp</t>
        </is>
      </c>
      <c r="C361" s="29" t="inlineStr">
        <is>
          <t>むかしエビ</t>
        </is>
      </c>
      <c r="D361" s="29" t="inlineStr">
        <is>
          <t>Crustage</t>
        </is>
      </c>
      <c r="E361" s="29" t="inlineStr">
        <is>
          <t>Krebssenior</t>
        </is>
      </c>
      <c r="F361" s="29" t="inlineStr">
        <is>
          <t>Camarón</t>
        </is>
      </c>
      <c r="G361" s="29" t="inlineStr">
        <is>
          <t>Primaceo</t>
        </is>
      </c>
      <c r="H361" s="29" t="inlineStr">
        <is>
          <t>고대새우</t>
        </is>
      </c>
      <c r="I361" s="29" t="inlineStr">
        <is>
          <t>古蝦</t>
        </is>
      </c>
      <c r="J361" s="29">
        <f>IFERROR(__xludf.DUMMYFUNCTION("GOOGLETRANSLATE(I361, ""zh_HANT"",""zh_HANS"")"),"古虾")</f>
        <v/>
      </c>
      <c r="K361" s="29">
        <f>F361</f>
        <v/>
      </c>
    </row>
    <row r="362">
      <c r="A362" s="29">
        <f>CONCATENATE("CATEGORY_",UPPER(Pokemon!B349))</f>
        <v/>
      </c>
      <c r="B362" s="29" t="inlineStr">
        <is>
          <t>Plate</t>
        </is>
      </c>
      <c r="C362" s="29" t="inlineStr">
        <is>
          <t>かっちゅう</t>
        </is>
      </c>
      <c r="D362" s="29" t="inlineStr">
        <is>
          <t>Blindage</t>
        </is>
      </c>
      <c r="E362" s="29" t="inlineStr">
        <is>
          <t>Schild</t>
        </is>
      </c>
      <c r="F362" s="29" t="inlineStr">
        <is>
          <t>Armadura</t>
        </is>
      </c>
      <c r="G362" s="29" t="inlineStr">
        <is>
          <t>Piastre</t>
        </is>
      </c>
      <c r="H362" s="29" t="inlineStr">
        <is>
          <t>갑주</t>
        </is>
      </c>
      <c r="I362" s="29" t="inlineStr">
        <is>
          <t>甲胄</t>
        </is>
      </c>
      <c r="J362" s="29">
        <f>I362</f>
        <v/>
      </c>
      <c r="K362" s="29">
        <f>F362</f>
        <v/>
      </c>
    </row>
    <row r="363">
      <c r="A363" s="29">
        <f>CONCATENATE("CATEGORY_",UPPER(Pokemon!B350))</f>
        <v/>
      </c>
      <c r="B363" s="29">
        <f>B136</f>
        <v/>
      </c>
      <c r="C363" s="29">
        <f>C136</f>
        <v/>
      </c>
      <c r="D363" s="29">
        <f>D136</f>
        <v/>
      </c>
      <c r="E363" s="29">
        <f>E136</f>
        <v/>
      </c>
      <c r="F363" s="29">
        <f>F136</f>
        <v/>
      </c>
      <c r="G363" s="29">
        <f>G136</f>
        <v/>
      </c>
      <c r="H363" s="29">
        <f>H136</f>
        <v/>
      </c>
      <c r="I363" s="29">
        <f>I136</f>
        <v/>
      </c>
      <c r="J363" s="29">
        <f>J136</f>
        <v/>
      </c>
      <c r="K363" s="29">
        <f>F363</f>
        <v/>
      </c>
    </row>
    <row r="364">
      <c r="A364" s="29">
        <f>CONCATENATE("CATEGORY_",UPPER(Pokemon!B351))</f>
        <v/>
      </c>
      <c r="B364" s="29" t="inlineStr">
        <is>
          <t>Tender</t>
        </is>
      </c>
      <c r="C364" s="29" t="inlineStr">
        <is>
          <t>いつくしみ</t>
        </is>
      </c>
      <c r="D364" s="29" t="inlineStr">
        <is>
          <t>Tendre</t>
        </is>
      </c>
      <c r="E364" s="29" t="inlineStr">
        <is>
          <t>Zartheit</t>
        </is>
      </c>
      <c r="F364" s="29" t="inlineStr">
        <is>
          <t>Tierno</t>
        </is>
      </c>
      <c r="G364" s="29" t="inlineStr">
        <is>
          <t>Tenerezza</t>
        </is>
      </c>
      <c r="H364" s="29" t="inlineStr">
        <is>
          <t>사랑</t>
        </is>
      </c>
      <c r="I364" s="29" t="inlineStr">
        <is>
          <t>慈愛</t>
        </is>
      </c>
      <c r="J364" s="29">
        <f>IFERROR(__xludf.DUMMYFUNCTION("GOOGLETRANSLATE(I364, ""zh_HANT"",""zh_HANS"")"),"慈爱")</f>
        <v/>
      </c>
      <c r="K364" s="29">
        <f>F364</f>
        <v/>
      </c>
    </row>
    <row r="365">
      <c r="A365" s="29">
        <f>CONCATENATE("CATEGORY_",UPPER(Pokemon!B352))</f>
        <v/>
      </c>
      <c r="B365" s="29" t="inlineStr">
        <is>
          <t>Weather</t>
        </is>
      </c>
      <c r="C365" s="29" t="inlineStr">
        <is>
          <t>てんき</t>
        </is>
      </c>
      <c r="D365" s="29" t="inlineStr">
        <is>
          <t>Climat</t>
        </is>
      </c>
      <c r="E365" s="29" t="inlineStr">
        <is>
          <t>Wetter</t>
        </is>
      </c>
      <c r="F365" s="29" t="inlineStr">
        <is>
          <t>Clima</t>
        </is>
      </c>
      <c r="G365" s="29" t="inlineStr">
        <is>
          <t>Meteo</t>
        </is>
      </c>
      <c r="H365" s="29" t="inlineStr">
        <is>
          <t>날씨</t>
        </is>
      </c>
      <c r="I365" s="29" t="inlineStr">
        <is>
          <t>天氣</t>
        </is>
      </c>
      <c r="J365" s="29">
        <f>IFERROR(__xludf.DUMMYFUNCTION("GOOGLETRANSLATE(I365, ""zh_HANT"",""zh_HANS"")"),"天气")</f>
        <v/>
      </c>
      <c r="K365" s="29">
        <f>F365</f>
        <v/>
      </c>
    </row>
    <row r="366">
      <c r="A366" s="29">
        <f>CONCATENATE("CATEGORY_",UPPER(Pokemon!B353))</f>
        <v/>
      </c>
      <c r="B366" s="29" t="inlineStr">
        <is>
          <t>Color Swap</t>
        </is>
      </c>
      <c r="C366" s="29" t="inlineStr">
        <is>
          <t>いろへんげ</t>
        </is>
      </c>
      <c r="D366" s="29" t="inlineStr">
        <is>
          <t>Multicolor</t>
        </is>
      </c>
      <c r="E366" s="29" t="inlineStr">
        <is>
          <t>Farbenspiel</t>
        </is>
      </c>
      <c r="F366" s="29" t="inlineStr">
        <is>
          <t>Camaleónico</t>
        </is>
      </c>
      <c r="G366" s="29" t="inlineStr">
        <is>
          <t>Mutacolore</t>
        </is>
      </c>
      <c r="H366" s="29" t="inlineStr">
        <is>
          <t>색변화</t>
        </is>
      </c>
      <c r="I366" s="29" t="inlineStr">
        <is>
          <t>變色</t>
        </is>
      </c>
      <c r="J366" s="29">
        <f>IFERROR(__xludf.DUMMYFUNCTION("GOOGLETRANSLATE(I366, ""zh_HANT"",""zh_HANS"")"),"变色")</f>
        <v/>
      </c>
      <c r="K366" s="29">
        <f>F366</f>
        <v/>
      </c>
    </row>
    <row r="367">
      <c r="A367" s="29">
        <f>CONCATENATE("CATEGORY_",UPPER(Pokemon!B354))</f>
        <v/>
      </c>
      <c r="B367" s="29" t="inlineStr">
        <is>
          <t>Puppet</t>
        </is>
      </c>
      <c r="C367" s="29" t="inlineStr">
        <is>
          <t>にんぎょう</t>
        </is>
      </c>
      <c r="D367" s="29" t="inlineStr">
        <is>
          <t>Poupée</t>
        </is>
      </c>
      <c r="E367" s="29" t="inlineStr">
        <is>
          <t>Puppe</t>
        </is>
      </c>
      <c r="F367" s="29" t="inlineStr">
        <is>
          <t>Títere</t>
        </is>
      </c>
      <c r="G367" s="29" t="inlineStr">
        <is>
          <t>Pupazzo</t>
        </is>
      </c>
      <c r="H367" s="29" t="inlineStr">
        <is>
          <t>인형</t>
        </is>
      </c>
      <c r="I367" s="29" t="inlineStr">
        <is>
          <t>人偶</t>
        </is>
      </c>
      <c r="J367" s="29">
        <f>I367</f>
        <v/>
      </c>
      <c r="K367" s="29">
        <f>F367</f>
        <v/>
      </c>
    </row>
    <row r="368">
      <c r="A368" s="29">
        <f>CONCATENATE("CATEGORY_",UPPER(Pokemon!B355))</f>
        <v/>
      </c>
      <c r="B368" s="29" t="inlineStr">
        <is>
          <t>Marionette</t>
        </is>
      </c>
      <c r="C368" s="29" t="inlineStr">
        <is>
          <t>ぬいぐるみ</t>
        </is>
      </c>
      <c r="D368" s="29" t="inlineStr">
        <is>
          <t>Marionnette</t>
        </is>
      </c>
      <c r="E368" s="29">
        <f>B368</f>
        <v/>
      </c>
      <c r="F368" s="29" t="inlineStr">
        <is>
          <t>Marioneta</t>
        </is>
      </c>
      <c r="G368" s="29" t="inlineStr">
        <is>
          <t>Marionetta</t>
        </is>
      </c>
      <c r="H368" s="29" t="inlineStr">
        <is>
          <t>봉제인형</t>
        </is>
      </c>
      <c r="I368" s="29" t="inlineStr">
        <is>
          <t>布偶</t>
        </is>
      </c>
      <c r="J368" s="29">
        <f>I368</f>
        <v/>
      </c>
      <c r="K368" s="29">
        <f>F368</f>
        <v/>
      </c>
    </row>
    <row r="369">
      <c r="A369" s="29">
        <f>CONCATENATE("CATEGORY_",UPPER(Pokemon!B356))</f>
        <v/>
      </c>
      <c r="B369" s="29" t="inlineStr">
        <is>
          <t>Requiem</t>
        </is>
      </c>
      <c r="C369" s="29" t="inlineStr">
        <is>
          <t>おむかえ</t>
        </is>
      </c>
      <c r="D369" s="29" t="inlineStr">
        <is>
          <t>Requiem</t>
        </is>
      </c>
      <c r="E369" s="29">
        <f>B369</f>
        <v/>
      </c>
      <c r="F369" s="29" t="inlineStr">
        <is>
          <t>Réquiem</t>
        </is>
      </c>
      <c r="G369" s="29">
        <f>B369</f>
        <v/>
      </c>
      <c r="H369" s="29" t="inlineStr">
        <is>
          <t>마중</t>
        </is>
      </c>
      <c r="I369" s="29" t="inlineStr">
        <is>
          <t>渡魂</t>
        </is>
      </c>
      <c r="J369" s="29">
        <f>I369</f>
        <v/>
      </c>
      <c r="K369" s="29">
        <f>F369</f>
        <v/>
      </c>
    </row>
    <row r="370">
      <c r="A370" s="29">
        <f>CONCATENATE("CATEGORY_",UPPER(Pokemon!B357))</f>
        <v/>
      </c>
      <c r="B370" s="29" t="inlineStr">
        <is>
          <t>Beckon</t>
        </is>
      </c>
      <c r="C370" s="29" t="inlineStr">
        <is>
          <t>てまねき</t>
        </is>
      </c>
      <c r="D370" s="29" t="inlineStr">
        <is>
          <t>Appel</t>
        </is>
      </c>
      <c r="E370" s="29" t="inlineStr">
        <is>
          <t>Wink</t>
        </is>
      </c>
      <c r="F370" s="29" t="inlineStr">
        <is>
          <t>Atrayente</t>
        </is>
      </c>
      <c r="G370" s="29" t="inlineStr">
        <is>
          <t>Ipnosguardo</t>
        </is>
      </c>
      <c r="H370" s="29" t="inlineStr">
        <is>
          <t>손짓</t>
        </is>
      </c>
      <c r="I370" s="29" t="inlineStr">
        <is>
          <t>招手</t>
        </is>
      </c>
      <c r="J370" s="29">
        <f>I370</f>
        <v/>
      </c>
      <c r="K370" s="29">
        <f>F370</f>
        <v/>
      </c>
    </row>
    <row r="371">
      <c r="A371" s="29">
        <f>CONCATENATE("CATEGORY_",UPPER(Pokemon!B358))</f>
        <v/>
      </c>
      <c r="B371" s="29" t="inlineStr">
        <is>
          <t>Fruit</t>
        </is>
      </c>
      <c r="C371" s="29" t="inlineStr">
        <is>
          <t>フルーツ</t>
        </is>
      </c>
      <c r="D371" s="29" t="inlineStr">
        <is>
          <t>Fruit</t>
        </is>
      </c>
      <c r="E371" s="29" t="inlineStr">
        <is>
          <t>Obst</t>
        </is>
      </c>
      <c r="F371" s="29" t="inlineStr">
        <is>
          <t>Fruto</t>
        </is>
      </c>
      <c r="G371" s="29" t="inlineStr">
        <is>
          <t>Frutto</t>
        </is>
      </c>
      <c r="H371" s="29" t="inlineStr">
        <is>
          <t>후르츠</t>
        </is>
      </c>
      <c r="I371" s="29" t="inlineStr">
        <is>
          <t>水果</t>
        </is>
      </c>
      <c r="J371" s="29">
        <f>I371</f>
        <v/>
      </c>
      <c r="K371" s="29">
        <f>F371</f>
        <v/>
      </c>
    </row>
    <row r="372">
      <c r="A372" s="29">
        <f>CONCATENATE("CATEGORY_",UPPER(Pokemon!B359))</f>
        <v/>
      </c>
      <c r="B372" s="29" t="inlineStr">
        <is>
          <t>Wind Chime</t>
        </is>
      </c>
      <c r="C372" s="29" t="inlineStr">
        <is>
          <t>ふうりん</t>
        </is>
      </c>
      <c r="D372" s="29" t="inlineStr">
        <is>
          <t>Carillon</t>
        </is>
      </c>
      <c r="E372" s="29" t="inlineStr">
        <is>
          <t>Windspiel</t>
        </is>
      </c>
      <c r="F372" s="29" t="inlineStr">
        <is>
          <t>Sonido Aire</t>
        </is>
      </c>
      <c r="G372" s="29" t="inlineStr">
        <is>
          <t>Vencampana</t>
        </is>
      </c>
      <c r="H372" s="29" t="inlineStr">
        <is>
          <t>풍령</t>
        </is>
      </c>
      <c r="I372" s="29" t="inlineStr">
        <is>
          <t>風鈴</t>
        </is>
      </c>
      <c r="J372" s="29">
        <f>IFERROR(__xludf.DUMMYFUNCTION("GOOGLETRANSLATE(I372, ""zh_HANT"",""zh_HANS"")"),"风铃")</f>
        <v/>
      </c>
      <c r="K372" s="29">
        <f>F372</f>
        <v/>
      </c>
    </row>
    <row r="373">
      <c r="A373" s="29">
        <f>CONCATENATE("CATEGORY_",UPPER(Pokemon!B360))</f>
        <v/>
      </c>
      <c r="B373" s="29" t="inlineStr">
        <is>
          <t>Disaster</t>
        </is>
      </c>
      <c r="C373" s="29" t="inlineStr">
        <is>
          <t>わざわい</t>
        </is>
      </c>
      <c r="D373" s="29" t="inlineStr">
        <is>
          <t>Désastre</t>
        </is>
      </c>
      <c r="E373" s="29" t="inlineStr">
        <is>
          <t>Desaster</t>
        </is>
      </c>
      <c r="F373" s="29" t="inlineStr">
        <is>
          <t>Catástrofe</t>
        </is>
      </c>
      <c r="G373" s="29" t="inlineStr">
        <is>
          <t>Catastrofe</t>
        </is>
      </c>
      <c r="H373" s="29" t="inlineStr">
        <is>
          <t>재난</t>
        </is>
      </c>
      <c r="I373" s="29" t="inlineStr">
        <is>
          <t>災禍</t>
        </is>
      </c>
      <c r="J373" s="29">
        <f>IFERROR(__xludf.DUMMYFUNCTION("GOOGLETRANSLATE(I373, ""zh_HANT"",""zh_HANS"")"),"灾祸")</f>
        <v/>
      </c>
      <c r="K373" s="29">
        <f>F373</f>
        <v/>
      </c>
    </row>
    <row r="374">
      <c r="A374" s="29">
        <f>CONCATENATE("CATEGORY_",UPPER(Pokemon!B361))</f>
        <v/>
      </c>
      <c r="B374" s="29" t="inlineStr">
        <is>
          <t>Bright</t>
        </is>
      </c>
      <c r="C374" s="29" t="inlineStr">
        <is>
          <t>ほがらか</t>
        </is>
      </c>
      <c r="D374" s="29" t="inlineStr">
        <is>
          <t>Ravi</t>
        </is>
      </c>
      <c r="E374" s="29" t="inlineStr">
        <is>
          <t>Strahlekind</t>
        </is>
      </c>
      <c r="F374" s="29" t="inlineStr">
        <is>
          <t>Radiante</t>
        </is>
      </c>
      <c r="G374" s="29" t="inlineStr">
        <is>
          <t>Brillante</t>
        </is>
      </c>
      <c r="H374" s="29" t="inlineStr">
        <is>
          <t>명랑</t>
        </is>
      </c>
      <c r="I374" s="29" t="inlineStr">
        <is>
          <t>開朗</t>
        </is>
      </c>
      <c r="J374" s="29">
        <f>IFERROR(__xludf.DUMMYFUNCTION("GOOGLETRANSLATE(I374, ""zh_HANT"",""zh_HANS"")"),"开朗")</f>
        <v/>
      </c>
      <c r="K374" s="29">
        <f>F374</f>
        <v/>
      </c>
    </row>
    <row r="375">
      <c r="A375" s="29">
        <f>CONCATENATE("CATEGORY_",UPPER(Pokemon!B362))</f>
        <v/>
      </c>
      <c r="B375" s="29" t="inlineStr">
        <is>
          <t>Snow Hat</t>
        </is>
      </c>
      <c r="C375" s="29" t="inlineStr">
        <is>
          <t>ゆきかさ</t>
        </is>
      </c>
      <c r="D375" s="29" t="inlineStr">
        <is>
          <t>Capuche</t>
        </is>
      </c>
      <c r="E375" s="29" t="inlineStr">
        <is>
          <t>Schneehut</t>
        </is>
      </c>
      <c r="F375" s="29" t="inlineStr">
        <is>
          <t>Gorro Nieve</t>
        </is>
      </c>
      <c r="G375" s="29" t="inlineStr">
        <is>
          <t>Cappelneve</t>
        </is>
      </c>
      <c r="H375" s="29" t="inlineStr">
        <is>
          <t>눈우산</t>
        </is>
      </c>
      <c r="I375" s="29" t="inlineStr">
        <is>
          <t>雪笠</t>
        </is>
      </c>
      <c r="J375" s="29">
        <f>I375</f>
        <v/>
      </c>
      <c r="K375" s="29">
        <f>F375</f>
        <v/>
      </c>
    </row>
    <row r="376">
      <c r="A376" s="29">
        <f>CONCATENATE("CATEGORY_",UPPER(Pokemon!B363))</f>
        <v/>
      </c>
      <c r="B376" s="29" t="inlineStr">
        <is>
          <t>Face</t>
        </is>
      </c>
      <c r="C376" s="29" t="inlineStr">
        <is>
          <t>がんめん</t>
        </is>
      </c>
      <c r="D376" s="29" t="inlineStr">
        <is>
          <t>Face</t>
        </is>
      </c>
      <c r="E376" s="29" t="inlineStr">
        <is>
          <t>Antlitz</t>
        </is>
      </c>
      <c r="F376" s="29" t="inlineStr">
        <is>
          <t>Cara</t>
        </is>
      </c>
      <c r="G376" s="29" t="inlineStr">
        <is>
          <t>Tuttomuso</t>
        </is>
      </c>
      <c r="H376" s="29" t="inlineStr">
        <is>
          <t>얼굴</t>
        </is>
      </c>
      <c r="I376" s="29" t="inlineStr">
        <is>
          <t>臉面</t>
        </is>
      </c>
      <c r="J376" s="29">
        <f>IFERROR(__xludf.DUMMYFUNCTION("GOOGLETRANSLATE(I376, ""zh_HANT"",""zh_HANS"")"),"脸面")</f>
        <v/>
      </c>
      <c r="K376" s="29">
        <f>F376</f>
        <v/>
      </c>
    </row>
    <row r="377">
      <c r="A377" s="29">
        <f>CONCATENATE("CATEGORY_",UPPER(Pokemon!B364))</f>
        <v/>
      </c>
      <c r="B377" s="29" t="inlineStr">
        <is>
          <t>Clap</t>
        </is>
      </c>
      <c r="C377" s="29" t="inlineStr">
        <is>
          <t>てたたき</t>
        </is>
      </c>
      <c r="D377" s="29" t="inlineStr">
        <is>
          <t>Clap Clap</t>
        </is>
      </c>
      <c r="E377" s="29" t="inlineStr">
        <is>
          <t>Applaus</t>
        </is>
      </c>
      <c r="F377" s="29" t="inlineStr">
        <is>
          <t>Aplauso</t>
        </is>
      </c>
      <c r="G377" s="29" t="inlineStr">
        <is>
          <t>Rotolante</t>
        </is>
      </c>
      <c r="H377" s="29" t="inlineStr">
        <is>
          <t>손뼉</t>
        </is>
      </c>
      <c r="I377" s="29" t="inlineStr">
        <is>
          <t>拍手</t>
        </is>
      </c>
      <c r="J377" s="29">
        <f>I377</f>
        <v/>
      </c>
      <c r="K377" s="29">
        <f>F377</f>
        <v/>
      </c>
    </row>
    <row r="378">
      <c r="A378" s="29">
        <f>CONCATENATE("CATEGORY_",UPPER(Pokemon!B365))</f>
        <v/>
      </c>
      <c r="B378" s="29" t="inlineStr">
        <is>
          <t>Ball Roll</t>
        </is>
      </c>
      <c r="C378" s="29" t="inlineStr">
        <is>
          <t>たままわし</t>
        </is>
      </c>
      <c r="D378" s="29" t="inlineStr">
        <is>
          <t>Roule Boule</t>
        </is>
      </c>
      <c r="E378" s="29" t="inlineStr">
        <is>
          <t>Spielball</t>
        </is>
      </c>
      <c r="F378" s="29" t="inlineStr">
        <is>
          <t>Rodabola</t>
        </is>
      </c>
      <c r="G378" s="29" t="inlineStr">
        <is>
          <t>Rotapalla</t>
        </is>
      </c>
      <c r="H378" s="29" t="inlineStr">
        <is>
          <t>공돌리기</t>
        </is>
      </c>
      <c r="I378" s="29" t="inlineStr">
        <is>
          <t>滾球</t>
        </is>
      </c>
      <c r="J378" s="29">
        <f>IFERROR(__xludf.DUMMYFUNCTION("GOOGLETRANSLATE(I378, ""zh_HANT"",""zh_HANS"")"),"滚球")</f>
        <v/>
      </c>
      <c r="K378" s="29">
        <f>F378</f>
        <v/>
      </c>
    </row>
    <row r="379">
      <c r="A379" s="29">
        <f>CONCATENATE("CATEGORY_",UPPER(Pokemon!B366))</f>
        <v/>
      </c>
      <c r="B379" s="29" t="inlineStr">
        <is>
          <t>Ice Break</t>
        </is>
      </c>
      <c r="C379" s="29" t="inlineStr">
        <is>
          <t>こおりわり</t>
        </is>
      </c>
      <c r="D379" s="29" t="inlineStr">
        <is>
          <t>Brise Glace</t>
        </is>
      </c>
      <c r="E379" s="29" t="inlineStr">
        <is>
          <t>Eisbrecher</t>
        </is>
      </c>
      <c r="F379" s="29" t="inlineStr">
        <is>
          <t>Rompehielo</t>
        </is>
      </c>
      <c r="G379" s="29" t="inlineStr">
        <is>
          <t>Spaccagelo</t>
        </is>
      </c>
      <c r="H379" s="29" t="inlineStr">
        <is>
          <t>얼음깨기</t>
        </is>
      </c>
      <c r="I379" s="29" t="inlineStr">
        <is>
          <t>破冰</t>
        </is>
      </c>
      <c r="J379" s="29">
        <f>I379</f>
        <v/>
      </c>
      <c r="K379" s="29">
        <f>F379</f>
        <v/>
      </c>
    </row>
    <row r="380">
      <c r="A380" s="29">
        <f>CONCATENATE("CATEGORY_",UPPER(Pokemon!B367))</f>
        <v/>
      </c>
      <c r="B380" s="29">
        <f>B94</f>
        <v/>
      </c>
      <c r="C380" s="29">
        <f>C94</f>
        <v/>
      </c>
      <c r="D380" s="29">
        <f>D94</f>
        <v/>
      </c>
      <c r="E380" s="29">
        <f>E94</f>
        <v/>
      </c>
      <c r="F380" s="29">
        <f>F94</f>
        <v/>
      </c>
      <c r="G380" s="29">
        <f>G94</f>
        <v/>
      </c>
      <c r="H380" s="29">
        <f>H94</f>
        <v/>
      </c>
      <c r="I380" s="29">
        <f>I94</f>
        <v/>
      </c>
      <c r="J380" s="29">
        <f>J94</f>
        <v/>
      </c>
      <c r="K380" s="29">
        <f>F380</f>
        <v/>
      </c>
    </row>
    <row r="381">
      <c r="A381" s="29">
        <f>CONCATENATE("CATEGORY_",UPPER(Pokemon!B368))</f>
        <v/>
      </c>
      <c r="B381" s="29" t="inlineStr">
        <is>
          <t>Deep Sea</t>
        </is>
      </c>
      <c r="C381" s="29" t="inlineStr">
        <is>
          <t>しんかい</t>
        </is>
      </c>
      <c r="D381" s="29" t="inlineStr">
        <is>
          <t>Abysse</t>
        </is>
      </c>
      <c r="E381" s="29" t="inlineStr">
        <is>
          <t>Tiefsee</t>
        </is>
      </c>
      <c r="F381" s="29" t="inlineStr">
        <is>
          <t>Abisal</t>
        </is>
      </c>
      <c r="G381" s="29" t="inlineStr">
        <is>
          <t>Abissi</t>
        </is>
      </c>
      <c r="H381" s="29" t="inlineStr">
        <is>
          <t>깊은바다</t>
        </is>
      </c>
      <c r="I381" s="29" t="inlineStr">
        <is>
          <t>深海</t>
        </is>
      </c>
      <c r="J381" s="29">
        <f>I381</f>
        <v/>
      </c>
      <c r="K381" s="29">
        <f>F381</f>
        <v/>
      </c>
    </row>
    <row r="382">
      <c r="A382" s="29">
        <f>CONCATENATE("CATEGORY_",UPPER(Pokemon!B369))</f>
        <v/>
      </c>
      <c r="B382" s="29" t="inlineStr">
        <is>
          <t>South Sea</t>
        </is>
      </c>
      <c r="C382" s="29" t="inlineStr">
        <is>
          <t>なんかい</t>
        </is>
      </c>
      <c r="D382" s="29" t="inlineStr">
        <is>
          <t>Mer du Sud</t>
        </is>
      </c>
      <c r="E382" s="29" t="inlineStr">
        <is>
          <t>Südsee</t>
        </is>
      </c>
      <c r="F382" s="29" t="inlineStr">
        <is>
          <t>Mar Del Sur</t>
        </is>
      </c>
      <c r="G382" s="29" t="inlineStr">
        <is>
          <t>Sudmarino</t>
        </is>
      </c>
      <c r="H382" s="29" t="inlineStr">
        <is>
          <t>남해</t>
        </is>
      </c>
      <c r="I382" s="29" t="inlineStr">
        <is>
          <t>南海</t>
        </is>
      </c>
      <c r="J382" s="29">
        <f>I382</f>
        <v/>
      </c>
      <c r="K382" s="29">
        <f>F382</f>
        <v/>
      </c>
    </row>
    <row r="383">
      <c r="A383" s="29">
        <f>CONCATENATE("CATEGORY_",UPPER(Pokemon!B370))</f>
        <v/>
      </c>
      <c r="B383" s="29" t="inlineStr">
        <is>
          <t>Longevity</t>
        </is>
      </c>
      <c r="C383" s="29" t="inlineStr">
        <is>
          <t>ちょうじゅ</t>
        </is>
      </c>
      <c r="D383" s="29" t="inlineStr">
        <is>
          <t>Longévité</t>
        </is>
      </c>
      <c r="E383" s="29" t="inlineStr">
        <is>
          <t>Bestand</t>
        </is>
      </c>
      <c r="F383" s="29" t="inlineStr">
        <is>
          <t>Longevo</t>
        </is>
      </c>
      <c r="G383" s="29" t="inlineStr">
        <is>
          <t>Longevità</t>
        </is>
      </c>
      <c r="H383" s="29" t="inlineStr">
        <is>
          <t>장수</t>
        </is>
      </c>
      <c r="I383" s="29" t="inlineStr">
        <is>
          <t>長壽</t>
        </is>
      </c>
      <c r="J383" s="29">
        <f>IFERROR(__xludf.DUMMYFUNCTION("GOOGLETRANSLATE(I383, ""zh_HANT"",""zh_HANS"")"),"长寿")</f>
        <v/>
      </c>
      <c r="K383" s="29">
        <f>F383</f>
        <v/>
      </c>
    </row>
    <row r="384">
      <c r="A384" s="29">
        <f>CONCATENATE("CATEGORY_",UPPER(Pokemon!B371))</f>
        <v/>
      </c>
      <c r="B384" s="29" t="inlineStr">
        <is>
          <t>Rendezvous</t>
        </is>
      </c>
      <c r="C384" s="29" t="inlineStr">
        <is>
          <t>ランデブー</t>
        </is>
      </c>
      <c r="D384" s="29" t="inlineStr">
        <is>
          <t>Rendez-Vous</t>
        </is>
      </c>
      <c r="E384" s="29">
        <f>B384</f>
        <v/>
      </c>
      <c r="F384" s="29" t="inlineStr">
        <is>
          <t>Cita</t>
        </is>
      </c>
      <c r="G384" s="29">
        <f>B384</f>
        <v/>
      </c>
      <c r="H384" s="29" t="inlineStr">
        <is>
          <t>랑데부</t>
        </is>
      </c>
      <c r="I384" s="29" t="inlineStr">
        <is>
          <t>相隨</t>
        </is>
      </c>
      <c r="J384" s="29">
        <f>IFERROR(__xludf.DUMMYFUNCTION("GOOGLETRANSLATE(I384, ""zh_HANT"",""zh_HANS"")"),"相随")</f>
        <v/>
      </c>
      <c r="K384" s="29">
        <f>F384</f>
        <v/>
      </c>
    </row>
    <row r="385">
      <c r="A385" s="29">
        <f>CONCATENATE("CATEGORY_",UPPER(Pokemon!B372))</f>
        <v/>
      </c>
      <c r="B385" s="29">
        <f>Abilities!B70</f>
        <v/>
      </c>
      <c r="C385" s="29">
        <f>Abilities!C70</f>
        <v/>
      </c>
      <c r="D385" s="29">
        <f>Abilities!D70</f>
        <v/>
      </c>
      <c r="E385" s="29">
        <f>Abilities!E70</f>
        <v/>
      </c>
      <c r="F385" s="29">
        <f>Abilities!F70</f>
        <v/>
      </c>
      <c r="G385" s="29" t="inlineStr">
        <is>
          <t>Rocciotesta</t>
        </is>
      </c>
      <c r="H385" s="29">
        <f>Abilities!H70</f>
        <v/>
      </c>
      <c r="I385" s="29">
        <f>Abilities!I70</f>
        <v/>
      </c>
      <c r="J385" s="29">
        <f>Abilities!J70</f>
        <v/>
      </c>
      <c r="K385" s="29">
        <f>F385</f>
        <v/>
      </c>
    </row>
    <row r="386">
      <c r="A386" s="29">
        <f>CONCATENATE("CATEGORY_",UPPER(Pokemon!B373))</f>
        <v/>
      </c>
      <c r="B386" s="29" t="inlineStr">
        <is>
          <t>Endurance</t>
        </is>
      </c>
      <c r="C386" s="29" t="inlineStr">
        <is>
          <t>にんたい</t>
        </is>
      </c>
      <c r="D386" s="29" t="inlineStr">
        <is>
          <t>Endurant</t>
        </is>
      </c>
      <c r="E386" s="29" t="inlineStr">
        <is>
          <t>Durchsteher</t>
        </is>
      </c>
      <c r="F386" s="29" t="inlineStr">
        <is>
          <t>Resistencia</t>
        </is>
      </c>
      <c r="G386" s="29" t="inlineStr">
        <is>
          <t>Resistenza</t>
        </is>
      </c>
      <c r="H386" s="29" t="inlineStr">
        <is>
          <t>인내</t>
        </is>
      </c>
      <c r="I386" s="29" t="inlineStr">
        <is>
          <t>耐力</t>
        </is>
      </c>
      <c r="J386" s="29">
        <f>I386</f>
        <v/>
      </c>
      <c r="K386" s="29">
        <f>F386</f>
        <v/>
      </c>
    </row>
    <row r="387">
      <c r="A387" s="29">
        <f>CONCATENATE("CATEGORY_",UPPER(Pokemon!B374))</f>
        <v/>
      </c>
      <c r="B387" s="29">
        <f>B122</f>
        <v/>
      </c>
      <c r="C387" s="29">
        <f>C122</f>
        <v/>
      </c>
      <c r="D387" s="29">
        <f>D122</f>
        <v/>
      </c>
      <c r="E387" s="29">
        <f>E122</f>
        <v/>
      </c>
      <c r="F387" s="29">
        <f>F122</f>
        <v/>
      </c>
      <c r="G387" s="29">
        <f>G122</f>
        <v/>
      </c>
      <c r="H387" s="29">
        <f>H122</f>
        <v/>
      </c>
      <c r="I387" s="29">
        <f>I122</f>
        <v/>
      </c>
      <c r="J387" s="29">
        <f>J122</f>
        <v/>
      </c>
      <c r="K387" s="29">
        <f>F387</f>
        <v/>
      </c>
    </row>
    <row r="388">
      <c r="A388" s="29">
        <f>CONCATENATE("CATEGORY_",UPPER(Pokemon!B375))</f>
        <v/>
      </c>
      <c r="B388" s="29" t="inlineStr">
        <is>
          <t>Iron Ball</t>
        </is>
      </c>
      <c r="C388" s="29" t="inlineStr">
        <is>
          <t>てっきゅう</t>
        </is>
      </c>
      <c r="D388" s="29" t="inlineStr">
        <is>
          <t>Boulefer</t>
        </is>
      </c>
      <c r="E388" s="29" t="inlineStr">
        <is>
          <t>Eisenkugel</t>
        </is>
      </c>
      <c r="F388" s="29" t="inlineStr">
        <is>
          <t>Bola Hierro</t>
        </is>
      </c>
      <c r="G388" s="29" t="inlineStr">
        <is>
          <t>Ferrosfera</t>
        </is>
      </c>
      <c r="H388" s="29" t="inlineStr">
        <is>
          <t>철공</t>
        </is>
      </c>
      <c r="I388" s="29" t="inlineStr">
        <is>
          <t>鐵球</t>
        </is>
      </c>
      <c r="J388" s="29">
        <f>IFERROR(__xludf.DUMMYFUNCTION("GOOGLETRANSLATE(I388, ""zh_HANT"",""zh_HANS"")"),"铁球")</f>
        <v/>
      </c>
      <c r="K388" s="29">
        <f>F388</f>
        <v/>
      </c>
    </row>
    <row r="389">
      <c r="A389" s="29">
        <f>CONCATENATE("CATEGORY_",UPPER(Pokemon!B376))</f>
        <v/>
      </c>
      <c r="B389" s="29" t="inlineStr">
        <is>
          <t>Iron Claw</t>
        </is>
      </c>
      <c r="C389" s="29" t="inlineStr">
        <is>
          <t>てつツメ</t>
        </is>
      </c>
      <c r="D389" s="29" t="inlineStr">
        <is>
          <t>Pincefer</t>
        </is>
      </c>
      <c r="E389" s="29" t="inlineStr">
        <is>
          <t>Eisenklaue</t>
        </is>
      </c>
      <c r="F389" s="29" t="inlineStr">
        <is>
          <t>Garrahierro</t>
        </is>
      </c>
      <c r="G389" s="29" t="inlineStr">
        <is>
          <t>Ferrunghia</t>
        </is>
      </c>
      <c r="H389" s="29" t="inlineStr">
        <is>
          <t>철발톱</t>
        </is>
      </c>
      <c r="I389" s="29" t="inlineStr">
        <is>
          <t>鐵爪</t>
        </is>
      </c>
      <c r="J389" s="29">
        <f>IFERROR(__xludf.DUMMYFUNCTION("GOOGLETRANSLATE(I389, ""zh_HANT"",""zh_HANS"")"),"铁爪")</f>
        <v/>
      </c>
      <c r="K389" s="29">
        <f>F389</f>
        <v/>
      </c>
    </row>
    <row r="390">
      <c r="A390" s="29">
        <f>CONCATENATE("CATEGORY_",UPPER(Pokemon!B377))</f>
        <v/>
      </c>
      <c r="B390" s="29" t="inlineStr">
        <is>
          <t>Iron Leg</t>
        </is>
      </c>
      <c r="C390" s="29" t="inlineStr">
        <is>
          <t>てつあし</t>
        </is>
      </c>
      <c r="D390" s="29" t="inlineStr">
        <is>
          <t>Pattefer</t>
        </is>
      </c>
      <c r="E390" s="29" t="inlineStr">
        <is>
          <t>Eisenfuß</t>
        </is>
      </c>
      <c r="F390" s="29" t="inlineStr">
        <is>
          <t>Pata Hierro</t>
        </is>
      </c>
      <c r="G390" s="29" t="inlineStr">
        <is>
          <t>Ferrarto</t>
        </is>
      </c>
      <c r="H390" s="29" t="inlineStr">
        <is>
          <t>무쇠다리</t>
        </is>
      </c>
      <c r="I390" s="29" t="inlineStr">
        <is>
          <t>鐵足</t>
        </is>
      </c>
      <c r="J390" s="29">
        <f>IFERROR(__xludf.DUMMYFUNCTION("GOOGLETRANSLATE(I390, ""zh_HANT"",""zh_HANS"")"),"铁足")</f>
        <v/>
      </c>
      <c r="K390" s="29">
        <f>F390</f>
        <v/>
      </c>
    </row>
    <row r="391">
      <c r="A391" s="29">
        <f>CONCATENATE("CATEGORY_",UPPER(Pokemon!B378))</f>
        <v/>
      </c>
      <c r="B391" s="29" t="inlineStr">
        <is>
          <t>Rock Peak</t>
        </is>
      </c>
      <c r="C391" s="29" t="inlineStr">
        <is>
          <t>いわやま</t>
        </is>
      </c>
      <c r="D391" s="29" t="inlineStr">
        <is>
          <t>Pic Rocheux</t>
        </is>
      </c>
      <c r="E391" s="29" t="inlineStr">
        <is>
          <t>Steingipfel</t>
        </is>
      </c>
      <c r="F391" s="29" t="inlineStr">
        <is>
          <t>Pico Roca</t>
        </is>
      </c>
      <c r="G391" s="29" t="inlineStr">
        <is>
          <t>Picco</t>
        </is>
      </c>
      <c r="H391" s="29" t="inlineStr">
        <is>
          <t>바위산</t>
        </is>
      </c>
      <c r="I391" s="29" t="inlineStr">
        <is>
          <t>岩山</t>
        </is>
      </c>
      <c r="J391" s="29">
        <f>I391</f>
        <v/>
      </c>
      <c r="K391" s="29">
        <f>F391</f>
        <v/>
      </c>
    </row>
    <row r="392">
      <c r="A392" s="29">
        <f>CONCATENATE("CATEGORY_",UPPER(Pokemon!B379))</f>
        <v/>
      </c>
      <c r="B392" s="29" t="inlineStr">
        <is>
          <t>Iceberg</t>
        </is>
      </c>
      <c r="C392" s="29" t="inlineStr">
        <is>
          <t>ひょうざん</t>
        </is>
      </c>
      <c r="D392" s="29" t="inlineStr">
        <is>
          <t>Iceberg</t>
        </is>
      </c>
      <c r="E392" s="29" t="inlineStr">
        <is>
          <t>Eisberg</t>
        </is>
      </c>
      <c r="F392" s="29">
        <f>B392</f>
        <v/>
      </c>
      <c r="G392" s="29">
        <f>B392</f>
        <v/>
      </c>
      <c r="H392" s="29" t="inlineStr">
        <is>
          <t>빙산</t>
        </is>
      </c>
      <c r="I392" s="29" t="inlineStr">
        <is>
          <t>冰山</t>
        </is>
      </c>
      <c r="J392" s="29">
        <f>I392</f>
        <v/>
      </c>
      <c r="K392" s="29">
        <f>F392</f>
        <v/>
      </c>
    </row>
    <row r="393">
      <c r="A393" s="29">
        <f>CONCATENATE("CATEGORY_",UPPER(Pokemon!B380))</f>
        <v/>
      </c>
      <c r="B393" s="29" t="inlineStr">
        <is>
          <t>Iron</t>
        </is>
      </c>
      <c r="C393" s="29" t="inlineStr">
        <is>
          <t>くろがね</t>
        </is>
      </c>
      <c r="D393" s="29" t="inlineStr">
        <is>
          <t>Fer</t>
        </is>
      </c>
      <c r="E393" s="29" t="inlineStr">
        <is>
          <t>Eisen</t>
        </is>
      </c>
      <c r="F393" s="29" t="inlineStr">
        <is>
          <t>Hierro</t>
        </is>
      </c>
      <c r="G393" s="29" t="inlineStr">
        <is>
          <t>Ferro</t>
        </is>
      </c>
      <c r="H393" s="29" t="inlineStr">
        <is>
          <t>쇠철</t>
        </is>
      </c>
      <c r="I393" s="29" t="inlineStr">
        <is>
          <t>黑金</t>
        </is>
      </c>
      <c r="J393" s="29">
        <f>I393</f>
        <v/>
      </c>
      <c r="K393" s="29">
        <f>F393</f>
        <v/>
      </c>
    </row>
    <row r="394">
      <c r="A394" s="29">
        <f>CONCATENATE("CATEGORY_",UPPER(Pokemon!B381))</f>
        <v/>
      </c>
      <c r="B394" s="29" t="inlineStr">
        <is>
          <t>Eon</t>
        </is>
      </c>
      <c r="C394" s="29" t="inlineStr">
        <is>
          <t>むげん</t>
        </is>
      </c>
      <c r="D394" s="29" t="inlineStr">
        <is>
          <t>Éon</t>
        </is>
      </c>
      <c r="E394" s="29" t="inlineStr">
        <is>
          <t>Äon</t>
        </is>
      </c>
      <c r="F394" s="29" t="inlineStr">
        <is>
          <t>Eón</t>
        </is>
      </c>
      <c r="G394" s="29" t="inlineStr">
        <is>
          <t>Eone</t>
        </is>
      </c>
      <c r="H394" s="29" t="inlineStr">
        <is>
          <t>무한</t>
        </is>
      </c>
      <c r="I394" s="29" t="inlineStr">
        <is>
          <t>無限</t>
        </is>
      </c>
      <c r="J394" s="29">
        <f>IFERROR(__xludf.DUMMYFUNCTION("GOOGLETRANSLATE(I394, ""zh_HANT"",""zh_HANS"")"),"无限")</f>
        <v/>
      </c>
      <c r="K394" s="29">
        <f>F394</f>
        <v/>
      </c>
    </row>
    <row r="395">
      <c r="A395" s="29">
        <f>CONCATENATE("CATEGORY_",UPPER(Pokemon!B382))</f>
        <v/>
      </c>
      <c r="B395" s="29">
        <f>B394</f>
        <v/>
      </c>
      <c r="C395" s="29">
        <f>C394</f>
        <v/>
      </c>
      <c r="D395" s="29">
        <f>D394</f>
        <v/>
      </c>
      <c r="E395" s="29">
        <f>E394</f>
        <v/>
      </c>
      <c r="F395" s="29">
        <f>F394</f>
        <v/>
      </c>
      <c r="G395" s="29">
        <f>G394</f>
        <v/>
      </c>
      <c r="H395" s="29">
        <f>H394</f>
        <v/>
      </c>
      <c r="I395" s="29">
        <f>I394</f>
        <v/>
      </c>
      <c r="J395" s="29">
        <f>J394</f>
        <v/>
      </c>
      <c r="K395" s="29">
        <f>F395</f>
        <v/>
      </c>
    </row>
    <row r="396">
      <c r="A396" s="29">
        <f>CONCATENATE("CATEGORY_",UPPER(Pokemon!B383))</f>
        <v/>
      </c>
      <c r="B396" s="29" t="inlineStr">
        <is>
          <t>Sea Basin</t>
        </is>
      </c>
      <c r="C396" s="29" t="inlineStr">
        <is>
          <t>かいてい</t>
        </is>
      </c>
      <c r="D396" s="29" t="inlineStr">
        <is>
          <t>Bassinmarin</t>
        </is>
      </c>
      <c r="E396" s="29" t="inlineStr">
        <is>
          <t>Seegründler</t>
        </is>
      </c>
      <c r="F396" s="29" t="inlineStr">
        <is>
          <t>Cuenca Mar</t>
        </is>
      </c>
      <c r="G396" s="29" t="inlineStr">
        <is>
          <t>Oceano</t>
        </is>
      </c>
      <c r="H396" s="29" t="inlineStr">
        <is>
          <t>해저</t>
        </is>
      </c>
      <c r="I396" s="29" t="inlineStr">
        <is>
          <t>海底</t>
        </is>
      </c>
      <c r="J396" s="29">
        <f>I396</f>
        <v/>
      </c>
      <c r="K396" s="29">
        <f>F396</f>
        <v/>
      </c>
    </row>
    <row r="397">
      <c r="A397" s="29">
        <f>CONCATENATE("CATEGORY_",UPPER(Pokemon!B384))</f>
        <v/>
      </c>
      <c r="B397" s="29" t="inlineStr">
        <is>
          <t>Continent</t>
        </is>
      </c>
      <c r="C397" s="29" t="inlineStr">
        <is>
          <t>たいりく</t>
        </is>
      </c>
      <c r="D397" s="29" t="inlineStr">
        <is>
          <t>Continent</t>
        </is>
      </c>
      <c r="E397" s="29" t="inlineStr">
        <is>
          <t>Kontinent</t>
        </is>
      </c>
      <c r="F397" s="29" t="inlineStr">
        <is>
          <t>Continente</t>
        </is>
      </c>
      <c r="G397" s="29">
        <f>F397</f>
        <v/>
      </c>
      <c r="H397" s="29" t="inlineStr">
        <is>
          <t>대륙</t>
        </is>
      </c>
      <c r="I397" s="29" t="inlineStr">
        <is>
          <t>大陸</t>
        </is>
      </c>
      <c r="J397" s="29">
        <f>IFERROR(__xludf.DUMMYFUNCTION("GOOGLETRANSLATE(I397, ""zh_HANT"",""zh_HANS"")"),"大陆")</f>
        <v/>
      </c>
      <c r="K397" s="29">
        <f>F397</f>
        <v/>
      </c>
    </row>
    <row r="398">
      <c r="A398" s="29">
        <f>CONCATENATE("CATEGORY_",UPPER(Pokemon!B385))</f>
        <v/>
      </c>
      <c r="B398" s="29" t="inlineStr">
        <is>
          <t>Sky High</t>
        </is>
      </c>
      <c r="C398" s="29" t="inlineStr">
        <is>
          <t>てんくう</t>
        </is>
      </c>
      <c r="D398" s="29" t="inlineStr">
        <is>
          <t>Cieux</t>
        </is>
      </c>
      <c r="E398" s="29" t="inlineStr">
        <is>
          <t>Himmelhoch</t>
        </is>
      </c>
      <c r="F398" s="29" t="inlineStr">
        <is>
          <t>Cielo</t>
        </is>
      </c>
      <c r="G398" s="29" t="inlineStr">
        <is>
          <t>Stratosfera</t>
        </is>
      </c>
      <c r="H398" s="29" t="inlineStr">
        <is>
          <t>천공</t>
        </is>
      </c>
      <c r="I398" s="29" t="inlineStr">
        <is>
          <t>天空</t>
        </is>
      </c>
      <c r="J398" s="29">
        <f>I398</f>
        <v/>
      </c>
      <c r="K398" s="29">
        <f>F398</f>
        <v/>
      </c>
    </row>
    <row r="399">
      <c r="A399" s="29">
        <f>CONCATENATE("CATEGORY_",UPPER(Pokemon!B386))</f>
        <v/>
      </c>
      <c r="B399" s="29" t="inlineStr">
        <is>
          <t>Wish</t>
        </is>
      </c>
      <c r="C399" s="29" t="inlineStr">
        <is>
          <t>ねがいごと</t>
        </is>
      </c>
      <c r="D399" s="29" t="inlineStr">
        <is>
          <t>Souhait</t>
        </is>
      </c>
      <c r="E399" s="29" t="inlineStr">
        <is>
          <t>Wünscher</t>
        </is>
      </c>
      <c r="F399" s="29" t="inlineStr">
        <is>
          <t>Deseo</t>
        </is>
      </c>
      <c r="G399" s="29" t="inlineStr">
        <is>
          <t>Desiderio</t>
        </is>
      </c>
      <c r="H399" s="29" t="inlineStr">
        <is>
          <t>희망사항</t>
        </is>
      </c>
      <c r="I399" s="29" t="inlineStr">
        <is>
          <t>祈願</t>
        </is>
      </c>
      <c r="J399" s="29">
        <f>IFERROR(__xludf.DUMMYFUNCTION("GOOGLETRANSLATE(I399, ""zh_HANT"",""zh_HANS"")"),"祈愿")</f>
        <v/>
      </c>
      <c r="K399" s="29">
        <f>F399</f>
        <v/>
      </c>
    </row>
    <row r="400">
      <c r="A400" s="29">
        <f>CONCATENATE("CATEGORY_",UPPER(Pokemon!B387))</f>
        <v/>
      </c>
      <c r="B400" s="29" t="inlineStr">
        <is>
          <t>DNA</t>
        </is>
      </c>
      <c r="C400" s="29" t="inlineStr">
        <is>
          <t>ＤＮＡ</t>
        </is>
      </c>
      <c r="D400" s="29" t="inlineStr">
        <is>
          <t>ADN</t>
        </is>
      </c>
      <c r="E400" s="29" t="inlineStr">
        <is>
          <t>DNS</t>
        </is>
      </c>
      <c r="F400" s="29">
        <f>D400</f>
        <v/>
      </c>
      <c r="G400" s="29">
        <f>B400</f>
        <v/>
      </c>
      <c r="H400" s="29">
        <f>C400</f>
        <v/>
      </c>
      <c r="I400" s="29">
        <f>C400</f>
        <v/>
      </c>
      <c r="J400" s="29">
        <f>C400</f>
        <v/>
      </c>
      <c r="K400" s="29">
        <f>F400</f>
        <v/>
      </c>
    </row>
    <row r="401">
      <c r="A401" s="29">
        <f>CONCATENATE("CATEGORY_",UPPER(Pokemon!B388))</f>
        <v/>
      </c>
      <c r="B401" s="29" t="inlineStr">
        <is>
          <t>Tiny Leaf</t>
        </is>
      </c>
      <c r="C401" s="29" t="inlineStr">
        <is>
          <t>わかば</t>
        </is>
      </c>
      <c r="D401" s="29" t="inlineStr">
        <is>
          <t>Minifeuille</t>
        </is>
      </c>
      <c r="E401" s="29" t="inlineStr">
        <is>
          <t>Winziglaub</t>
        </is>
      </c>
      <c r="F401" s="29" t="inlineStr">
        <is>
          <t>Hojita</t>
        </is>
      </c>
      <c r="G401" s="29" t="inlineStr">
        <is>
          <t>Fogliolina</t>
        </is>
      </c>
      <c r="H401" s="29" t="inlineStr">
        <is>
          <t>어린잎</t>
        </is>
      </c>
      <c r="I401" s="29" t="inlineStr">
        <is>
          <t>嫩葉</t>
        </is>
      </c>
      <c r="J401" s="29">
        <f>IFERROR(__xludf.DUMMYFUNCTION("GOOGLETRANSLATE(I401, ""zh_HANT"",""zh_HANS"")"),"嫩叶")</f>
        <v/>
      </c>
      <c r="K401" s="29">
        <f>F401</f>
        <v/>
      </c>
    </row>
    <row r="402">
      <c r="A402" s="29">
        <f>CONCATENATE("CATEGORY_",UPPER(Pokemon!B389))</f>
        <v/>
      </c>
      <c r="B402" s="29" t="inlineStr">
        <is>
          <t>Grove</t>
        </is>
      </c>
      <c r="C402" s="29" t="inlineStr">
        <is>
          <t>こだち</t>
        </is>
      </c>
      <c r="D402" s="29" t="inlineStr">
        <is>
          <t>Bosquet</t>
        </is>
      </c>
      <c r="E402" s="29" t="inlineStr">
        <is>
          <t>Hain</t>
        </is>
      </c>
      <c r="F402" s="29" t="inlineStr">
        <is>
          <t>Arboleda</t>
        </is>
      </c>
      <c r="G402" s="29" t="inlineStr">
        <is>
          <t>Boschetto</t>
        </is>
      </c>
      <c r="H402" s="29" t="inlineStr">
        <is>
          <t>나무숲</t>
        </is>
      </c>
      <c r="I402" s="29" t="inlineStr">
        <is>
          <t>樹叢</t>
        </is>
      </c>
      <c r="J402" s="29">
        <f>IFERROR(__xludf.DUMMYFUNCTION("GOOGLETRANSLATE(I402, ""zh_HANT"",""zh_HANS"")"),"树丛")</f>
        <v/>
      </c>
      <c r="K402" s="29">
        <f>F402</f>
        <v/>
      </c>
    </row>
    <row r="403">
      <c r="A403" s="29">
        <f>CONCATENATE("CATEGORY_",UPPER(Pokemon!B390))</f>
        <v/>
      </c>
      <c r="B403" s="29">
        <f>B397</f>
        <v/>
      </c>
      <c r="C403" s="29">
        <f>C397</f>
        <v/>
      </c>
      <c r="D403" s="29">
        <f>D397</f>
        <v/>
      </c>
      <c r="E403" s="29">
        <f>E397</f>
        <v/>
      </c>
      <c r="F403" s="29">
        <f>F397</f>
        <v/>
      </c>
      <c r="G403" s="29">
        <f>G397</f>
        <v/>
      </c>
      <c r="H403" s="29">
        <f>H397</f>
        <v/>
      </c>
      <c r="I403" s="29">
        <f>I397</f>
        <v/>
      </c>
      <c r="J403" s="29">
        <f>J397</f>
        <v/>
      </c>
      <c r="K403" s="29">
        <f>F403</f>
        <v/>
      </c>
    </row>
    <row r="404">
      <c r="A404" s="29">
        <f>CONCATENATE("CATEGORY_",UPPER(Pokemon!B391))</f>
        <v/>
      </c>
      <c r="B404" s="29" t="inlineStr">
        <is>
          <t>Chimp</t>
        </is>
      </c>
      <c r="C404" s="29" t="inlineStr">
        <is>
          <t>こざる</t>
        </is>
      </c>
      <c r="D404" s="29" t="inlineStr">
        <is>
          <t>Chimpanzé</t>
        </is>
      </c>
      <c r="E404" s="29" t="inlineStr">
        <is>
          <t>Schimpanse</t>
        </is>
      </c>
      <c r="F404" s="29" t="inlineStr">
        <is>
          <t>Chimpancé</t>
        </is>
      </c>
      <c r="G404" s="29" t="inlineStr">
        <is>
          <t>Scimpanzé</t>
        </is>
      </c>
      <c r="H404" s="29" t="inlineStr">
        <is>
          <t>꼬마원숭이</t>
        </is>
      </c>
      <c r="I404" s="29" t="inlineStr">
        <is>
          <t>小猴</t>
        </is>
      </c>
      <c r="J404" s="29">
        <f>I404</f>
        <v/>
      </c>
      <c r="K404" s="29">
        <f>F404</f>
        <v/>
      </c>
    </row>
    <row r="405">
      <c r="A405" s="29">
        <f>CONCATENATE("CATEGORY_",UPPER(Pokemon!B392))</f>
        <v/>
      </c>
      <c r="B405" s="29" t="inlineStr">
        <is>
          <t>Playful</t>
        </is>
      </c>
      <c r="C405" s="29" t="inlineStr">
        <is>
          <t>やんちゃ</t>
        </is>
      </c>
      <c r="D405" s="29" t="inlineStr">
        <is>
          <t>Garnement</t>
        </is>
      </c>
      <c r="E405" s="29" t="inlineStr">
        <is>
          <t>Verspielt</t>
        </is>
      </c>
      <c r="F405" s="29" t="inlineStr">
        <is>
          <t>Juguetón</t>
        </is>
      </c>
      <c r="G405" s="29" t="inlineStr">
        <is>
          <t>Briccone</t>
        </is>
      </c>
      <c r="H405" s="29" t="inlineStr">
        <is>
          <t>개구쟁이</t>
        </is>
      </c>
      <c r="I405" s="29" t="inlineStr">
        <is>
          <t>頑皮</t>
        </is>
      </c>
      <c r="J405" s="29">
        <f>IFERROR(__xludf.DUMMYFUNCTION("GOOGLETRANSLATE(I405, ""zh_HANT"",""zh_HANS"")"),"顽皮")</f>
        <v/>
      </c>
      <c r="K405" s="29">
        <f>F405</f>
        <v/>
      </c>
    </row>
    <row r="406">
      <c r="A406" s="29">
        <f>CONCATENATE("CATEGORY_",UPPER(Pokemon!B393))</f>
        <v/>
      </c>
      <c r="B406" s="29">
        <f>B6</f>
        <v/>
      </c>
      <c r="C406" s="29">
        <f>C6</f>
        <v/>
      </c>
      <c r="D406" s="29">
        <f>D6</f>
        <v/>
      </c>
      <c r="E406" s="29">
        <f>E6</f>
        <v/>
      </c>
      <c r="F406" s="29">
        <f>F6</f>
        <v/>
      </c>
      <c r="G406" s="29">
        <f>G6</f>
        <v/>
      </c>
      <c r="H406" s="29">
        <f>H6</f>
        <v/>
      </c>
      <c r="I406" s="29">
        <f>I6</f>
        <v/>
      </c>
      <c r="J406" s="29">
        <f>J6</f>
        <v/>
      </c>
      <c r="K406" s="29">
        <f>F406</f>
        <v/>
      </c>
    </row>
    <row r="407">
      <c r="A407" s="29">
        <f>CONCATENATE("CATEGORY_",UPPER(Pokemon!B394))</f>
        <v/>
      </c>
      <c r="B407" s="29" t="inlineStr">
        <is>
          <t>Penguin</t>
        </is>
      </c>
      <c r="C407" s="29" t="inlineStr">
        <is>
          <t>ペンギン</t>
        </is>
      </c>
      <c r="D407" s="29" t="inlineStr">
        <is>
          <t>Pingouin</t>
        </is>
      </c>
      <c r="E407" s="29" t="inlineStr">
        <is>
          <t>Pinguin</t>
        </is>
      </c>
      <c r="F407" s="29" t="inlineStr">
        <is>
          <t>Pingüino</t>
        </is>
      </c>
      <c r="G407" s="29" t="inlineStr">
        <is>
          <t>Pinguino</t>
        </is>
      </c>
      <c r="H407" s="29" t="inlineStr">
        <is>
          <t>펭귄</t>
        </is>
      </c>
      <c r="I407" s="29" t="inlineStr">
        <is>
          <t>企鵝</t>
        </is>
      </c>
      <c r="J407" s="29">
        <f>IFERROR(__xludf.DUMMYFUNCTION("GOOGLETRANSLATE(I407, ""zh_HANT"",""zh_HANS"")"),"企鹅")</f>
        <v/>
      </c>
      <c r="K407" s="29">
        <f>F407</f>
        <v/>
      </c>
    </row>
    <row r="408">
      <c r="A408" s="29">
        <f>CONCATENATE("CATEGORY_",UPPER(Pokemon!B395))</f>
        <v/>
      </c>
      <c r="B408" s="29">
        <f>B407</f>
        <v/>
      </c>
      <c r="C408" s="29">
        <f>C407</f>
        <v/>
      </c>
      <c r="D408" s="29">
        <f>D407</f>
        <v/>
      </c>
      <c r="E408" s="29">
        <f>E407</f>
        <v/>
      </c>
      <c r="F408" s="29">
        <f>F407</f>
        <v/>
      </c>
      <c r="G408" s="29">
        <f>G407</f>
        <v/>
      </c>
      <c r="H408" s="29">
        <f>H407</f>
        <v/>
      </c>
      <c r="I408" s="29">
        <f>I407</f>
        <v/>
      </c>
      <c r="J408" s="29">
        <f>J407</f>
        <v/>
      </c>
      <c r="K408" s="29">
        <f>F408</f>
        <v/>
      </c>
    </row>
    <row r="409">
      <c r="A409" s="29">
        <f>CONCATENATE("CATEGORY_",UPPER(Pokemon!B396))</f>
        <v/>
      </c>
      <c r="B409" s="29" t="inlineStr">
        <is>
          <t>Emperor</t>
        </is>
      </c>
      <c r="C409" s="29" t="inlineStr">
        <is>
          <t>こうてい</t>
        </is>
      </c>
      <c r="D409" s="29" t="inlineStr">
        <is>
          <t>Empereur</t>
        </is>
      </c>
      <c r="E409" s="29" t="inlineStr">
        <is>
          <t>Kaiser</t>
        </is>
      </c>
      <c r="F409" s="29" t="inlineStr">
        <is>
          <t>Emperador</t>
        </is>
      </c>
      <c r="G409" s="29" t="inlineStr">
        <is>
          <t>Imperatore</t>
        </is>
      </c>
      <c r="H409" s="29" t="inlineStr">
        <is>
          <t>황제</t>
        </is>
      </c>
      <c r="I409" s="29" t="inlineStr">
        <is>
          <t>皇帝</t>
        </is>
      </c>
      <c r="J409" s="29">
        <f>I409</f>
        <v/>
      </c>
      <c r="K409" s="29">
        <f>F409</f>
        <v/>
      </c>
    </row>
    <row r="410">
      <c r="A410" s="29">
        <f>CONCATENATE("CATEGORY_",UPPER(Pokemon!B397))</f>
        <v/>
      </c>
      <c r="B410" s="29" t="inlineStr">
        <is>
          <t>Starling</t>
        </is>
      </c>
      <c r="C410" s="29" t="inlineStr">
        <is>
          <t>むくどり</t>
        </is>
      </c>
      <c r="D410" s="29" t="inlineStr">
        <is>
          <t>Étourneau</t>
        </is>
      </c>
      <c r="E410" s="29" t="inlineStr">
        <is>
          <t>Star</t>
        </is>
      </c>
      <c r="F410" s="29" t="inlineStr">
        <is>
          <t>Estornino</t>
        </is>
      </c>
      <c r="G410" s="29" t="inlineStr">
        <is>
          <t>Storno</t>
        </is>
      </c>
      <c r="H410" s="29" t="inlineStr">
        <is>
          <t>찌르레기</t>
        </is>
      </c>
      <c r="I410" s="29" t="inlineStr">
        <is>
          <t>椋鳥</t>
        </is>
      </c>
      <c r="J410" s="29">
        <f>IFERROR(__xludf.DUMMYFUNCTION("GOOGLETRANSLATE(I410, ""zh_HANT"",""zh_HANS"")"),"椋鸟")</f>
        <v/>
      </c>
      <c r="K410" s="29">
        <f>F410</f>
        <v/>
      </c>
    </row>
    <row r="411">
      <c r="A411" s="29">
        <f>CONCATENATE("CATEGORY_",UPPER(Pokemon!B398))</f>
        <v/>
      </c>
      <c r="B411" s="29">
        <f>B410</f>
        <v/>
      </c>
      <c r="C411" s="29">
        <f>C410</f>
        <v/>
      </c>
      <c r="D411" s="29">
        <f>D410</f>
        <v/>
      </c>
      <c r="E411" s="29">
        <f>E410</f>
        <v/>
      </c>
      <c r="F411" s="29">
        <f>F410</f>
        <v/>
      </c>
      <c r="G411" s="29">
        <f>G410</f>
        <v/>
      </c>
      <c r="H411" s="29">
        <f>H410</f>
        <v/>
      </c>
      <c r="I411" s="29">
        <f>I410</f>
        <v/>
      </c>
      <c r="J411" s="29">
        <f>J410</f>
        <v/>
      </c>
      <c r="K411" s="29">
        <f>F411</f>
        <v/>
      </c>
    </row>
    <row r="412">
      <c r="A412" s="29">
        <f>CONCATENATE("CATEGORY_",UPPER(Pokemon!B399))</f>
        <v/>
      </c>
      <c r="B412" s="29" t="inlineStr">
        <is>
          <t>Predator</t>
        </is>
      </c>
      <c r="C412" s="29" t="inlineStr">
        <is>
          <t>もうけん</t>
        </is>
      </c>
      <c r="D412" s="29" t="inlineStr">
        <is>
          <t>Rapace</t>
        </is>
      </c>
      <c r="E412" s="29" t="inlineStr">
        <is>
          <t>Raubtier</t>
        </is>
      </c>
      <c r="F412" s="29" t="inlineStr">
        <is>
          <t>Depredador</t>
        </is>
      </c>
      <c r="G412" s="29">
        <f>D412</f>
        <v/>
      </c>
      <c r="H412" s="29" t="inlineStr">
        <is>
          <t>맹금</t>
        </is>
      </c>
      <c r="I412" s="29" t="inlineStr">
        <is>
          <t>猛禽</t>
        </is>
      </c>
      <c r="J412" s="29">
        <f>I412</f>
        <v/>
      </c>
      <c r="K412" s="29">
        <f>F412</f>
        <v/>
      </c>
    </row>
    <row r="413">
      <c r="A413" s="29">
        <f>CONCATENATE("CATEGORY_",UPPER(Pokemon!B400))</f>
        <v/>
      </c>
      <c r="B413" s="29" t="inlineStr">
        <is>
          <t>Plump Mouse</t>
        </is>
      </c>
      <c r="C413" s="29" t="inlineStr">
        <is>
          <t>まるねずみ</t>
        </is>
      </c>
      <c r="D413" s="29" t="inlineStr">
        <is>
          <t>Souridodue</t>
        </is>
      </c>
      <c r="E413" s="29" t="inlineStr">
        <is>
          <t>Dickmaus</t>
        </is>
      </c>
      <c r="F413" s="29" t="inlineStr">
        <is>
          <t>Gran Ratón</t>
        </is>
      </c>
      <c r="G413" s="29" t="inlineStr">
        <is>
          <t>Topaffuto</t>
        </is>
      </c>
      <c r="H413" s="29" t="inlineStr">
        <is>
          <t>둥글쥐</t>
        </is>
      </c>
      <c r="I413" s="29" t="inlineStr">
        <is>
          <t>圓鼠</t>
        </is>
      </c>
      <c r="J413" s="29">
        <f>IFERROR(__xludf.DUMMYFUNCTION("GOOGLETRANSLATE(I413, ""zh_HANT"",""zh_HANS"")"),"圆鼠")</f>
        <v/>
      </c>
      <c r="K413" s="29">
        <f>F413</f>
        <v/>
      </c>
    </row>
    <row r="414">
      <c r="A414" s="29">
        <f>CONCATENATE("CATEGORY_",UPPER(Pokemon!B401))</f>
        <v/>
      </c>
      <c r="B414" s="29" t="inlineStr">
        <is>
          <t>Beaver</t>
        </is>
      </c>
      <c r="C414" s="29" t="inlineStr">
        <is>
          <t>ビーバー</t>
        </is>
      </c>
      <c r="D414" s="29" t="inlineStr">
        <is>
          <t>Castor</t>
        </is>
      </c>
      <c r="E414" s="29" t="inlineStr">
        <is>
          <t>Biber</t>
        </is>
      </c>
      <c r="F414" s="29" t="inlineStr">
        <is>
          <t>Castor</t>
        </is>
      </c>
      <c r="G414" s="29">
        <f>CONCATENATE(F414,"o")</f>
        <v/>
      </c>
      <c r="H414" s="29" t="inlineStr">
        <is>
          <t>비버</t>
        </is>
      </c>
      <c r="I414" s="29" t="inlineStr">
        <is>
          <t>河狸</t>
        </is>
      </c>
      <c r="J414" s="29">
        <f>I414</f>
        <v/>
      </c>
      <c r="K414" s="29">
        <f>F414</f>
        <v/>
      </c>
    </row>
    <row r="415">
      <c r="A415" s="29">
        <f>CONCATENATE("CATEGORY_",UPPER(Pokemon!B402))</f>
        <v/>
      </c>
      <c r="B415" s="29" t="inlineStr">
        <is>
          <t>Cricket</t>
        </is>
      </c>
      <c r="C415" s="29" t="inlineStr">
        <is>
          <t>こおろぎ</t>
        </is>
      </c>
      <c r="D415" s="29" t="inlineStr">
        <is>
          <t>Criquet</t>
        </is>
      </c>
      <c r="E415" s="29" t="inlineStr">
        <is>
          <t>Zirper</t>
        </is>
      </c>
      <c r="F415" s="29" t="inlineStr">
        <is>
          <t>Grillo</t>
        </is>
      </c>
      <c r="G415" s="29">
        <f>F415</f>
        <v/>
      </c>
      <c r="H415" s="29" t="inlineStr">
        <is>
          <t>귀뚜라미</t>
        </is>
      </c>
      <c r="I415" s="29" t="inlineStr">
        <is>
          <t>蟋蟀</t>
        </is>
      </c>
      <c r="J415" s="29">
        <f>I415</f>
        <v/>
      </c>
      <c r="K415" s="29">
        <f>F415</f>
        <v/>
      </c>
    </row>
    <row r="416">
      <c r="A416" s="29">
        <f>CONCATENATE("CATEGORY_",UPPER(Pokemon!B403))</f>
        <v/>
      </c>
      <c r="B416" s="29">
        <f>B415</f>
        <v/>
      </c>
      <c r="C416" s="29">
        <f>C415</f>
        <v/>
      </c>
      <c r="D416" s="29">
        <f>D415</f>
        <v/>
      </c>
      <c r="E416" s="29">
        <f>E415</f>
        <v/>
      </c>
      <c r="F416" s="29">
        <f>F415</f>
        <v/>
      </c>
      <c r="G416" s="29">
        <f>G415</f>
        <v/>
      </c>
      <c r="H416" s="29">
        <f>H415</f>
        <v/>
      </c>
      <c r="I416" s="29">
        <f>I415</f>
        <v/>
      </c>
      <c r="J416" s="29">
        <f>J415</f>
        <v/>
      </c>
      <c r="K416" s="29">
        <f>F416</f>
        <v/>
      </c>
    </row>
    <row r="417">
      <c r="A417" s="29">
        <f>CONCATENATE("CATEGORY_",UPPER(Pokemon!B404))</f>
        <v/>
      </c>
      <c r="B417" s="29">
        <f>Moves!B149</f>
        <v/>
      </c>
      <c r="C417" s="29" t="inlineStr">
        <is>
          <t>せんこう</t>
        </is>
      </c>
      <c r="D417" s="29">
        <f>Moves!D149</f>
        <v/>
      </c>
      <c r="E417" s="29" t="inlineStr">
        <is>
          <t>Flacker</t>
        </is>
      </c>
      <c r="F417" s="29">
        <f>B417</f>
        <v/>
      </c>
      <c r="G417" s="29" t="inlineStr">
        <is>
          <t>Baleno</t>
        </is>
      </c>
      <c r="H417" s="29" t="inlineStr">
        <is>
          <t>섬광</t>
        </is>
      </c>
      <c r="I417" s="29">
        <f>Moves!I149</f>
        <v/>
      </c>
      <c r="J417" s="29">
        <f>Moves!J149</f>
        <v/>
      </c>
      <c r="K417" s="29">
        <f>F417</f>
        <v/>
      </c>
    </row>
    <row r="418">
      <c r="A418" s="29">
        <f>CONCATENATE("CATEGORY_",UPPER(Pokemon!B405))</f>
        <v/>
      </c>
      <c r="B418" s="29">
        <f>Moves!B210</f>
        <v/>
      </c>
      <c r="C418" s="29" t="inlineStr">
        <is>
          <t>でんこう</t>
        </is>
      </c>
      <c r="D418" s="29">
        <f>Moves!D210</f>
        <v/>
      </c>
      <c r="E418" s="29" t="inlineStr">
        <is>
          <t>Funken</t>
        </is>
      </c>
      <c r="F418" s="29">
        <f>Moves!F210</f>
        <v/>
      </c>
      <c r="G418" s="29" t="inlineStr">
        <is>
          <t>Favilla</t>
        </is>
      </c>
      <c r="H418" s="29" t="inlineStr">
        <is>
          <t>전광</t>
        </is>
      </c>
      <c r="I418" s="29">
        <f>Moves!I210</f>
        <v/>
      </c>
      <c r="J418" s="29">
        <f>Moves!J210</f>
        <v/>
      </c>
      <c r="K418" s="29">
        <f>F418</f>
        <v/>
      </c>
    </row>
    <row r="419">
      <c r="A419" s="29">
        <f>CONCATENATE("CATEGORY_",UPPER(Pokemon!B406))</f>
        <v/>
      </c>
      <c r="B419" s="29" t="inlineStr">
        <is>
          <t>Gleam Eyes</t>
        </is>
      </c>
      <c r="C419" s="29" t="inlineStr">
        <is>
          <t>がんこう</t>
        </is>
      </c>
      <c r="D419" s="29" t="inlineStr">
        <is>
          <t>Brilloeil</t>
        </is>
      </c>
      <c r="E419" s="29" t="inlineStr">
        <is>
          <t>Glühauge</t>
        </is>
      </c>
      <c r="F419" s="29" t="inlineStr">
        <is>
          <t>Chispa Ojos</t>
        </is>
      </c>
      <c r="G419" s="29" t="inlineStr">
        <is>
          <t>Occhiluce</t>
        </is>
      </c>
      <c r="H419" s="29" t="inlineStr">
        <is>
          <t>안광</t>
        </is>
      </c>
      <c r="I419" s="29" t="inlineStr">
        <is>
          <t>目光</t>
        </is>
      </c>
      <c r="J419" s="29">
        <f>I419</f>
        <v/>
      </c>
      <c r="K419" s="29">
        <f>F419</f>
        <v/>
      </c>
    </row>
    <row r="420">
      <c r="A420" s="29">
        <f>CONCATENATE("CATEGORY_",UPPER(Pokemon!B407))</f>
        <v/>
      </c>
      <c r="B420" s="29" t="inlineStr">
        <is>
          <t>Bud</t>
        </is>
      </c>
      <c r="C420" s="29" t="inlineStr">
        <is>
          <t>つぼみ</t>
        </is>
      </c>
      <c r="D420" s="29" t="inlineStr">
        <is>
          <t>Bourgeon</t>
        </is>
      </c>
      <c r="E420" s="29" t="inlineStr">
        <is>
          <t>Knospe</t>
        </is>
      </c>
      <c r="F420" s="29" t="inlineStr">
        <is>
          <t>Brote</t>
        </is>
      </c>
      <c r="G420" s="29" t="inlineStr">
        <is>
          <t>Germoglio</t>
        </is>
      </c>
      <c r="H420" s="29" t="inlineStr">
        <is>
          <t>꽃봉오리</t>
        </is>
      </c>
      <c r="I420" s="29" t="inlineStr">
        <is>
          <t>花苞</t>
        </is>
      </c>
      <c r="J420" s="29">
        <f>I420</f>
        <v/>
      </c>
      <c r="K420" s="29">
        <f>F420</f>
        <v/>
      </c>
    </row>
    <row r="421">
      <c r="A421" s="29">
        <f>CONCATENATE("CATEGORY_",UPPER(Pokemon!B408))</f>
        <v/>
      </c>
      <c r="B421" s="29" t="inlineStr">
        <is>
          <t>Bouquet</t>
        </is>
      </c>
      <c r="C421" s="29" t="inlineStr">
        <is>
          <t>ブーケ</t>
        </is>
      </c>
      <c r="D421" s="29" t="inlineStr">
        <is>
          <t>Bouquet</t>
        </is>
      </c>
      <c r="E421" s="29" t="inlineStr">
        <is>
          <t>Blumenstrauß</t>
        </is>
      </c>
      <c r="F421" s="29" t="inlineStr">
        <is>
          <t>Ramillete</t>
        </is>
      </c>
      <c r="G421" s="29" t="inlineStr">
        <is>
          <t>Floreale</t>
        </is>
      </c>
      <c r="H421" s="29" t="inlineStr">
        <is>
          <t>부케</t>
        </is>
      </c>
      <c r="I421" s="29" t="inlineStr">
        <is>
          <t>花束</t>
        </is>
      </c>
      <c r="J421" s="29">
        <f>I421</f>
        <v/>
      </c>
      <c r="K421" s="29">
        <f>F421</f>
        <v/>
      </c>
    </row>
    <row r="422">
      <c r="A422" s="29">
        <f>CONCATENATE("CATEGORY_",UPPER(Pokemon!B409))</f>
        <v/>
      </c>
      <c r="B422" s="29" t="inlineStr">
        <is>
          <t>Head Butt</t>
        </is>
      </c>
      <c r="C422" s="29">
        <f>Moves!C30</f>
        <v/>
      </c>
      <c r="D422" s="29" t="inlineStr">
        <is>
          <t>Coud'Boule</t>
        </is>
      </c>
      <c r="E422" s="29" t="inlineStr">
        <is>
          <t>Kopfstoß</t>
        </is>
      </c>
      <c r="F422" s="29" t="inlineStr">
        <is>
          <t>Cabezazo</t>
        </is>
      </c>
      <c r="G422" s="29" t="inlineStr">
        <is>
          <t>Cranioso</t>
        </is>
      </c>
      <c r="H422" s="29">
        <f>Moves!H30</f>
        <v/>
      </c>
      <c r="I422" s="29">
        <f>Moves!I30</f>
        <v/>
      </c>
      <c r="J422" s="29">
        <f>Moves!J30</f>
        <v/>
      </c>
      <c r="K422" s="29">
        <f>F422</f>
        <v/>
      </c>
    </row>
    <row r="423">
      <c r="A423" s="29">
        <f>CONCATENATE("CATEGORY_",UPPER(Pokemon!B410))</f>
        <v/>
      </c>
      <c r="B423" s="29">
        <f>B422</f>
        <v/>
      </c>
      <c r="C423" s="29">
        <f>C422</f>
        <v/>
      </c>
      <c r="D423" s="29">
        <f>D422</f>
        <v/>
      </c>
      <c r="E423" s="29">
        <f>E422</f>
        <v/>
      </c>
      <c r="F423" s="29">
        <f>F422</f>
        <v/>
      </c>
      <c r="G423" s="29">
        <f>G422</f>
        <v/>
      </c>
      <c r="H423" s="29">
        <f>H422</f>
        <v/>
      </c>
      <c r="I423" s="29">
        <f>I422</f>
        <v/>
      </c>
      <c r="J423" s="29">
        <f>J422</f>
        <v/>
      </c>
      <c r="K423" s="29">
        <f>F423</f>
        <v/>
      </c>
    </row>
    <row r="424">
      <c r="A424" s="29">
        <f>CONCATENATE("CATEGORY_",UPPER(Pokemon!B411))</f>
        <v/>
      </c>
      <c r="B424" s="29" t="inlineStr">
        <is>
          <t>Shield</t>
        </is>
      </c>
      <c r="C424" s="29" t="inlineStr">
        <is>
          <t>シールド</t>
        </is>
      </c>
      <c r="D424" s="29" t="inlineStr">
        <is>
          <t>Bouclier</t>
        </is>
      </c>
      <c r="E424" s="29" t="inlineStr">
        <is>
          <t>Schutzschild</t>
        </is>
      </c>
      <c r="F424" s="29" t="inlineStr">
        <is>
          <t>Escudo</t>
        </is>
      </c>
      <c r="G424" s="29" t="inlineStr">
        <is>
          <t>Schermo</t>
        </is>
      </c>
      <c r="H424" s="29" t="inlineStr">
        <is>
          <t>실드</t>
        </is>
      </c>
      <c r="I424" s="29" t="inlineStr">
        <is>
          <t>護盾</t>
        </is>
      </c>
      <c r="J424" s="29">
        <f>IFERROR(__xludf.DUMMYFUNCTION("GOOGLETRANSLATE(I424, ""zh_HANT"",""zh_HANS"")"),"护盾")</f>
        <v/>
      </c>
      <c r="K424" s="29">
        <f>F424</f>
        <v/>
      </c>
    </row>
    <row r="425">
      <c r="A425" s="29">
        <f>CONCATENATE("CATEGORY_",UPPER(Pokemon!B412))</f>
        <v/>
      </c>
      <c r="B425" s="29">
        <f>B424</f>
        <v/>
      </c>
      <c r="C425" s="29">
        <f>C424</f>
        <v/>
      </c>
      <c r="D425" s="29">
        <f>D424</f>
        <v/>
      </c>
      <c r="E425" s="29">
        <f>E424</f>
        <v/>
      </c>
      <c r="F425" s="29">
        <f>F424</f>
        <v/>
      </c>
      <c r="G425" s="29">
        <f>G424</f>
        <v/>
      </c>
      <c r="H425" s="29">
        <f>H424</f>
        <v/>
      </c>
      <c r="I425" s="29">
        <f>I424</f>
        <v/>
      </c>
      <c r="J425" s="29">
        <f>J424</f>
        <v/>
      </c>
      <c r="K425" s="29">
        <f>F425</f>
        <v/>
      </c>
    </row>
    <row r="426">
      <c r="A426" s="29">
        <f>CONCATENATE("CATEGORY_",UPPER(Pokemon!B413))</f>
        <v/>
      </c>
      <c r="B426" s="29">
        <f>B218</f>
        <v/>
      </c>
      <c r="C426" s="29">
        <f>C218</f>
        <v/>
      </c>
      <c r="D426" s="29">
        <f>D218</f>
        <v/>
      </c>
      <c r="E426" s="29">
        <f>E218</f>
        <v/>
      </c>
      <c r="F426" s="29">
        <f>F218</f>
        <v/>
      </c>
      <c r="G426" s="29">
        <f>G218</f>
        <v/>
      </c>
      <c r="H426" s="29">
        <f>H218</f>
        <v/>
      </c>
      <c r="I426" s="29">
        <f>I218</f>
        <v/>
      </c>
      <c r="J426" s="29">
        <f>J218</f>
        <v/>
      </c>
      <c r="K426" s="29">
        <f>F426</f>
        <v/>
      </c>
    </row>
    <row r="427">
      <c r="A427" s="29">
        <f>CONCATENATE("CATEGORY_",UPPER(Pokemon!B414))</f>
        <v/>
      </c>
      <c r="B427" s="29">
        <f>B218</f>
        <v/>
      </c>
      <c r="C427" s="29">
        <f>C218</f>
        <v/>
      </c>
      <c r="D427" s="29">
        <f>D218</f>
        <v/>
      </c>
      <c r="E427" s="29">
        <f>E218</f>
        <v/>
      </c>
      <c r="F427" s="29">
        <f>F218</f>
        <v/>
      </c>
      <c r="G427" s="29">
        <f>G218</f>
        <v/>
      </c>
      <c r="H427" s="29">
        <f>H218</f>
        <v/>
      </c>
      <c r="I427" s="29">
        <f>I218</f>
        <v/>
      </c>
      <c r="J427" s="29">
        <f>J218</f>
        <v/>
      </c>
      <c r="K427" s="29">
        <f>F427</f>
        <v/>
      </c>
    </row>
    <row r="428">
      <c r="A428" s="29">
        <f>CONCATENATE("CATEGORY_",UPPER(Pokemon!B415))</f>
        <v/>
      </c>
      <c r="B428" s="29" t="inlineStr">
        <is>
          <t>Moth</t>
        </is>
      </c>
      <c r="C428" s="29" t="inlineStr">
        <is>
          <t>ミノガ</t>
        </is>
      </c>
      <c r="D428" s="29" t="inlineStr">
        <is>
          <t>Phalène</t>
        </is>
      </c>
      <c r="E428" s="29" t="inlineStr">
        <is>
          <t>Fruchtmotte</t>
        </is>
      </c>
      <c r="F428" s="29" t="inlineStr">
        <is>
          <t>Polilla</t>
        </is>
      </c>
      <c r="G428" s="29" t="inlineStr">
        <is>
          <t>Falena</t>
        </is>
      </c>
      <c r="H428" s="29" t="inlineStr">
        <is>
          <t>나방</t>
        </is>
      </c>
      <c r="I428" s="29" t="inlineStr">
        <is>
          <t>蓑衣蛾</t>
        </is>
      </c>
      <c r="J428" s="29">
        <f>I428</f>
        <v/>
      </c>
      <c r="K428" s="29">
        <f>F428</f>
        <v/>
      </c>
    </row>
    <row r="429">
      <c r="A429" s="29">
        <f>CONCATENATE("CATEGORY_",UPPER(Pokemon!B416))</f>
        <v/>
      </c>
      <c r="B429" s="29" t="inlineStr">
        <is>
          <t>Tiny Bee</t>
        </is>
      </c>
      <c r="C429" s="29" t="inlineStr">
        <is>
          <t>はちのこ</t>
        </is>
      </c>
      <c r="D429" s="29" t="inlineStr">
        <is>
          <t>Miniabeille</t>
        </is>
      </c>
      <c r="E429" s="29" t="inlineStr">
        <is>
          <t>Baby-Biene</t>
        </is>
      </c>
      <c r="F429" s="29" t="inlineStr">
        <is>
          <t>Abejita</t>
        </is>
      </c>
      <c r="G429" s="29" t="inlineStr">
        <is>
          <t>Apetta</t>
        </is>
      </c>
      <c r="H429" s="29" t="inlineStr">
        <is>
          <t>꼬마벌</t>
        </is>
      </c>
      <c r="I429" s="29" t="inlineStr">
        <is>
          <t>幼蜂</t>
        </is>
      </c>
      <c r="J429" s="29">
        <f>I429</f>
        <v/>
      </c>
      <c r="K429" s="29">
        <f>F429</f>
        <v/>
      </c>
    </row>
    <row r="430">
      <c r="A430" s="29">
        <f>CONCATENATE("CATEGORY_",UPPER(Pokemon!B417))</f>
        <v/>
      </c>
      <c r="B430" s="29" t="inlineStr">
        <is>
          <t>Beehive</t>
        </is>
      </c>
      <c r="C430" s="29" t="inlineStr">
        <is>
          <t>はちのす</t>
        </is>
      </c>
      <c r="D430" s="29" t="inlineStr">
        <is>
          <t>Ruche</t>
        </is>
      </c>
      <c r="E430" s="29" t="inlineStr">
        <is>
          <t>Bienenstock</t>
        </is>
      </c>
      <c r="F430" s="29" t="inlineStr">
        <is>
          <t>Colmena</t>
        </is>
      </c>
      <c r="G430" s="29" t="inlineStr">
        <is>
          <t>Alveare</t>
        </is>
      </c>
      <c r="H430" s="29" t="inlineStr">
        <is>
          <t>벌집</t>
        </is>
      </c>
      <c r="I430" s="29" t="inlineStr">
        <is>
          <t>蜂巢</t>
        </is>
      </c>
      <c r="J430" s="29">
        <f>I430</f>
        <v/>
      </c>
      <c r="K430" s="29">
        <f>F430</f>
        <v/>
      </c>
    </row>
    <row r="431">
      <c r="A431" s="29">
        <f>CONCATENATE("CATEGORY_",UPPER(Pokemon!B418))</f>
        <v/>
      </c>
      <c r="B431" s="29" t="inlineStr">
        <is>
          <t>EleSquirrel</t>
        </is>
      </c>
      <c r="C431" s="29" t="inlineStr">
        <is>
          <t>でんきリス</t>
        </is>
      </c>
      <c r="D431" s="29" t="inlineStr">
        <is>
          <t>Écurélec</t>
        </is>
      </c>
      <c r="E431" s="29" t="inlineStr">
        <is>
          <t>Elektrohörnchen</t>
        </is>
      </c>
      <c r="F431" s="29" t="inlineStr">
        <is>
          <t>Ardillalec</t>
        </is>
      </c>
      <c r="G431" s="29" t="inlineStr">
        <is>
          <t>Elescoiatto</t>
        </is>
      </c>
      <c r="H431" s="29" t="inlineStr">
        <is>
          <t>전기다람쥐</t>
        </is>
      </c>
      <c r="I431" s="29" t="inlineStr">
        <is>
          <t>電松鼠</t>
        </is>
      </c>
      <c r="J431" s="29">
        <f>IFERROR(__xludf.DUMMYFUNCTION("GOOGLETRANSLATE(I431, ""zh_HANT"",""zh_HANS"")"),"电松鼠")</f>
        <v/>
      </c>
      <c r="K431" s="29">
        <f>F431</f>
        <v/>
      </c>
    </row>
    <row r="432">
      <c r="A432" s="29">
        <f>CONCATENATE("CATEGORY_",UPPER(Pokemon!B419))</f>
        <v/>
      </c>
      <c r="B432" s="29" t="inlineStr">
        <is>
          <t>Sea Weasle</t>
        </is>
      </c>
      <c r="C432" s="29" t="inlineStr">
        <is>
          <t>うみイタチ</t>
        </is>
      </c>
      <c r="D432" s="29" t="inlineStr">
        <is>
          <t>Aquabelette</t>
        </is>
      </c>
      <c r="E432" s="29" t="inlineStr">
        <is>
          <t>Meereswiesel</t>
        </is>
      </c>
      <c r="F432" s="29" t="inlineStr">
        <is>
          <t>Nutria Mar.</t>
        </is>
      </c>
      <c r="G432" s="29" t="inlineStr">
        <is>
          <t>Maridonnola</t>
        </is>
      </c>
      <c r="H432" s="29" t="inlineStr">
        <is>
          <t>바다족제비</t>
        </is>
      </c>
      <c r="I432" s="29" t="inlineStr">
        <is>
          <t>海鼬</t>
        </is>
      </c>
      <c r="J432" s="29">
        <f>I432</f>
        <v/>
      </c>
      <c r="K432" s="29">
        <f>F432</f>
        <v/>
      </c>
    </row>
    <row r="433">
      <c r="A433" s="29">
        <f>CONCATENATE("CATEGORY_",UPPER(Pokemon!B420))</f>
        <v/>
      </c>
      <c r="B433" s="29">
        <f>B432</f>
        <v/>
      </c>
      <c r="C433" s="29">
        <f>C432</f>
        <v/>
      </c>
      <c r="D433" s="29">
        <f>D432</f>
        <v/>
      </c>
      <c r="E433" s="29">
        <f>E432</f>
        <v/>
      </c>
      <c r="F433" s="29">
        <f>F432</f>
        <v/>
      </c>
      <c r="G433" s="29">
        <f>G432</f>
        <v/>
      </c>
      <c r="H433" s="29">
        <f>H432</f>
        <v/>
      </c>
      <c r="I433" s="29">
        <f>I432</f>
        <v/>
      </c>
      <c r="J433" s="29">
        <f>J432</f>
        <v/>
      </c>
      <c r="K433" s="29">
        <f>F433</f>
        <v/>
      </c>
    </row>
    <row r="434">
      <c r="A434" s="29">
        <f>CONCATENATE("CATEGORY_",UPPER(Pokemon!B421))</f>
        <v/>
      </c>
      <c r="B434" s="29" t="inlineStr">
        <is>
          <t>Cherry</t>
        </is>
      </c>
      <c r="C434" s="29" t="inlineStr">
        <is>
          <t>さくらんぼ</t>
        </is>
      </c>
      <c r="D434" s="29" t="inlineStr">
        <is>
          <t>Cerise</t>
        </is>
      </c>
      <c r="E434" s="29" t="inlineStr">
        <is>
          <t>Kirsche</t>
        </is>
      </c>
      <c r="F434" s="29" t="inlineStr">
        <is>
          <t>Cereza</t>
        </is>
      </c>
      <c r="G434" s="29" t="inlineStr">
        <is>
          <t>Ciliegia</t>
        </is>
      </c>
      <c r="H434" s="29" t="inlineStr">
        <is>
          <t>버찌</t>
        </is>
      </c>
      <c r="I434" s="29" t="inlineStr">
        <is>
          <t>櫻桃</t>
        </is>
      </c>
      <c r="J434" s="29">
        <f>IFERROR(__xludf.DUMMYFUNCTION("GOOGLETRANSLATE(I434, ""zh_HANT"",""zh_HANS"")"),"樱桃")</f>
        <v/>
      </c>
      <c r="K434" s="29">
        <f>F434</f>
        <v/>
      </c>
    </row>
    <row r="435">
      <c r="A435" s="29">
        <f>CONCATENATE("CATEGORY_",UPPER(Pokemon!B422))</f>
        <v/>
      </c>
      <c r="B435" s="29" t="inlineStr">
        <is>
          <t>Blossom</t>
        </is>
      </c>
      <c r="C435" s="29" t="inlineStr">
        <is>
          <t>サクラ</t>
        </is>
      </c>
      <c r="D435" s="29" t="inlineStr">
        <is>
          <t>Floraison</t>
        </is>
      </c>
      <c r="E435" s="29" t="inlineStr">
        <is>
          <t>Blüte</t>
        </is>
      </c>
      <c r="F435" s="29" t="inlineStr">
        <is>
          <t>Floración</t>
        </is>
      </c>
      <c r="G435" s="29" t="inlineStr">
        <is>
          <t>Bocciolo</t>
        </is>
      </c>
      <c r="H435" s="29" t="inlineStr">
        <is>
          <t>벚꽃</t>
        </is>
      </c>
      <c r="I435" s="29" t="inlineStr">
        <is>
          <t>櫻花</t>
        </is>
      </c>
      <c r="J435" s="29">
        <f>IFERROR(__xludf.DUMMYFUNCTION("GOOGLETRANSLATE(I435, ""zh_HANT"",""zh_HANS"")"),"樱花")</f>
        <v/>
      </c>
      <c r="K435" s="29">
        <f>F435</f>
        <v/>
      </c>
    </row>
    <row r="436">
      <c r="A436" s="29">
        <f>CONCATENATE("CATEGORY_",UPPER(Pokemon!B423))</f>
        <v/>
      </c>
      <c r="B436" s="29" t="inlineStr">
        <is>
          <t>Sea Slug</t>
        </is>
      </c>
      <c r="C436" s="29" t="inlineStr">
        <is>
          <t>ウミウシ</t>
        </is>
      </c>
      <c r="D436" s="29" t="inlineStr">
        <is>
          <t>Aqualimace</t>
        </is>
      </c>
      <c r="E436" s="29" t="inlineStr">
        <is>
          <t>Seeschnecke</t>
        </is>
      </c>
      <c r="F436" s="29" t="inlineStr">
        <is>
          <t>Babosa Mar.</t>
        </is>
      </c>
      <c r="G436" s="29" t="inlineStr">
        <is>
          <t>Lumacomare</t>
        </is>
      </c>
      <c r="H436" s="29" t="inlineStr">
        <is>
          <t>갯민숭달팽이</t>
        </is>
      </c>
      <c r="I436" s="29" t="inlineStr">
        <is>
          <t>海兔</t>
        </is>
      </c>
      <c r="J436" s="29">
        <f>I436</f>
        <v/>
      </c>
      <c r="K436" s="29">
        <f>F436</f>
        <v/>
      </c>
    </row>
    <row r="437">
      <c r="A437" s="29">
        <f>CONCATENATE("CATEGORY_",UPPER(Pokemon!B424))</f>
        <v/>
      </c>
      <c r="B437" s="29">
        <f>B436</f>
        <v/>
      </c>
      <c r="C437" s="29">
        <f>C436</f>
        <v/>
      </c>
      <c r="D437" s="29">
        <f>D436</f>
        <v/>
      </c>
      <c r="E437" s="29">
        <f>E436</f>
        <v/>
      </c>
      <c r="F437" s="29">
        <f>F436</f>
        <v/>
      </c>
      <c r="G437" s="29">
        <f>G436</f>
        <v/>
      </c>
      <c r="H437" s="29">
        <f>H436</f>
        <v/>
      </c>
      <c r="I437" s="29">
        <f>I436</f>
        <v/>
      </c>
      <c r="J437" s="29">
        <f>J436</f>
        <v/>
      </c>
      <c r="K437" s="29">
        <f>F437</f>
        <v/>
      </c>
    </row>
    <row r="438">
      <c r="A438" s="29">
        <f>CONCATENATE("CATEGORY_",UPPER(Pokemon!B425))</f>
        <v/>
      </c>
      <c r="B438" s="29">
        <f>B202</f>
        <v/>
      </c>
      <c r="C438" s="29">
        <f>C202</f>
        <v/>
      </c>
      <c r="D438" s="29">
        <f>D202</f>
        <v/>
      </c>
      <c r="E438" s="29">
        <f>E202</f>
        <v/>
      </c>
      <c r="F438" s="29">
        <f>F202</f>
        <v/>
      </c>
      <c r="G438" s="29">
        <f>G202</f>
        <v/>
      </c>
      <c r="H438" s="29">
        <f>H202</f>
        <v/>
      </c>
      <c r="I438" s="29">
        <f>I202</f>
        <v/>
      </c>
      <c r="J438" s="29">
        <f>J202</f>
        <v/>
      </c>
      <c r="K438" s="29">
        <f>F438</f>
        <v/>
      </c>
    </row>
    <row r="439">
      <c r="A439" s="29">
        <f>CONCATENATE("CATEGORY_",UPPER(Pokemon!B426))</f>
        <v/>
      </c>
      <c r="B439" s="29">
        <f>B40</f>
        <v/>
      </c>
      <c r="C439" s="29">
        <f>C40</f>
        <v/>
      </c>
      <c r="D439" s="29">
        <f>D40</f>
        <v/>
      </c>
      <c r="E439" s="29">
        <f>E40</f>
        <v/>
      </c>
      <c r="F439" s="29">
        <f>F40</f>
        <v/>
      </c>
      <c r="G439" s="29">
        <f>G40</f>
        <v/>
      </c>
      <c r="H439" s="29">
        <f>H40</f>
        <v/>
      </c>
      <c r="I439" s="29">
        <f>I40</f>
        <v/>
      </c>
      <c r="J439" s="29">
        <f>J40</f>
        <v/>
      </c>
      <c r="K439" s="29">
        <f>F439</f>
        <v/>
      </c>
    </row>
    <row r="440">
      <c r="A440" s="29">
        <f>CONCATENATE("CATEGORY_",UPPER(Pokemon!B427))</f>
        <v/>
      </c>
      <c r="B440" s="29" t="inlineStr">
        <is>
          <t>Blimp</t>
        </is>
      </c>
      <c r="C440" s="29" t="inlineStr">
        <is>
          <t>ききゅう</t>
        </is>
      </c>
      <c r="D440" s="29" t="inlineStr">
        <is>
          <t>Ballon</t>
        </is>
      </c>
      <c r="E440" s="29" t="inlineStr">
        <is>
          <t>Luftschiff</t>
        </is>
      </c>
      <c r="F440" s="29" t="inlineStr">
        <is>
          <t>Dirigible</t>
        </is>
      </c>
      <c r="G440" s="29" t="inlineStr">
        <is>
          <t>Dirigibile</t>
        </is>
      </c>
      <c r="H440" s="29" t="inlineStr">
        <is>
          <t>기구</t>
        </is>
      </c>
      <c r="I440" s="29" t="inlineStr">
        <is>
          <t>熱氣球</t>
        </is>
      </c>
      <c r="J440" s="29">
        <f>IFERROR(__xludf.DUMMYFUNCTION("GOOGLETRANSLATE(I440, ""zh_HANT"",""zh_HANS"")"),"热气球")</f>
        <v/>
      </c>
      <c r="K440" s="29">
        <f>F440</f>
        <v/>
      </c>
    </row>
    <row r="441">
      <c r="A441" s="29">
        <f>CONCATENATE("CATEGORY_",UPPER(Pokemon!B428))</f>
        <v/>
      </c>
      <c r="B441" s="29" t="inlineStr">
        <is>
          <t>Rabbit</t>
        </is>
      </c>
      <c r="C441" s="29" t="inlineStr">
        <is>
          <t>うさぎ</t>
        </is>
      </c>
      <c r="D441" s="29" t="inlineStr">
        <is>
          <t>Lapin</t>
        </is>
      </c>
      <c r="E441" s="29" t="inlineStr">
        <is>
          <t>Hase</t>
        </is>
      </c>
      <c r="F441" s="29" t="inlineStr">
        <is>
          <t>Conejo</t>
        </is>
      </c>
      <c r="G441" s="29" t="inlineStr">
        <is>
          <t>Coniglio</t>
        </is>
      </c>
      <c r="H441" s="29" t="inlineStr">
        <is>
          <t>토끼</t>
        </is>
      </c>
      <c r="I441" s="29" t="inlineStr">
        <is>
          <t>兔子</t>
        </is>
      </c>
      <c r="J441" s="29">
        <f>I441</f>
        <v/>
      </c>
      <c r="K441" s="29">
        <f>F441</f>
        <v/>
      </c>
    </row>
    <row r="442">
      <c r="A442" s="29">
        <f>CONCATENATE("CATEGORY_",UPPER(Pokemon!B429))</f>
        <v/>
      </c>
      <c r="B442" s="29">
        <f>B441</f>
        <v/>
      </c>
      <c r="C442" s="29">
        <f>C441</f>
        <v/>
      </c>
      <c r="D442" s="29">
        <f>D441</f>
        <v/>
      </c>
      <c r="E442" s="29">
        <f>E441</f>
        <v/>
      </c>
      <c r="F442" s="29">
        <f>F441</f>
        <v/>
      </c>
      <c r="G442" s="29">
        <f>G441</f>
        <v/>
      </c>
      <c r="H442" s="29">
        <f>H441</f>
        <v/>
      </c>
      <c r="I442" s="29">
        <f>I441</f>
        <v/>
      </c>
      <c r="J442" s="29">
        <f>J441</f>
        <v/>
      </c>
      <c r="K442" s="29">
        <f>F442</f>
        <v/>
      </c>
    </row>
    <row r="443">
      <c r="A443" s="29">
        <f>CONCATENATE("CATEGORY_",UPPER(Pokemon!B430))</f>
        <v/>
      </c>
      <c r="B443" s="29" t="inlineStr">
        <is>
          <t>Magical</t>
        </is>
      </c>
      <c r="C443" s="29" t="inlineStr">
        <is>
          <t>マジカル</t>
        </is>
      </c>
      <c r="D443" s="29" t="inlineStr">
        <is>
          <t>Magique</t>
        </is>
      </c>
      <c r="E443" s="29" t="inlineStr">
        <is>
          <t>Magisch</t>
        </is>
      </c>
      <c r="F443" s="29" t="inlineStr">
        <is>
          <t>Mágico</t>
        </is>
      </c>
      <c r="G443" s="29" t="inlineStr">
        <is>
          <t>Stregone</t>
        </is>
      </c>
      <c r="H443" s="29" t="inlineStr">
        <is>
          <t>매지컬</t>
        </is>
      </c>
      <c r="I443" s="29" t="inlineStr">
        <is>
          <t>魔法</t>
        </is>
      </c>
      <c r="J443" s="29">
        <f>I443</f>
        <v/>
      </c>
      <c r="K443" s="29">
        <f>F443</f>
        <v/>
      </c>
    </row>
    <row r="444">
      <c r="A444" s="29">
        <f>CONCATENATE("CATEGORY_",UPPER(Pokemon!B431))</f>
        <v/>
      </c>
      <c r="B444" s="29" t="inlineStr">
        <is>
          <t>Big Boss</t>
        </is>
      </c>
      <c r="C444" s="29" t="inlineStr">
        <is>
          <t>おおボス</t>
        </is>
      </c>
      <c r="D444" s="29" t="inlineStr">
        <is>
          <t>Big Boss</t>
        </is>
      </c>
      <c r="E444" s="29" t="inlineStr">
        <is>
          <t>Anführer</t>
        </is>
      </c>
      <c r="F444" s="29" t="inlineStr">
        <is>
          <t>Gran Jefe</t>
        </is>
      </c>
      <c r="G444" s="29" t="inlineStr">
        <is>
          <t>Grancapo</t>
        </is>
      </c>
      <c r="H444" s="29" t="inlineStr">
        <is>
          <t>큰형님</t>
        </is>
      </c>
      <c r="I444" s="29" t="inlineStr">
        <is>
          <t>大頭目</t>
        </is>
      </c>
      <c r="J444" s="29">
        <f>IFERROR(__xludf.DUMMYFUNCTION("GOOGLETRANSLATE(I444, ""zh_HANT"",""zh_HANS"")"),"大头目")</f>
        <v/>
      </c>
      <c r="K444" s="29">
        <f>F444</f>
        <v/>
      </c>
    </row>
    <row r="445">
      <c r="A445" s="29">
        <f>CONCATENATE("CATEGORY_",UPPER(Pokemon!B432))</f>
        <v/>
      </c>
      <c r="B445" s="29" t="inlineStr">
        <is>
          <t>Catty</t>
        </is>
      </c>
      <c r="C445" s="29" t="inlineStr">
        <is>
          <t>ねこかぶり</t>
        </is>
      </c>
      <c r="D445" s="29" t="inlineStr">
        <is>
          <t>Chafouin</t>
        </is>
      </c>
      <c r="E445" s="29" t="inlineStr">
        <is>
          <t>Fies</t>
        </is>
      </c>
      <c r="F445" s="29" t="inlineStr">
        <is>
          <t>Gastuto</t>
        </is>
      </c>
      <c r="G445" s="29" t="inlineStr">
        <is>
          <t>Felide</t>
        </is>
      </c>
      <c r="H445" s="29" t="inlineStr">
        <is>
          <t>내숭</t>
        </is>
      </c>
      <c r="I445" s="29" t="inlineStr">
        <is>
          <t>裝乖</t>
        </is>
      </c>
      <c r="J445" s="29">
        <f>IFERROR(__xludf.DUMMYFUNCTION("GOOGLETRANSLATE(I445, ""zh_HANT"",""zh_HANS"")"),"装乖")</f>
        <v/>
      </c>
      <c r="K445" s="29">
        <f>F445</f>
        <v/>
      </c>
    </row>
    <row r="446">
      <c r="A446" s="29">
        <f>CONCATENATE("CATEGORY_",UPPER(Pokemon!B433))</f>
        <v/>
      </c>
      <c r="B446" s="29" t="inlineStr">
        <is>
          <t>Tiger Cat</t>
        </is>
      </c>
      <c r="C446" s="29" t="inlineStr">
        <is>
          <t>とらねこ</t>
        </is>
      </c>
      <c r="D446" s="29" t="inlineStr">
        <is>
          <t>Chatigre</t>
        </is>
      </c>
      <c r="E446" s="29" t="inlineStr">
        <is>
          <t>Tigerkatze</t>
        </is>
      </c>
      <c r="F446" s="29" t="inlineStr">
        <is>
          <t>Tigre Gato</t>
        </is>
      </c>
      <c r="G446" s="29" t="inlineStr">
        <is>
          <t>Gattotigre</t>
        </is>
      </c>
      <c r="H446" s="29" t="inlineStr">
        <is>
          <t>얼룩고양이</t>
        </is>
      </c>
      <c r="I446" s="29" t="inlineStr">
        <is>
          <t>虎斑貓</t>
        </is>
      </c>
      <c r="J446" s="29">
        <f>IFERROR(__xludf.DUMMYFUNCTION("GOOGLETRANSLATE(I446, ""zh_HANT"",""zh_HANS"")"),"虎斑猫")</f>
        <v/>
      </c>
      <c r="K446" s="29">
        <f>F446</f>
        <v/>
      </c>
    </row>
    <row r="447">
      <c r="A447" s="29">
        <f>CONCATENATE("CATEGORY_",UPPER(Pokemon!B434))</f>
        <v/>
      </c>
      <c r="B447" s="29" t="inlineStr">
        <is>
          <t>Bell</t>
        </is>
      </c>
      <c r="C447" s="29" t="inlineStr">
        <is>
          <t>すず</t>
        </is>
      </c>
      <c r="D447" s="29" t="inlineStr">
        <is>
          <t>Clochette</t>
        </is>
      </c>
      <c r="E447" s="29" t="inlineStr">
        <is>
          <t>Glöckchen</t>
        </is>
      </c>
      <c r="F447" s="29" t="inlineStr">
        <is>
          <t>Campana</t>
        </is>
      </c>
      <c r="G447" s="29" t="inlineStr">
        <is>
          <t>Sonaglio</t>
        </is>
      </c>
      <c r="H447" s="29" t="inlineStr">
        <is>
          <t>방울</t>
        </is>
      </c>
      <c r="I447" s="29" t="inlineStr">
        <is>
          <t>鈴鐺</t>
        </is>
      </c>
      <c r="J447" s="29">
        <f>IFERROR(__xludf.DUMMYFUNCTION("GOOGLETRANSLATE(I447, ""zh_HANT"",""zh_HANS"")"),"铃铛")</f>
        <v/>
      </c>
      <c r="K447" s="29">
        <f>F447</f>
        <v/>
      </c>
    </row>
    <row r="448">
      <c r="A448" s="29">
        <f>CONCATENATE("CATEGORY_",UPPER(Pokemon!B435))</f>
        <v/>
      </c>
      <c r="B448" s="29" t="inlineStr">
        <is>
          <t>Skunk</t>
        </is>
      </c>
      <c r="C448" s="29" t="inlineStr">
        <is>
          <t>スカンク</t>
        </is>
      </c>
      <c r="D448" s="29" t="inlineStr">
        <is>
          <t>Moufette</t>
        </is>
      </c>
      <c r="E448" s="29" t="inlineStr">
        <is>
          <t>Stinktier</t>
        </is>
      </c>
      <c r="F448" s="29" t="inlineStr">
        <is>
          <t>Mofeta</t>
        </is>
      </c>
      <c r="G448" s="29" t="inlineStr">
        <is>
          <t>Moffetta</t>
        </is>
      </c>
      <c r="H448" s="29" t="inlineStr">
        <is>
          <t>스컹크</t>
        </is>
      </c>
      <c r="I448" s="29" t="inlineStr">
        <is>
          <t>臭鼬</t>
        </is>
      </c>
      <c r="J448" s="29">
        <f>I448</f>
        <v/>
      </c>
      <c r="K448" s="29">
        <f>F448</f>
        <v/>
      </c>
    </row>
    <row r="449">
      <c r="A449" s="29">
        <f>CONCATENATE("CATEGORY_",UPPER(Pokemon!B436))</f>
        <v/>
      </c>
      <c r="B449" s="29">
        <f>B448</f>
        <v/>
      </c>
      <c r="C449" s="29">
        <f>C448</f>
        <v/>
      </c>
      <c r="D449" s="29">
        <f>D448</f>
        <v/>
      </c>
      <c r="E449" s="29">
        <f>E448</f>
        <v/>
      </c>
      <c r="F449" s="29">
        <f>F448</f>
        <v/>
      </c>
      <c r="G449" s="29">
        <f>G448</f>
        <v/>
      </c>
      <c r="H449" s="29">
        <f>H448</f>
        <v/>
      </c>
      <c r="I449" s="29">
        <f>I448</f>
        <v/>
      </c>
      <c r="J449" s="29">
        <f>J448</f>
        <v/>
      </c>
      <c r="K449" s="29">
        <f>F449</f>
        <v/>
      </c>
    </row>
    <row r="450">
      <c r="A450" s="29">
        <f>CONCATENATE("CATEGORY_",UPPER(Pokemon!B437))</f>
        <v/>
      </c>
      <c r="B450" s="29" t="inlineStr">
        <is>
          <t>Bronze</t>
        </is>
      </c>
      <c r="C450" s="29" t="inlineStr">
        <is>
          <t>せいどう</t>
        </is>
      </c>
      <c r="D450" s="29" t="inlineStr">
        <is>
          <t>Bronze</t>
        </is>
      </c>
      <c r="E450" s="29">
        <f>B450</f>
        <v/>
      </c>
      <c r="F450" s="29" t="inlineStr">
        <is>
          <t>Bronce</t>
        </is>
      </c>
      <c r="G450" s="29" t="inlineStr">
        <is>
          <t>Bronzo</t>
        </is>
      </c>
      <c r="H450" s="29" t="inlineStr">
        <is>
          <t>청동</t>
        </is>
      </c>
      <c r="I450" s="29" t="inlineStr">
        <is>
          <t>青銅</t>
        </is>
      </c>
      <c r="J450" s="29">
        <f>IFERROR(__xludf.DUMMYFUNCTION("GOOGLETRANSLATE(I450, ""zh_HANT"",""zh_HANS"")"),"青铜")</f>
        <v/>
      </c>
      <c r="K450" s="29">
        <f>F450</f>
        <v/>
      </c>
    </row>
    <row r="451">
      <c r="A451" s="29">
        <f>CONCATENATE("CATEGORY_",UPPER(Pokemon!B438))</f>
        <v/>
      </c>
      <c r="B451" s="29" t="inlineStr">
        <is>
          <t>Bronze Bell</t>
        </is>
      </c>
      <c r="C451" s="29" t="inlineStr">
        <is>
          <t>どうたく</t>
        </is>
      </c>
      <c r="D451" s="29" t="inlineStr">
        <is>
          <t>Clochebronze</t>
        </is>
      </c>
      <c r="E451" s="29" t="inlineStr">
        <is>
          <t>Bronzeglocke</t>
        </is>
      </c>
      <c r="F451" s="29">
        <f>CONCATENATE("Cam. ",F450)</f>
        <v/>
      </c>
      <c r="G451" s="29" t="inlineStr">
        <is>
          <t>Squibronzo</t>
        </is>
      </c>
      <c r="H451" s="29" t="inlineStr">
        <is>
          <t>동탁</t>
        </is>
      </c>
      <c r="I451" s="29" t="inlineStr">
        <is>
          <t>銅鐘</t>
        </is>
      </c>
      <c r="J451" s="29">
        <f>IFERROR(__xludf.DUMMYFUNCTION("GOOGLETRANSLATE(I451, ""zh_HANT"",""zh_HANS"")"),"铜钟")</f>
        <v/>
      </c>
      <c r="K451" s="29">
        <f>F451</f>
        <v/>
      </c>
    </row>
    <row r="452">
      <c r="A452" s="29">
        <f>CONCATENATE("CATEGORY_",UPPER(Pokemon!B439))</f>
        <v/>
      </c>
      <c r="B452" s="29" t="inlineStr">
        <is>
          <t>Bonsai</t>
        </is>
      </c>
      <c r="C452" s="29" t="inlineStr">
        <is>
          <t>ぼんさい</t>
        </is>
      </c>
      <c r="D452" s="29" t="inlineStr">
        <is>
          <t>Bonsaï</t>
        </is>
      </c>
      <c r="E452" s="29">
        <f>B452</f>
        <v/>
      </c>
      <c r="F452" s="29" t="inlineStr">
        <is>
          <t>Bonsái</t>
        </is>
      </c>
      <c r="G452" s="29">
        <f>B452</f>
        <v/>
      </c>
      <c r="H452" s="29" t="inlineStr">
        <is>
          <t>분재</t>
        </is>
      </c>
      <c r="I452" s="29" t="inlineStr">
        <is>
          <t>盆栽</t>
        </is>
      </c>
      <c r="J452" s="29">
        <f>I452</f>
        <v/>
      </c>
      <c r="K452" s="29">
        <f>F452</f>
        <v/>
      </c>
    </row>
    <row r="453">
      <c r="A453" s="29">
        <f>CONCATENATE("CATEGORY_",UPPER(Pokemon!B440))</f>
        <v/>
      </c>
      <c r="B453" s="29" t="inlineStr">
        <is>
          <t>Mime</t>
        </is>
      </c>
      <c r="C453" s="29" t="inlineStr">
        <is>
          <t>マイム</t>
        </is>
      </c>
      <c r="D453" s="29" t="inlineStr">
        <is>
          <t>Mime</t>
        </is>
      </c>
      <c r="E453" s="29">
        <f>B453</f>
        <v/>
      </c>
      <c r="F453" s="29" t="inlineStr">
        <is>
          <t>Mimo</t>
        </is>
      </c>
      <c r="G453" s="29">
        <f>F453</f>
        <v/>
      </c>
      <c r="H453" s="29" t="inlineStr">
        <is>
          <t>따라하기</t>
        </is>
      </c>
      <c r="I453" s="29" t="inlineStr">
        <is>
          <t>默劇</t>
        </is>
      </c>
      <c r="J453" s="29">
        <f>IFERROR(__xludf.DUMMYFUNCTION("GOOGLETRANSLATE(I453, ""zh_HANT"",""zh_HANS"")"),"默剧")</f>
        <v/>
      </c>
      <c r="K453" s="29">
        <f>F453</f>
        <v/>
      </c>
    </row>
    <row r="454">
      <c r="A454" s="29">
        <f>CONCATENATE("CATEGORY_",UPPER(Pokemon!B441))</f>
        <v/>
      </c>
      <c r="B454" s="29" t="inlineStr">
        <is>
          <t>Playhouse</t>
        </is>
      </c>
      <c r="C454" s="29" t="inlineStr">
        <is>
          <t>ままごと</t>
        </is>
      </c>
      <c r="D454" s="29" t="inlineStr">
        <is>
          <t>Maisonjouet</t>
        </is>
      </c>
      <c r="E454" s="29" t="inlineStr">
        <is>
          <t>Spielhaus</t>
        </is>
      </c>
      <c r="F454" s="29" t="inlineStr">
        <is>
          <t>Casita</t>
        </is>
      </c>
      <c r="G454" s="29" t="inlineStr">
        <is>
          <t>Ovettino</t>
        </is>
      </c>
      <c r="H454" s="29" t="inlineStr">
        <is>
          <t>소꿉놀이</t>
        </is>
      </c>
      <c r="I454" s="29" t="inlineStr">
        <is>
          <t>家家酒</t>
        </is>
      </c>
      <c r="J454" s="29">
        <f>I454</f>
        <v/>
      </c>
      <c r="K454" s="29">
        <f>F454</f>
        <v/>
      </c>
    </row>
    <row r="455">
      <c r="A455" s="29">
        <f>CONCATENATE("CATEGORY_",UPPER(Pokemon!B442))</f>
        <v/>
      </c>
      <c r="B455" s="29" t="inlineStr">
        <is>
          <t>Music Note</t>
        </is>
      </c>
      <c r="C455" s="29" t="inlineStr">
        <is>
          <t>おんぷ</t>
        </is>
      </c>
      <c r="D455" s="29" t="inlineStr">
        <is>
          <t>Note Musique</t>
        </is>
      </c>
      <c r="E455" s="29" t="inlineStr">
        <is>
          <t>Musiknote</t>
        </is>
      </c>
      <c r="F455" s="29" t="inlineStr">
        <is>
          <t>Corchea</t>
        </is>
      </c>
      <c r="G455" s="29" t="inlineStr">
        <is>
          <t>Musicale</t>
        </is>
      </c>
      <c r="H455" s="29" t="inlineStr">
        <is>
          <t>음표</t>
        </is>
      </c>
      <c r="I455" s="29" t="inlineStr">
        <is>
          <t>音符</t>
        </is>
      </c>
      <c r="J455" s="29">
        <f>I455</f>
        <v/>
      </c>
      <c r="K455" s="29">
        <f>F455</f>
        <v/>
      </c>
    </row>
    <row r="456">
      <c r="A456" s="29">
        <f>CONCATENATE("CATEGORY_",UPPER(Pokemon!B443))</f>
        <v/>
      </c>
      <c r="B456" s="29" t="inlineStr">
        <is>
          <t>Forbidden</t>
        </is>
      </c>
      <c r="C456" s="29" t="inlineStr">
        <is>
          <t>ふういん</t>
        </is>
      </c>
      <c r="D456" s="29" t="inlineStr">
        <is>
          <t>Interdit</t>
        </is>
      </c>
      <c r="E456" s="29" t="inlineStr">
        <is>
          <t>Verboten</t>
        </is>
      </c>
      <c r="F456" s="29" t="inlineStr">
        <is>
          <t>Prohibido</t>
        </is>
      </c>
      <c r="G456" s="29" t="inlineStr">
        <is>
          <t>Proibito</t>
        </is>
      </c>
      <c r="H456" s="29" t="inlineStr">
        <is>
          <t>봉인</t>
        </is>
      </c>
      <c r="I456" s="29" t="inlineStr">
        <is>
          <t>封印</t>
        </is>
      </c>
      <c r="J456" s="29">
        <f>I456</f>
        <v/>
      </c>
      <c r="K456" s="29">
        <f>F456</f>
        <v/>
      </c>
    </row>
    <row r="457">
      <c r="A457" s="29">
        <f>CONCATENATE("CATEGORY_",UPPER(Pokemon!B444))</f>
        <v/>
      </c>
      <c r="B457" s="29" t="inlineStr">
        <is>
          <t>Land Shark</t>
        </is>
      </c>
      <c r="C457" s="29" t="inlineStr">
        <is>
          <t>りくザメ</t>
        </is>
      </c>
      <c r="D457" s="29" t="inlineStr">
        <is>
          <t>Terrequin</t>
        </is>
      </c>
      <c r="E457" s="29" t="inlineStr">
        <is>
          <t>Landhai</t>
        </is>
      </c>
      <c r="F457" s="29" t="inlineStr">
        <is>
          <t>Terrascualo</t>
        </is>
      </c>
      <c r="G457" s="29" t="inlineStr">
        <is>
          <t>Squaloterra</t>
        </is>
      </c>
      <c r="H457" s="29" t="inlineStr">
        <is>
          <t>육지상어</t>
        </is>
      </c>
      <c r="I457" s="29" t="inlineStr">
        <is>
          <t>陸鯊</t>
        </is>
      </c>
      <c r="J457" s="29">
        <f>IFERROR(__xludf.DUMMYFUNCTION("GOOGLETRANSLATE(I457, ""zh_HANT"",""zh_HANS"")"),"陆鲨")</f>
        <v/>
      </c>
      <c r="K457" s="29">
        <f>F457</f>
        <v/>
      </c>
    </row>
    <row r="458">
      <c r="A458" s="29">
        <f>CONCATENATE("CATEGORY_",UPPER(Pokemon!B445))</f>
        <v/>
      </c>
      <c r="B458" s="29" t="inlineStr">
        <is>
          <t>Cave</t>
        </is>
      </c>
      <c r="C458" s="29" t="inlineStr">
        <is>
          <t>ほらあな</t>
        </is>
      </c>
      <c r="D458" s="29" t="inlineStr">
        <is>
          <t>Caverne</t>
        </is>
      </c>
      <c r="E458" s="29" t="inlineStr">
        <is>
          <t>Höhle</t>
        </is>
      </c>
      <c r="F458" s="29" t="inlineStr">
        <is>
          <t>Cueva</t>
        </is>
      </c>
      <c r="G458" s="29" t="inlineStr">
        <is>
          <t>Grotta</t>
        </is>
      </c>
      <c r="H458" s="29" t="inlineStr">
        <is>
          <t>동굴</t>
        </is>
      </c>
      <c r="I458" s="29" t="inlineStr">
        <is>
          <t>洞穴</t>
        </is>
      </c>
      <c r="J458" s="29">
        <f>I458</f>
        <v/>
      </c>
      <c r="K458" s="29">
        <f>F458</f>
        <v/>
      </c>
    </row>
    <row r="459">
      <c r="A459" s="29">
        <f>CONCATENATE("CATEGORY_",UPPER(Pokemon!B446))</f>
        <v/>
      </c>
      <c r="B459" s="29" t="inlineStr">
        <is>
          <t>Mach</t>
        </is>
      </c>
      <c r="C459" s="29" t="inlineStr">
        <is>
          <t>マッハ</t>
        </is>
      </c>
      <c r="D459" s="29" t="inlineStr">
        <is>
          <t>Supersonic</t>
        </is>
      </c>
      <c r="E459" s="29" t="inlineStr">
        <is>
          <t>Rasanz</t>
        </is>
      </c>
      <c r="F459" s="29">
        <f>B459</f>
        <v/>
      </c>
      <c r="G459" s="29">
        <f>B459</f>
        <v/>
      </c>
      <c r="H459" s="29" t="inlineStr">
        <is>
          <t>마하</t>
        </is>
      </c>
      <c r="I459" s="29" t="inlineStr">
        <is>
          <t>音速</t>
        </is>
      </c>
      <c r="J459" s="29">
        <f>I459</f>
        <v/>
      </c>
      <c r="K459" s="29">
        <f>F459</f>
        <v/>
      </c>
    </row>
    <row r="460">
      <c r="A460" s="29">
        <f>CONCATENATE("CATEGORY_",UPPER(Pokemon!B447))</f>
        <v/>
      </c>
      <c r="B460" s="29" t="inlineStr">
        <is>
          <t>Big Eater</t>
        </is>
      </c>
      <c r="C460" s="29" t="inlineStr">
        <is>
          <t>おおぐい</t>
        </is>
      </c>
      <c r="D460" s="29" t="inlineStr">
        <is>
          <t>Goinfre</t>
        </is>
      </c>
      <c r="E460" s="29" t="inlineStr">
        <is>
          <t>Nimmersatt</t>
        </is>
      </c>
      <c r="F460" s="29" t="inlineStr">
        <is>
          <t>Comilón</t>
        </is>
      </c>
      <c r="G460" s="29" t="inlineStr">
        <is>
          <t>Ghiottone</t>
        </is>
      </c>
      <c r="H460" s="29" t="inlineStr">
        <is>
          <t>대식가</t>
        </is>
      </c>
      <c r="I460" s="29" t="inlineStr">
        <is>
          <t>大胃王</t>
        </is>
      </c>
      <c r="J460" s="29">
        <f>I460</f>
        <v/>
      </c>
      <c r="K460" s="29">
        <f>F460</f>
        <v/>
      </c>
    </row>
    <row r="461">
      <c r="A461" s="29">
        <f>CONCATENATE("CATEGORY_",UPPER(Pokemon!B448))</f>
        <v/>
      </c>
      <c r="B461" s="29" t="inlineStr">
        <is>
          <t>Emanation</t>
        </is>
      </c>
      <c r="C461" s="29" t="inlineStr">
        <is>
          <t>はもん</t>
        </is>
      </c>
      <c r="D461" s="29" t="inlineStr">
        <is>
          <t>Émanation</t>
        </is>
      </c>
      <c r="E461" s="29" t="inlineStr">
        <is>
          <t>Wellenspiel</t>
        </is>
      </c>
      <c r="F461" s="29" t="inlineStr">
        <is>
          <t>Emanación</t>
        </is>
      </c>
      <c r="G461" s="29" t="inlineStr">
        <is>
          <t>Emanazione</t>
        </is>
      </c>
      <c r="H461" s="29" t="inlineStr">
        <is>
          <t>파문</t>
        </is>
      </c>
      <c r="I461" s="29" t="inlineStr">
        <is>
          <t>波紋</t>
        </is>
      </c>
      <c r="J461" s="29">
        <f>IFERROR(__xludf.DUMMYFUNCTION("GOOGLETRANSLATE(I461, ""zh_HANT"",""zh_HANS"")"),"波纹")</f>
        <v/>
      </c>
      <c r="K461" s="29">
        <f>F461</f>
        <v/>
      </c>
    </row>
    <row r="462">
      <c r="A462" s="29">
        <f>CONCATENATE("CATEGORY_",UPPER(Pokemon!B449))</f>
        <v/>
      </c>
      <c r="B462" s="29" t="inlineStr">
        <is>
          <t>Aura</t>
        </is>
      </c>
      <c r="C462" s="29" t="inlineStr">
        <is>
          <t>ほどう</t>
        </is>
      </c>
      <c r="D462" s="29">
        <f>B462</f>
        <v/>
      </c>
      <c r="E462" s="29">
        <f>B462</f>
        <v/>
      </c>
      <c r="F462" s="29">
        <f>B462</f>
        <v/>
      </c>
      <c r="G462" s="29">
        <f>B462</f>
        <v/>
      </c>
      <c r="H462" s="29" t="inlineStr">
        <is>
          <t>파동</t>
        </is>
      </c>
      <c r="I462" s="29" t="inlineStr">
        <is>
          <t>波導</t>
        </is>
      </c>
      <c r="J462" s="29">
        <f>IFERROR(__xludf.DUMMYFUNCTION("GOOGLETRANSLATE(I462, ""zh_HANT"",""zh_HANS"")"),"波导")</f>
        <v/>
      </c>
      <c r="K462" s="29">
        <f>F462</f>
        <v/>
      </c>
    </row>
    <row r="463">
      <c r="A463" s="29">
        <f>CONCATENATE("CATEGORY_",UPPER(Pokemon!B450))</f>
        <v/>
      </c>
      <c r="B463" s="29" t="inlineStr">
        <is>
          <t>Hippo</t>
        </is>
      </c>
      <c r="C463" s="29" t="inlineStr">
        <is>
          <t>カバ</t>
        </is>
      </c>
      <c r="D463" s="29">
        <f>B463</f>
        <v/>
      </c>
      <c r="E463" s="29" t="inlineStr">
        <is>
          <t>Flusspferd</t>
        </is>
      </c>
      <c r="F463" s="29" t="inlineStr">
        <is>
          <t>Hipo</t>
        </is>
      </c>
      <c r="G463" s="29" t="inlineStr">
        <is>
          <t>Ippo</t>
        </is>
      </c>
      <c r="H463" s="29" t="inlineStr">
        <is>
          <t>하마</t>
        </is>
      </c>
      <c r="I463" s="29" t="inlineStr">
        <is>
          <t>河馬</t>
        </is>
      </c>
      <c r="J463" s="29">
        <f>IFERROR(__xludf.DUMMYFUNCTION("GOOGLETRANSLATE(I463, ""zh_HANT"",""zh_HANS"")"),"河马")</f>
        <v/>
      </c>
      <c r="K463" s="29">
        <f>F463</f>
        <v/>
      </c>
    </row>
    <row r="464">
      <c r="A464" s="29">
        <f>CONCATENATE("CATEGORY_",UPPER(Pokemon!B451))</f>
        <v/>
      </c>
      <c r="B464" s="29" t="inlineStr">
        <is>
          <t>Heavyweight</t>
        </is>
      </c>
      <c r="C464" s="29" t="inlineStr">
        <is>
          <t>じゅうりょう</t>
        </is>
      </c>
      <c r="D464" s="29" t="inlineStr">
        <is>
          <t>Poids Lours</t>
        </is>
      </c>
      <c r="E464" s="29" t="inlineStr">
        <is>
          <t>Schwergewicht</t>
        </is>
      </c>
      <c r="F464" s="29" t="inlineStr">
        <is>
          <t>Peso Pesado</t>
        </is>
      </c>
      <c r="G464" s="29" t="inlineStr">
        <is>
          <t>Grandepeso</t>
        </is>
      </c>
      <c r="H464" s="29" t="inlineStr">
        <is>
          <t>중량</t>
        </is>
      </c>
      <c r="I464" s="29" t="inlineStr">
        <is>
          <t>重量</t>
        </is>
      </c>
      <c r="J464" s="29">
        <f>I464</f>
        <v/>
      </c>
      <c r="K464" s="29">
        <f>F464</f>
        <v/>
      </c>
    </row>
    <row r="465">
      <c r="A465" s="29">
        <f>CONCATENATE("CATEGORY_",UPPER(Pokemon!B452))</f>
        <v/>
      </c>
      <c r="B465" s="29" t="inlineStr">
        <is>
          <t>Scorpion</t>
        </is>
      </c>
      <c r="C465" s="29" t="inlineStr">
        <is>
          <t>さそり</t>
        </is>
      </c>
      <c r="D465" s="29" t="inlineStr">
        <is>
          <t>Scorpion</t>
        </is>
      </c>
      <c r="E465" s="29" t="inlineStr">
        <is>
          <t>Skorpion</t>
        </is>
      </c>
      <c r="F465" s="29" t="inlineStr">
        <is>
          <t>Escorpión</t>
        </is>
      </c>
      <c r="G465" s="29">
        <f>CONCATENATE(B465,"e")</f>
        <v/>
      </c>
      <c r="H465" s="29" t="inlineStr">
        <is>
          <t>전갈</t>
        </is>
      </c>
      <c r="I465" s="29" t="inlineStr">
        <is>
          <t>蠍子</t>
        </is>
      </c>
      <c r="J465" s="29">
        <f>IFERROR(__xludf.DUMMYFUNCTION("GOOGLETRANSLATE(I465, ""zh_HANT"",""zh_HANS"")"),"蝎子")</f>
        <v/>
      </c>
      <c r="K465" s="29">
        <f>F465</f>
        <v/>
      </c>
    </row>
    <row r="466">
      <c r="A466" s="29">
        <f>CONCATENATE("CATEGORY_",UPPER(Pokemon!B453))</f>
        <v/>
      </c>
      <c r="B466" s="29" t="inlineStr">
        <is>
          <t>Ogre Scorpion</t>
        </is>
      </c>
      <c r="C466" s="29" t="inlineStr">
        <is>
          <t>ばけさそり</t>
        </is>
      </c>
      <c r="D466" s="29" t="inlineStr">
        <is>
          <t>Scorpogre</t>
        </is>
      </c>
      <c r="E466" s="29" t="inlineStr">
        <is>
          <t>Ogerskorpion</t>
        </is>
      </c>
      <c r="F466" s="29" t="inlineStr">
        <is>
          <t>Escorpiogro</t>
        </is>
      </c>
      <c r="G466" s="29" t="inlineStr">
        <is>
          <t>Scorpiaccio</t>
        </is>
      </c>
      <c r="H466" s="29" t="inlineStr">
        <is>
          <t>요괴전갈</t>
        </is>
      </c>
      <c r="I466" s="29" t="inlineStr">
        <is>
          <t>蠍怪</t>
        </is>
      </c>
      <c r="J466" s="29">
        <f>IFERROR(__xludf.DUMMYFUNCTION("GOOGLETRANSLATE(I466, ""zh_HANT"",""zh_HANS"")"),"蝎怪")</f>
        <v/>
      </c>
      <c r="K466" s="29">
        <f>F466</f>
        <v/>
      </c>
    </row>
    <row r="467">
      <c r="A467" s="29">
        <f>CONCATENATE("CATEGORY_",UPPER(Pokemon!B454))</f>
        <v/>
      </c>
      <c r="B467" s="29" t="inlineStr">
        <is>
          <t>Toxic Mouth</t>
        </is>
      </c>
      <c r="C467" s="29" t="inlineStr">
        <is>
          <t>どくづき</t>
        </is>
      </c>
      <c r="D467" s="29" t="inlineStr">
        <is>
          <t>Toxique</t>
        </is>
      </c>
      <c r="E467" s="29" t="inlineStr">
        <is>
          <t>Giftmund</t>
        </is>
      </c>
      <c r="F467" s="29" t="inlineStr">
        <is>
          <t>Boca Tóxica</t>
        </is>
      </c>
      <c r="G467" s="29" t="inlineStr">
        <is>
          <t>Inveieleno</t>
        </is>
      </c>
      <c r="H467" s="29" t="inlineStr">
        <is>
          <t>독설</t>
        </is>
      </c>
      <c r="I467" s="29" t="inlineStr">
        <is>
          <t>毒擊</t>
        </is>
      </c>
      <c r="J467" s="29">
        <f>IFERROR(__xludf.DUMMYFUNCTION("GOOGLETRANSLATE(I467, ""zh_HANT"",""zh_HANS"")"),"毒击")</f>
        <v/>
      </c>
      <c r="K467" s="29">
        <f>F467</f>
        <v/>
      </c>
    </row>
    <row r="468">
      <c r="A468" s="29">
        <f>CONCATENATE("CATEGORY_",UPPER(Pokemon!B455))</f>
        <v/>
      </c>
      <c r="B468" s="29">
        <f>B467</f>
        <v/>
      </c>
      <c r="C468" s="29">
        <f>C467</f>
        <v/>
      </c>
      <c r="D468" s="29">
        <f>D467</f>
        <v/>
      </c>
      <c r="E468" s="29">
        <f>E467</f>
        <v/>
      </c>
      <c r="F468" s="29">
        <f>F467</f>
        <v/>
      </c>
      <c r="G468" s="29">
        <f>G467</f>
        <v/>
      </c>
      <c r="H468" s="29">
        <f>H467</f>
        <v/>
      </c>
      <c r="I468" s="29">
        <f>I467</f>
        <v/>
      </c>
      <c r="J468" s="29">
        <f>J467</f>
        <v/>
      </c>
      <c r="K468" s="29">
        <f>F468</f>
        <v/>
      </c>
    </row>
    <row r="469">
      <c r="A469" s="29">
        <f>CONCATENATE("CATEGORY_",UPPER(Pokemon!B456))</f>
        <v/>
      </c>
      <c r="B469" s="29" t="inlineStr">
        <is>
          <t>Bug Catcher</t>
        </is>
      </c>
      <c r="C469" s="29" t="inlineStr">
        <is>
          <t>むしとり</t>
        </is>
      </c>
      <c r="D469" s="29" t="inlineStr">
        <is>
          <t>Chopinsecte</t>
        </is>
      </c>
      <c r="E469" s="29" t="inlineStr">
        <is>
          <t>Käfertod</t>
        </is>
      </c>
      <c r="F469" s="29" t="inlineStr">
        <is>
          <t>Caza Bichos</t>
        </is>
      </c>
      <c r="G469" s="29" t="inlineStr">
        <is>
          <t>Insettivoro</t>
        </is>
      </c>
      <c r="H469" s="29" t="inlineStr">
        <is>
          <t>벌레잡이</t>
        </is>
      </c>
      <c r="I469" s="29" t="inlineStr">
        <is>
          <t>捕蟲</t>
        </is>
      </c>
      <c r="J469" s="29">
        <f>IFERROR(__xludf.DUMMYFUNCTION("GOOGLETRANSLATE(I469, ""zh_HANT"",""zh_HANS"")"),"捕虫")</f>
        <v/>
      </c>
      <c r="K469" s="29">
        <f>F469</f>
        <v/>
      </c>
    </row>
    <row r="470">
      <c r="A470" s="29">
        <f>CONCATENATE("CATEGORY_",UPPER(Pokemon!B457))</f>
        <v/>
      </c>
      <c r="B470" s="29" t="inlineStr">
        <is>
          <t>Wing Fish</t>
        </is>
      </c>
      <c r="C470" s="29" t="inlineStr">
        <is>
          <t>はねうお</t>
        </is>
      </c>
      <c r="D470" s="29" t="inlineStr">
        <is>
          <t>Poisson Ailé</t>
        </is>
      </c>
      <c r="E470" s="29" t="inlineStr">
        <is>
          <t>Flügelfisch</t>
        </is>
      </c>
      <c r="F470" s="29" t="inlineStr">
        <is>
          <t>Pez Ala</t>
        </is>
      </c>
      <c r="G470" s="29" t="inlineStr">
        <is>
          <t>Pescealato</t>
        </is>
      </c>
      <c r="H470" s="29" t="inlineStr">
        <is>
          <t>비어</t>
        </is>
      </c>
      <c r="I470" s="29" t="inlineStr">
        <is>
          <t>飛翅魚</t>
        </is>
      </c>
      <c r="J470" s="29">
        <f>IFERROR(__xludf.DUMMYFUNCTION("GOOGLETRANSLATE(I470, ""zh_HANT"",""zh_HANS"")"),"飞翅鱼")</f>
        <v/>
      </c>
      <c r="K470" s="29">
        <f>F470</f>
        <v/>
      </c>
    </row>
    <row r="471">
      <c r="A471" s="29">
        <f>CONCATENATE("CATEGORY_",UPPER(Pokemon!B458))</f>
        <v/>
      </c>
      <c r="B471" s="29" t="inlineStr">
        <is>
          <t>Neon</t>
        </is>
      </c>
      <c r="C471" s="29" t="inlineStr">
        <is>
          <t>ネオン</t>
        </is>
      </c>
      <c r="D471" s="29" t="inlineStr">
        <is>
          <t>Néon</t>
        </is>
      </c>
      <c r="E471" s="29">
        <f>B471</f>
        <v/>
      </c>
      <c r="F471" s="29" t="inlineStr">
        <is>
          <t>Neón</t>
        </is>
      </c>
      <c r="G471" s="29">
        <f>B471</f>
        <v/>
      </c>
      <c r="H471" s="29" t="inlineStr">
        <is>
          <t>네온</t>
        </is>
      </c>
      <c r="I471" s="29" t="inlineStr">
        <is>
          <t>霓虹</t>
        </is>
      </c>
      <c r="J471" s="29">
        <f>I471</f>
        <v/>
      </c>
      <c r="K471" s="29">
        <f>F471</f>
        <v/>
      </c>
    </row>
    <row r="472">
      <c r="A472" s="29">
        <f>CONCATENATE("CATEGORY_",UPPER(Pokemon!B459))</f>
        <v/>
      </c>
      <c r="B472" s="29">
        <f>B240</f>
        <v/>
      </c>
      <c r="C472" s="29">
        <f>C240</f>
        <v/>
      </c>
      <c r="D472" s="29">
        <f>D240</f>
        <v/>
      </c>
      <c r="E472" s="29">
        <f>E240</f>
        <v/>
      </c>
      <c r="F472" s="29">
        <f>F240</f>
        <v/>
      </c>
      <c r="G472" s="29">
        <f>G240</f>
        <v/>
      </c>
      <c r="H472" s="29">
        <f>H240</f>
        <v/>
      </c>
      <c r="I472" s="29">
        <f>I240</f>
        <v/>
      </c>
      <c r="J472" s="29">
        <f>J240</f>
        <v/>
      </c>
      <c r="K472" s="29">
        <f>F472</f>
        <v/>
      </c>
    </row>
    <row r="473">
      <c r="A473" s="29">
        <f>CONCATENATE("CATEGORY_",UPPER(Pokemon!B460))</f>
        <v/>
      </c>
      <c r="B473" s="29" t="inlineStr">
        <is>
          <t>Frost Tree</t>
        </is>
      </c>
      <c r="C473" s="29" t="inlineStr">
        <is>
          <t>じゅひょう</t>
        </is>
      </c>
      <c r="D473" s="29" t="inlineStr">
        <is>
          <t>Arbregelé</t>
        </is>
      </c>
      <c r="E473" s="29" t="inlineStr">
        <is>
          <t>Frostbaum</t>
        </is>
      </c>
      <c r="F473" s="29" t="inlineStr">
        <is>
          <t>Árbol Nieve</t>
        </is>
      </c>
      <c r="G473" s="29" t="inlineStr">
        <is>
          <t>Albergelo</t>
        </is>
      </c>
      <c r="H473" s="29" t="inlineStr">
        <is>
          <t>얼음나무</t>
        </is>
      </c>
      <c r="I473" s="29" t="inlineStr">
        <is>
          <t>樹冰</t>
        </is>
      </c>
      <c r="J473" s="29">
        <f>IFERROR(__xludf.DUMMYFUNCTION("GOOGLETRANSLATE(I473, ""zh_HANT"",""zh_HANS"")"),"树冰")</f>
        <v/>
      </c>
      <c r="K473" s="29">
        <f>F473</f>
        <v/>
      </c>
    </row>
    <row r="474">
      <c r="A474" s="29">
        <f>CONCATENATE("CATEGORY_",UPPER(Pokemon!B461))</f>
        <v/>
      </c>
      <c r="B474" s="29">
        <f>B473</f>
        <v/>
      </c>
      <c r="C474" s="29">
        <f>C473</f>
        <v/>
      </c>
      <c r="D474" s="29">
        <f>D473</f>
        <v/>
      </c>
      <c r="E474" s="29">
        <f>E473</f>
        <v/>
      </c>
      <c r="F474" s="29">
        <f>F473</f>
        <v/>
      </c>
      <c r="G474" s="29">
        <f>G473</f>
        <v/>
      </c>
      <c r="H474" s="29">
        <f>H473</f>
        <v/>
      </c>
      <c r="I474" s="29">
        <f>I473</f>
        <v/>
      </c>
      <c r="J474" s="29">
        <f>J473</f>
        <v/>
      </c>
      <c r="K474" s="29">
        <f>F474</f>
        <v/>
      </c>
    </row>
    <row r="475">
      <c r="A475" s="29">
        <f>CONCATENATE("CATEGORY_",UPPER(Pokemon!B462))</f>
        <v/>
      </c>
      <c r="B475" s="29">
        <f>B229</f>
        <v/>
      </c>
      <c r="C475" s="29">
        <f>C229</f>
        <v/>
      </c>
      <c r="D475" s="29">
        <f>D229</f>
        <v/>
      </c>
      <c r="E475" s="29">
        <f>E229</f>
        <v/>
      </c>
      <c r="F475" s="29">
        <f>F229</f>
        <v/>
      </c>
      <c r="G475" s="29">
        <f>G229</f>
        <v/>
      </c>
      <c r="H475" s="29">
        <f>H229</f>
        <v/>
      </c>
      <c r="I475" s="29">
        <f>I229</f>
        <v/>
      </c>
      <c r="J475" s="29">
        <f>J229</f>
        <v/>
      </c>
      <c r="K475" s="29">
        <f>F475</f>
        <v/>
      </c>
    </row>
    <row r="476">
      <c r="A476" s="29">
        <f>CONCATENATE("CATEGORY_",UPPER(Pokemon!B463))</f>
        <v/>
      </c>
      <c r="B476" s="29" t="inlineStr">
        <is>
          <t>Magnet Area</t>
        </is>
      </c>
      <c r="C476" s="29" t="inlineStr">
        <is>
          <t>じば</t>
        </is>
      </c>
      <c r="D476" s="29" t="inlineStr">
        <is>
          <t>Aimant</t>
        </is>
      </c>
      <c r="E476" s="29" t="inlineStr">
        <is>
          <t>Magnetgebiet</t>
        </is>
      </c>
      <c r="F476" s="29" t="inlineStr">
        <is>
          <t>Magnético</t>
        </is>
      </c>
      <c r="G476" s="29" t="inlineStr">
        <is>
          <t>Magnetico</t>
        </is>
      </c>
      <c r="H476" s="29" t="inlineStr">
        <is>
          <t>자기장</t>
        </is>
      </c>
      <c r="I476" s="29" t="inlineStr">
        <is>
          <t>磁場</t>
        </is>
      </c>
      <c r="J476" s="29">
        <f>IFERROR(__xludf.DUMMYFUNCTION("GOOGLETRANSLATE(I476, ""zh_HANT"",""zh_HANS"")"),"磁场")</f>
        <v/>
      </c>
      <c r="K476" s="29">
        <f>F476</f>
        <v/>
      </c>
    </row>
    <row r="477">
      <c r="A477" s="29">
        <f>CONCATENATE("CATEGORY_",UPPER(Pokemon!B464))</f>
        <v/>
      </c>
      <c r="B477" s="29">
        <f>B114</f>
        <v/>
      </c>
      <c r="C477" s="29">
        <f>C114</f>
        <v/>
      </c>
      <c r="D477" s="29">
        <f>D114</f>
        <v/>
      </c>
      <c r="E477" s="29">
        <f>E114</f>
        <v/>
      </c>
      <c r="F477" s="29">
        <f>F114</f>
        <v/>
      </c>
      <c r="G477" s="29">
        <f>G114</f>
        <v/>
      </c>
      <c r="H477" s="29">
        <f>H114</f>
        <v/>
      </c>
      <c r="I477" s="29">
        <f>I114</f>
        <v/>
      </c>
      <c r="J477" s="29">
        <f>J114</f>
        <v/>
      </c>
      <c r="K477" s="29">
        <f>F477</f>
        <v/>
      </c>
    </row>
    <row r="478">
      <c r="A478" s="29">
        <f>CONCATENATE("CATEGORY_",UPPER(Pokemon!B465))</f>
        <v/>
      </c>
      <c r="B478" s="29">
        <f>B32</f>
        <v/>
      </c>
      <c r="C478" s="29">
        <f>C32</f>
        <v/>
      </c>
      <c r="D478" s="29">
        <f>D32</f>
        <v/>
      </c>
      <c r="E478" s="29">
        <f>E32</f>
        <v/>
      </c>
      <c r="F478" s="29">
        <f>F32</f>
        <v/>
      </c>
      <c r="G478" s="29">
        <f>G32</f>
        <v/>
      </c>
      <c r="H478" s="29">
        <f>H32</f>
        <v/>
      </c>
      <c r="I478" s="29">
        <f>I32</f>
        <v/>
      </c>
      <c r="J478" s="29">
        <f>J32</f>
        <v/>
      </c>
      <c r="K478" s="29">
        <f>F478</f>
        <v/>
      </c>
    </row>
    <row r="479">
      <c r="A479" s="29">
        <f>CONCATENATE("CATEGORY_",UPPER(Pokemon!B466))</f>
        <v/>
      </c>
      <c r="B479" s="29">
        <f>B120</f>
        <v/>
      </c>
      <c r="C479" s="29">
        <f>C120</f>
        <v/>
      </c>
      <c r="D479" s="29">
        <f>D120</f>
        <v/>
      </c>
      <c r="E479" s="29">
        <f>E120</f>
        <v/>
      </c>
      <c r="F479" s="29">
        <f>F120</f>
        <v/>
      </c>
      <c r="G479" s="29">
        <f>G120</f>
        <v/>
      </c>
      <c r="H479" s="29">
        <f>H120</f>
        <v/>
      </c>
      <c r="I479" s="29">
        <f>I120</f>
        <v/>
      </c>
      <c r="J479" s="29">
        <f>J120</f>
        <v/>
      </c>
      <c r="K479" s="29">
        <f>F479</f>
        <v/>
      </c>
    </row>
    <row r="480">
      <c r="A480" s="29">
        <f>CONCATENATE("CATEGORY_",UPPER(Pokemon!B467))</f>
        <v/>
      </c>
      <c r="B480" s="29">
        <f>Moves!B86</f>
        <v/>
      </c>
      <c r="C480" s="29" t="inlineStr">
        <is>
          <t>らいでん</t>
        </is>
      </c>
      <c r="D480" s="29" t="inlineStr">
        <is>
          <t>Foudrélec</t>
        </is>
      </c>
      <c r="E480" s="4" t="inlineStr">
        <is>
          <t>Donnerkeil</t>
        </is>
      </c>
      <c r="F480" s="29">
        <f>Moves!F86</f>
        <v/>
      </c>
      <c r="G480" s="29" t="inlineStr">
        <is>
          <t>Saetta</t>
        </is>
      </c>
      <c r="H480" s="29" t="inlineStr">
        <is>
          <t>뇌전</t>
        </is>
      </c>
      <c r="I480" s="29" t="inlineStr">
        <is>
          <t>雷電</t>
        </is>
      </c>
      <c r="J480" s="29">
        <f>IFERROR(__xludf.DUMMYFUNCTION("GOOGLETRANSLATE(I480, ""zh_HANT"",""zh_HANS"")"),"雷电")</f>
        <v/>
      </c>
      <c r="K480" s="29">
        <f>F480</f>
        <v/>
      </c>
    </row>
    <row r="481">
      <c r="A481" s="29">
        <f>CONCATENATE("CATEGORY_",UPPER(Pokemon!B468))</f>
        <v/>
      </c>
      <c r="B481" s="29" t="inlineStr">
        <is>
          <t>Blast</t>
        </is>
      </c>
      <c r="C481" s="29" t="inlineStr">
        <is>
          <t>ばくえん</t>
        </is>
      </c>
      <c r="D481" s="29" t="inlineStr">
        <is>
          <t>Explosion</t>
        </is>
      </c>
      <c r="E481" s="29" t="inlineStr">
        <is>
          <t>Detonation</t>
        </is>
      </c>
      <c r="F481" s="29" t="inlineStr">
        <is>
          <t>Explosión</t>
        </is>
      </c>
      <c r="G481" s="29" t="inlineStr">
        <is>
          <t>Esplosivo</t>
        </is>
      </c>
      <c r="H481" s="29" t="inlineStr">
        <is>
          <t>폭염</t>
        </is>
      </c>
      <c r="I481" s="29" t="inlineStr">
        <is>
          <t>爆炎</t>
        </is>
      </c>
      <c r="J481" s="29">
        <f>I481</f>
        <v/>
      </c>
      <c r="K481" s="29">
        <f>F481</f>
        <v/>
      </c>
    </row>
    <row r="482">
      <c r="A482" s="29">
        <f>CONCATENATE("CATEGORY_",UPPER(Pokemon!B469))</f>
        <v/>
      </c>
      <c r="B482" s="29" t="inlineStr">
        <is>
          <t>Jubilee</t>
        </is>
      </c>
      <c r="C482" s="29" t="inlineStr">
        <is>
          <t>しゅくふく</t>
        </is>
      </c>
      <c r="D482" s="29" t="inlineStr">
        <is>
          <t>Célébration</t>
        </is>
      </c>
      <c r="E482" s="29" t="inlineStr">
        <is>
          <t>Jubilierer</t>
        </is>
      </c>
      <c r="F482" s="29" t="inlineStr">
        <is>
          <t>Festejo</t>
        </is>
      </c>
      <c r="G482" s="29" t="inlineStr">
        <is>
          <t>Festa</t>
        </is>
      </c>
      <c r="H482" s="29" t="inlineStr">
        <is>
          <t>축복</t>
        </is>
      </c>
      <c r="I482" s="29" t="inlineStr">
        <is>
          <t>祝福</t>
        </is>
      </c>
      <c r="J482" s="29">
        <f>I482</f>
        <v/>
      </c>
      <c r="K482" s="29">
        <f>F482</f>
        <v/>
      </c>
    </row>
    <row r="483">
      <c r="A483" s="29">
        <f>CONCATENATE("CATEGORY_",UPPER(Pokemon!B470))</f>
        <v/>
      </c>
      <c r="B483" s="29" t="inlineStr">
        <is>
          <t>Ogre Darner</t>
        </is>
      </c>
      <c r="C483" s="29" t="inlineStr">
        <is>
          <t>オニトンボ</t>
        </is>
      </c>
      <c r="D483" s="29" t="inlineStr">
        <is>
          <t>Libellogre</t>
        </is>
      </c>
      <c r="E483" s="29" t="inlineStr">
        <is>
          <t>Agrion</t>
        </is>
      </c>
      <c r="F483" s="29" t="inlineStr">
        <is>
          <t>Libélula</t>
        </is>
      </c>
      <c r="G483" s="29" t="inlineStr">
        <is>
          <t>Libellorco</t>
        </is>
      </c>
      <c r="H483" s="29" t="inlineStr">
        <is>
          <t>깨비잠자리</t>
        </is>
      </c>
      <c r="I483" s="29" t="inlineStr">
        <is>
          <t>勾蜓</t>
        </is>
      </c>
      <c r="J483" s="29">
        <f>I483</f>
        <v/>
      </c>
      <c r="K483" s="29">
        <f>F483</f>
        <v/>
      </c>
    </row>
    <row r="484">
      <c r="A484" s="29">
        <f>CONCATENATE("CATEGORY_",UPPER(Pokemon!B471))</f>
        <v/>
      </c>
      <c r="B484" s="29" t="inlineStr">
        <is>
          <t>Verdant</t>
        </is>
      </c>
      <c r="C484" s="29" t="inlineStr">
        <is>
          <t>しんりょく</t>
        </is>
      </c>
      <c r="D484" s="29" t="inlineStr">
        <is>
          <t>Verdoyant</t>
        </is>
      </c>
      <c r="E484" s="29" t="inlineStr">
        <is>
          <t>Unreif</t>
        </is>
      </c>
      <c r="F484" s="29" t="inlineStr">
        <is>
          <t>Verdor</t>
        </is>
      </c>
      <c r="G484" s="29" t="inlineStr">
        <is>
          <t>Rigoglioso</t>
        </is>
      </c>
      <c r="H484" s="29" t="inlineStr">
        <is>
          <t>심록</t>
        </is>
      </c>
      <c r="I484" s="29" t="inlineStr">
        <is>
          <t>新綠</t>
        </is>
      </c>
      <c r="J484" s="29">
        <f>IFERROR(__xludf.DUMMYFUNCTION("GOOGLETRANSLATE(I484, ""zh_HANT"",""zh_HANS"")"),"新绿")</f>
        <v/>
      </c>
      <c r="K484" s="29">
        <f>F484</f>
        <v/>
      </c>
    </row>
    <row r="485">
      <c r="A485" s="29">
        <f>CONCATENATE("CATEGORY_",UPPER(Pokemon!B472))</f>
        <v/>
      </c>
      <c r="B485" s="29" t="inlineStr">
        <is>
          <t>Fresh Snow</t>
        </is>
      </c>
      <c r="C485" s="29" t="inlineStr">
        <is>
          <t>しんせつ</t>
        </is>
      </c>
      <c r="D485" s="29" t="inlineStr">
        <is>
          <t>Poudreuse</t>
        </is>
      </c>
      <c r="E485" s="29" t="inlineStr">
        <is>
          <t>Neuschnee</t>
        </is>
      </c>
      <c r="F485" s="29" t="inlineStr">
        <is>
          <t>Nieve Fresca</t>
        </is>
      </c>
      <c r="G485" s="29" t="inlineStr">
        <is>
          <t>Nevefresca</t>
        </is>
      </c>
      <c r="H485" s="29" t="inlineStr">
        <is>
          <t>신설</t>
        </is>
      </c>
      <c r="I485" s="29" t="inlineStr">
        <is>
          <t>新雪</t>
        </is>
      </c>
      <c r="J485" s="29">
        <f>I485</f>
        <v/>
      </c>
      <c r="K485" s="29">
        <f>F485</f>
        <v/>
      </c>
    </row>
    <row r="486">
      <c r="A486" s="29">
        <f>CONCATENATE("CATEGORY_",UPPER(Pokemon!B473))</f>
        <v/>
      </c>
      <c r="B486" s="29" t="inlineStr">
        <is>
          <t>Fang Scorpion</t>
        </is>
      </c>
      <c r="C486" s="29" t="inlineStr">
        <is>
          <t>キバさそり</t>
        </is>
      </c>
      <c r="D486" s="29" t="inlineStr">
        <is>
          <t>Scorpiroc</t>
        </is>
      </c>
      <c r="E486" s="29" t="inlineStr">
        <is>
          <t>Zahnskorpi</t>
        </is>
      </c>
      <c r="F486" s="29" t="inlineStr">
        <is>
          <t>Colmicorpio</t>
        </is>
      </c>
      <c r="G486" s="29" t="inlineStr">
        <is>
          <t>Scorpidente</t>
        </is>
      </c>
      <c r="H486" s="29" t="inlineStr">
        <is>
          <t>송곳니전갈</t>
        </is>
      </c>
      <c r="I486" s="29" t="inlineStr">
        <is>
          <t>牙蠍</t>
        </is>
      </c>
      <c r="J486" s="29">
        <f>IFERROR(__xludf.DUMMYFUNCTION("GOOGLETRANSLATE(I486, ""zh_HANT"",""zh_HANS"")"),"牙蝎")</f>
        <v/>
      </c>
      <c r="K486" s="29">
        <f>F486</f>
        <v/>
      </c>
    </row>
    <row r="487">
      <c r="A487" s="29">
        <f>CONCATENATE("CATEGORY_",UPPER(Pokemon!B474))</f>
        <v/>
      </c>
      <c r="B487" s="29" t="inlineStr">
        <is>
          <t>Twin Tusk</t>
        </is>
      </c>
      <c r="C487" s="29" t="inlineStr">
        <is>
          <t>２ほんキバ</t>
        </is>
      </c>
      <c r="D487" s="29" t="inlineStr">
        <is>
          <t>Deudéfenses</t>
        </is>
      </c>
      <c r="E487" s="29" t="inlineStr">
        <is>
          <t>Doppelstoßzahn</t>
        </is>
      </c>
      <c r="F487" s="29" t="inlineStr">
        <is>
          <t>Doscolmillos</t>
        </is>
      </c>
      <c r="G487" s="29" t="inlineStr">
        <is>
          <t>Duezanne</t>
        </is>
      </c>
      <c r="H487" s="29" t="inlineStr">
        <is>
          <t>２개송곳니</t>
        </is>
      </c>
      <c r="I487" s="29" t="inlineStr">
        <is>
          <t>雙牙</t>
        </is>
      </c>
      <c r="J487" s="29">
        <f>IFERROR(__xludf.DUMMYFUNCTION("GOOGLETRANSLATE(I487, ""zh_HANT"",""zh_HANS"")"),"双牙")</f>
        <v/>
      </c>
      <c r="K487" s="29">
        <f>F487</f>
        <v/>
      </c>
    </row>
    <row r="488">
      <c r="A488" s="29" t="inlineStr">
        <is>
          <t>CATEGORY_PORYGONZ</t>
        </is>
      </c>
      <c r="B488" s="29">
        <f>B144</f>
        <v/>
      </c>
      <c r="C488" s="29">
        <f>C144</f>
        <v/>
      </c>
      <c r="D488" s="29">
        <f>D144</f>
        <v/>
      </c>
      <c r="E488" s="29">
        <f>E144</f>
        <v/>
      </c>
      <c r="F488" s="29">
        <f>F144</f>
        <v/>
      </c>
      <c r="G488" s="29">
        <f>G144</f>
        <v/>
      </c>
      <c r="H488" s="29">
        <f>H144</f>
        <v/>
      </c>
      <c r="I488" s="29">
        <f>I144</f>
        <v/>
      </c>
      <c r="J488" s="29">
        <f>J144</f>
        <v/>
      </c>
      <c r="K488" s="29">
        <f>F488</f>
        <v/>
      </c>
    </row>
    <row r="489">
      <c r="A489" s="29">
        <f>CONCATENATE("CATEGORY_",UPPER(Pokemon!B476))</f>
        <v/>
      </c>
      <c r="B489" s="29" t="inlineStr">
        <is>
          <t>Blade</t>
        </is>
      </c>
      <c r="C489" s="29" t="inlineStr">
        <is>
          <t>やいば</t>
        </is>
      </c>
      <c r="D489" s="29" t="inlineStr">
        <is>
          <t>Lame</t>
        </is>
      </c>
      <c r="E489" s="29" t="inlineStr">
        <is>
          <t>Klinge</t>
        </is>
      </c>
      <c r="F489" s="29" t="inlineStr">
        <is>
          <t>Cuchilla</t>
        </is>
      </c>
      <c r="G489" s="29" t="inlineStr">
        <is>
          <t>Lama</t>
        </is>
      </c>
      <c r="H489" s="29" t="inlineStr">
        <is>
          <t>검</t>
        </is>
      </c>
      <c r="I489" s="29" t="inlineStr">
        <is>
          <t>利刃</t>
        </is>
      </c>
      <c r="J489" s="29">
        <f>J145</f>
        <v/>
      </c>
      <c r="K489" s="29">
        <f>F489</f>
        <v/>
      </c>
    </row>
    <row r="490">
      <c r="A490" s="29">
        <f>CONCATENATE("CATEGORY_",UPPER(Pokemon!B477))</f>
        <v/>
      </c>
      <c r="B490" s="29">
        <f>B313</f>
        <v/>
      </c>
      <c r="C490" s="29">
        <f>C313</f>
        <v/>
      </c>
      <c r="D490" s="29">
        <f>D313</f>
        <v/>
      </c>
      <c r="E490" s="29">
        <f>E313</f>
        <v/>
      </c>
      <c r="F490" s="29">
        <f>F313</f>
        <v/>
      </c>
      <c r="G490" s="29">
        <f>G313</f>
        <v/>
      </c>
      <c r="H490" s="29">
        <f>H313</f>
        <v/>
      </c>
      <c r="I490" s="29">
        <f>I313</f>
        <v/>
      </c>
      <c r="J490" s="29">
        <f>J313</f>
        <v/>
      </c>
      <c r="K490" s="29">
        <f>F490</f>
        <v/>
      </c>
    </row>
    <row r="491">
      <c r="A491" s="29">
        <f>CONCATENATE("CATEGORY_",UPPER(Pokemon!B478))</f>
        <v/>
      </c>
      <c r="B491" s="29" t="inlineStr">
        <is>
          <t>Gripper</t>
        </is>
      </c>
      <c r="C491" s="29" t="inlineStr">
        <is>
          <t>てづかみ</t>
        </is>
      </c>
      <c r="D491" s="29" t="inlineStr">
        <is>
          <t>Mainpince</t>
        </is>
      </c>
      <c r="E491" s="29" t="inlineStr">
        <is>
          <t>Greifer</t>
        </is>
      </c>
      <c r="F491" s="29" t="inlineStr">
        <is>
          <t>Grilletes</t>
        </is>
      </c>
      <c r="G491" s="29" t="inlineStr">
        <is>
          <t>Pinza</t>
        </is>
      </c>
      <c r="H491" s="29" t="inlineStr">
        <is>
          <t>움켜쥠</t>
        </is>
      </c>
      <c r="I491" s="29" t="inlineStr">
        <is>
          <t>抓握</t>
        </is>
      </c>
      <c r="J491" s="29">
        <f>I491</f>
        <v/>
      </c>
      <c r="K491" s="29">
        <f>F491</f>
        <v/>
      </c>
    </row>
    <row r="492">
      <c r="A492" s="29">
        <f>CONCATENATE("CATEGORY_",UPPER(Pokemon!B479))</f>
        <v/>
      </c>
      <c r="B492" s="29" t="inlineStr">
        <is>
          <t>Snow Land</t>
        </is>
      </c>
      <c r="C492" s="29" t="inlineStr">
        <is>
          <t>ゆきぐに</t>
        </is>
      </c>
      <c r="D492" s="29" t="inlineStr">
        <is>
          <t>Enneigement</t>
        </is>
      </c>
      <c r="E492" s="29" t="inlineStr">
        <is>
          <t>Schneegebiet</t>
        </is>
      </c>
      <c r="F492" s="29" t="inlineStr">
        <is>
          <t>Tierra Fría</t>
        </is>
      </c>
      <c r="G492" s="29" t="inlineStr">
        <is>
          <t>Suolnevoso</t>
        </is>
      </c>
      <c r="H492" s="29" t="inlineStr">
        <is>
          <t>설국</t>
        </is>
      </c>
      <c r="I492" s="29" t="inlineStr">
        <is>
          <t>雪國</t>
        </is>
      </c>
      <c r="J492" s="29">
        <f>IFERROR(__xludf.DUMMYFUNCTION("GOOGLETRANSLATE(I492, ""zh_HANT"",""zh_HANS"")"),"雪国")</f>
        <v/>
      </c>
      <c r="K492" s="29">
        <f>F492</f>
        <v/>
      </c>
    </row>
    <row r="493">
      <c r="A493" s="29">
        <f>CONCATENATE("CATEGORY_",UPPER(Pokemon!B480))</f>
        <v/>
      </c>
      <c r="B493" s="29" t="inlineStr">
        <is>
          <t>Plasma</t>
        </is>
      </c>
      <c r="C493" s="29" t="inlineStr">
        <is>
          <t>プラズマ</t>
        </is>
      </c>
      <c r="D493" s="29">
        <f>B493</f>
        <v/>
      </c>
      <c r="E493" s="29">
        <f>B493</f>
        <v/>
      </c>
      <c r="F493" s="29">
        <f>B493</f>
        <v/>
      </c>
      <c r="G493" s="29">
        <f>B493</f>
        <v/>
      </c>
      <c r="H493" s="29" t="inlineStr">
        <is>
          <t>플라스마</t>
        </is>
      </c>
      <c r="I493" s="29" t="inlineStr">
        <is>
          <t>等離子</t>
        </is>
      </c>
      <c r="J493" s="29">
        <f>IFERROR(__xludf.DUMMYFUNCTION("GOOGLETRANSLATE(I493, ""zh_HANT"",""zh_HANS"")"),"等离子")</f>
        <v/>
      </c>
      <c r="K493" s="29">
        <f>F493</f>
        <v/>
      </c>
    </row>
    <row r="494">
      <c r="A494" s="29">
        <f>CONCATENATE("CATEGORY_",UPPER(Pokemon!B481))</f>
        <v/>
      </c>
      <c r="B494" s="29" t="inlineStr">
        <is>
          <t>Knowledge</t>
        </is>
      </c>
      <c r="C494" s="29" t="inlineStr">
        <is>
          <t>ちしき</t>
        </is>
      </c>
      <c r="D494" s="29" t="inlineStr">
        <is>
          <t>Savoir</t>
        </is>
      </c>
      <c r="E494" s="29" t="inlineStr">
        <is>
          <t>Wissen</t>
        </is>
      </c>
      <c r="F494" s="29" t="inlineStr">
        <is>
          <t>Sabiduría</t>
        </is>
      </c>
      <c r="G494" s="29" t="inlineStr">
        <is>
          <t>Sapienza</t>
        </is>
      </c>
      <c r="H494" s="29" t="inlineStr">
        <is>
          <t>지식</t>
        </is>
      </c>
      <c r="I494" s="29" t="inlineStr">
        <is>
          <t>知識</t>
        </is>
      </c>
      <c r="J494" s="29">
        <f>IFERROR(__xludf.DUMMYFUNCTION("GOOGLETRANSLATE(I494, ""zh_HANT"",""zh_HANS"")"),"知识")</f>
        <v/>
      </c>
      <c r="K494" s="29">
        <f>F494</f>
        <v/>
      </c>
    </row>
    <row r="495">
      <c r="A495" s="29">
        <f>CONCATENATE("CATEGORY_",UPPER(Pokemon!B482))</f>
        <v/>
      </c>
      <c r="B495" s="29">
        <f>B295</f>
        <v/>
      </c>
      <c r="C495" s="29">
        <f>C295</f>
        <v/>
      </c>
      <c r="D495" s="29">
        <f>D295</f>
        <v/>
      </c>
      <c r="E495" s="29">
        <f>E295</f>
        <v/>
      </c>
      <c r="F495" s="29">
        <f>F295</f>
        <v/>
      </c>
      <c r="G495" s="29">
        <f>G295</f>
        <v/>
      </c>
      <c r="H495" s="29">
        <f>H295</f>
        <v/>
      </c>
      <c r="I495" s="29">
        <f>I295</f>
        <v/>
      </c>
      <c r="J495" s="29">
        <f>J295</f>
        <v/>
      </c>
      <c r="K495" s="29">
        <f>F495</f>
        <v/>
      </c>
    </row>
    <row r="496">
      <c r="A496" s="29">
        <f>CONCATENATE("CATEGORY_",UPPER(Pokemon!B483))</f>
        <v/>
      </c>
      <c r="B496" s="29" t="inlineStr">
        <is>
          <t>Willpower</t>
        </is>
      </c>
      <c r="C496" s="29" t="inlineStr">
        <is>
          <t>いし</t>
        </is>
      </c>
      <c r="D496" s="29" t="inlineStr">
        <is>
          <t>Volonté</t>
        </is>
      </c>
      <c r="E496" s="29" t="inlineStr">
        <is>
          <t>Willenskraft</t>
        </is>
      </c>
      <c r="F496" s="29" t="inlineStr">
        <is>
          <t>Voluntad</t>
        </is>
      </c>
      <c r="G496" s="29" t="inlineStr">
        <is>
          <t>Volontà</t>
        </is>
      </c>
      <c r="H496" s="29" t="inlineStr">
        <is>
          <t>의지</t>
        </is>
      </c>
      <c r="I496" s="29" t="inlineStr">
        <is>
          <t>意志</t>
        </is>
      </c>
      <c r="J496" s="29">
        <f>I496</f>
        <v/>
      </c>
      <c r="K496" s="29">
        <f>F496</f>
        <v/>
      </c>
    </row>
    <row r="497">
      <c r="A497" s="29">
        <f>CONCATENATE("CATEGORY_",UPPER(Pokemon!B484))</f>
        <v/>
      </c>
      <c r="B497" s="29" t="inlineStr">
        <is>
          <t>Temporal</t>
        </is>
      </c>
      <c r="C497" s="29" t="inlineStr">
        <is>
          <t>じかん</t>
        </is>
      </c>
      <c r="D497" s="29" t="inlineStr">
        <is>
          <t>Temps</t>
        </is>
      </c>
      <c r="E497" s="29" t="inlineStr">
        <is>
          <t>Zeitweilig</t>
        </is>
      </c>
      <c r="F497" s="29">
        <f>B497</f>
        <v/>
      </c>
      <c r="G497" s="29" t="inlineStr">
        <is>
          <t>Tempo</t>
        </is>
      </c>
      <c r="H497" s="29" t="inlineStr">
        <is>
          <t>시간</t>
        </is>
      </c>
      <c r="I497" s="29" t="inlineStr">
        <is>
          <t>時間</t>
        </is>
      </c>
      <c r="J497" s="29">
        <f>IFERROR(__xludf.DUMMYFUNCTION("GOOGLETRANSLATE(I497, ""zh_HANT"",""zh_HANS"")"),"时间")</f>
        <v/>
      </c>
      <c r="K497" s="29">
        <f>F497</f>
        <v/>
      </c>
    </row>
    <row r="498">
      <c r="A498" s="29">
        <f>CONCATENATE("CATEGORY_",UPPER(Pokemon!B485))</f>
        <v/>
      </c>
      <c r="B498" s="29" t="inlineStr">
        <is>
          <t>Spatial</t>
        </is>
      </c>
      <c r="C498" s="29" t="inlineStr">
        <is>
          <t>くうかん</t>
        </is>
      </c>
      <c r="D498" s="29" t="inlineStr">
        <is>
          <t>Espace</t>
        </is>
      </c>
      <c r="E498" s="29" t="inlineStr">
        <is>
          <t>Räumlich</t>
        </is>
      </c>
      <c r="F498" s="29" t="inlineStr">
        <is>
          <t>Espacial</t>
        </is>
      </c>
      <c r="G498" s="29" t="inlineStr">
        <is>
          <t>Spazio</t>
        </is>
      </c>
      <c r="H498" s="29" t="inlineStr">
        <is>
          <t>공간</t>
        </is>
      </c>
      <c r="I498" s="29" t="inlineStr">
        <is>
          <t>空間</t>
        </is>
      </c>
      <c r="J498" s="29">
        <f>IFERROR(__xludf.DUMMYFUNCTION("GOOGLETRANSLATE(I498, ""zh_HANT"",""zh_HANS"")"),"空间")</f>
        <v/>
      </c>
      <c r="K498" s="29">
        <f>F498</f>
        <v/>
      </c>
    </row>
    <row r="499">
      <c r="A499" s="29">
        <f>CONCATENATE("CATEGORY_",UPPER(Pokemon!B486))</f>
        <v/>
      </c>
      <c r="B499" s="29" t="inlineStr">
        <is>
          <t>Lava Dome</t>
        </is>
      </c>
      <c r="C499" s="29" t="inlineStr">
        <is>
          <t>かこう</t>
        </is>
      </c>
      <c r="D499" s="29" t="inlineStr">
        <is>
          <t>Caldeira</t>
        </is>
      </c>
      <c r="E499" s="29" t="inlineStr">
        <is>
          <t>Lavadom</t>
        </is>
      </c>
      <c r="F499" s="29" t="inlineStr">
        <is>
          <t>Domo Lava</t>
        </is>
      </c>
      <c r="G499" s="29" t="inlineStr">
        <is>
          <t>Cratere</t>
        </is>
      </c>
      <c r="H499" s="29" t="inlineStr">
        <is>
          <t>화구</t>
        </is>
      </c>
      <c r="I499" s="29" t="inlineStr">
        <is>
          <t>火山口</t>
        </is>
      </c>
      <c r="J499" s="29">
        <f>I499</f>
        <v/>
      </c>
      <c r="K499" s="29">
        <f>F499</f>
        <v/>
      </c>
    </row>
    <row r="500">
      <c r="A500" s="29">
        <f>CONCATENATE("CATEGORY_",UPPER(Pokemon!B487))</f>
        <v/>
      </c>
      <c r="B500" s="29" t="inlineStr">
        <is>
          <t>Colossal</t>
        </is>
      </c>
      <c r="C500" s="29" t="inlineStr">
        <is>
          <t>きょだい</t>
        </is>
      </c>
      <c r="D500" s="29" t="inlineStr">
        <is>
          <t>Prodigieux</t>
        </is>
      </c>
      <c r="E500" s="29" t="inlineStr">
        <is>
          <t>Kolossal</t>
        </is>
      </c>
      <c r="F500" s="29" t="inlineStr">
        <is>
          <t>Colosal</t>
        </is>
      </c>
      <c r="G500" s="29">
        <f>CONCATENATE(B500,"e")</f>
        <v/>
      </c>
      <c r="H500" s="29" t="inlineStr">
        <is>
          <t>거대</t>
        </is>
      </c>
      <c r="I500" s="29" t="inlineStr">
        <is>
          <t>巨大</t>
        </is>
      </c>
      <c r="J500" s="29">
        <f>I500</f>
        <v/>
      </c>
      <c r="K500" s="29">
        <f>F500</f>
        <v/>
      </c>
    </row>
    <row r="501">
      <c r="A501" s="29">
        <f>CONCATENATE("CATEGORY_",UPPER(Pokemon!B488))</f>
        <v/>
      </c>
      <c r="B501" s="29" t="inlineStr">
        <is>
          <t>Renegade</t>
        </is>
      </c>
      <c r="C501" s="29" t="inlineStr">
        <is>
          <t>はんこつ</t>
        </is>
      </c>
      <c r="D501" s="29" t="inlineStr">
        <is>
          <t>Renégat</t>
        </is>
      </c>
      <c r="E501" s="29" t="inlineStr">
        <is>
          <t>Rebell</t>
        </is>
      </c>
      <c r="F501" s="29" t="inlineStr">
        <is>
          <t>Renegado</t>
        </is>
      </c>
      <c r="G501" s="29" t="inlineStr">
        <is>
          <t>Ribelle</t>
        </is>
      </c>
      <c r="H501" s="29" t="inlineStr">
        <is>
          <t>반골</t>
        </is>
      </c>
      <c r="I501" s="29" t="inlineStr">
        <is>
          <t>反抗</t>
        </is>
      </c>
      <c r="J501" s="29">
        <f>I501</f>
        <v/>
      </c>
      <c r="K501" s="29">
        <f>F501</f>
        <v/>
      </c>
    </row>
    <row r="502">
      <c r="A502" s="29">
        <f>CONCATENATE("CATEGORY_",UPPER(Pokemon!B489))</f>
        <v/>
      </c>
      <c r="B502" s="29" t="inlineStr">
        <is>
          <t>Lunar</t>
        </is>
      </c>
      <c r="C502" s="29" t="inlineStr">
        <is>
          <t>みかづき</t>
        </is>
      </c>
      <c r="D502" s="29" t="inlineStr">
        <is>
          <t>Lunaire</t>
        </is>
      </c>
      <c r="E502" s="29">
        <f>B502</f>
        <v/>
      </c>
      <c r="F502" s="29">
        <f>B502</f>
        <v/>
      </c>
      <c r="G502" s="29" t="inlineStr">
        <is>
          <t>Falcato</t>
        </is>
      </c>
      <c r="H502" s="29" t="inlineStr">
        <is>
          <t>초승달</t>
        </is>
      </c>
      <c r="I502" s="29" t="inlineStr">
        <is>
          <t>新月</t>
        </is>
      </c>
      <c r="J502" s="29">
        <f>I502</f>
        <v/>
      </c>
      <c r="K502" s="29">
        <f>F502</f>
        <v/>
      </c>
    </row>
    <row r="503">
      <c r="A503" s="29">
        <f>CONCATENATE("CATEGORY_",UPPER(Pokemon!B490))</f>
        <v/>
      </c>
      <c r="B503" s="29" t="inlineStr">
        <is>
          <t>Sea Drifter</t>
        </is>
      </c>
      <c r="C503" s="29" t="inlineStr">
        <is>
          <t>かいよう</t>
        </is>
      </c>
      <c r="D503" s="29" t="inlineStr">
        <is>
          <t>Dérivenmer</t>
        </is>
      </c>
      <c r="E503" s="29" t="inlineStr">
        <is>
          <t>Seedrift</t>
        </is>
      </c>
      <c r="F503" s="29" t="inlineStr">
        <is>
          <t>Oceanbondo</t>
        </is>
      </c>
      <c r="G503" s="29" t="inlineStr">
        <is>
          <t>Marino</t>
        </is>
      </c>
      <c r="H503" s="29" t="inlineStr">
        <is>
          <t>해양</t>
        </is>
      </c>
      <c r="I503" s="29" t="inlineStr">
        <is>
          <t>海洋</t>
        </is>
      </c>
      <c r="J503" s="29">
        <f>I503</f>
        <v/>
      </c>
      <c r="K503" s="29">
        <f>F503</f>
        <v/>
      </c>
    </row>
    <row r="504">
      <c r="A504" s="29">
        <f>CONCATENATE("CATEGORY_",UPPER(Pokemon!B491))</f>
        <v/>
      </c>
      <c r="B504" s="29" t="inlineStr">
        <is>
          <t>Seafaring</t>
        </is>
      </c>
      <c r="C504" s="29" t="inlineStr">
        <is>
          <t>かいゆう</t>
        </is>
      </c>
      <c r="D504" s="29" t="inlineStr">
        <is>
          <t>Voyagenmer</t>
        </is>
      </c>
      <c r="E504" s="29" t="inlineStr">
        <is>
          <t>Seefahrer</t>
        </is>
      </c>
      <c r="F504" s="29" t="inlineStr">
        <is>
          <t>Oceandante</t>
        </is>
      </c>
      <c r="G504" s="29" t="inlineStr">
        <is>
          <t>Náutico</t>
        </is>
      </c>
      <c r="H504" s="29" t="inlineStr">
        <is>
          <t>회유</t>
        </is>
      </c>
      <c r="I504" s="29" t="inlineStr">
        <is>
          <t>洄游</t>
        </is>
      </c>
      <c r="J504" s="29">
        <f>IFERROR(__xludf.DUMMYFUNCTION("GOOGLETRANSLATE(I504, ""zh_HANT"",""zh_HANS"")"),"洄游")</f>
        <v/>
      </c>
      <c r="K504" s="29">
        <f>F504</f>
        <v/>
      </c>
    </row>
    <row r="505">
      <c r="A505" s="29">
        <f>CONCATENATE("CATEGORY_",UPPER(Pokemon!B492))</f>
        <v/>
      </c>
      <c r="B505" s="29" t="inlineStr">
        <is>
          <t>Pitch-Black</t>
        </is>
      </c>
      <c r="C505" s="29" t="inlineStr">
        <is>
          <t>あんこく</t>
        </is>
      </c>
      <c r="D505" s="29" t="inlineStr">
        <is>
          <t>Noirtotal</t>
        </is>
      </c>
      <c r="E505" s="29" t="inlineStr">
        <is>
          <t>Dunkelnacht</t>
        </is>
      </c>
      <c r="F505" s="29" t="inlineStr">
        <is>
          <t>Neropesto</t>
        </is>
      </c>
      <c r="G505" s="29" t="inlineStr">
        <is>
          <t>Oscuridad</t>
        </is>
      </c>
      <c r="H505" s="29" t="inlineStr">
        <is>
          <t>암흑</t>
        </is>
      </c>
      <c r="I505" s="29" t="inlineStr">
        <is>
          <t>暗黑</t>
        </is>
      </c>
      <c r="J505" s="29">
        <f>I505</f>
        <v/>
      </c>
      <c r="K505" s="29">
        <f>F505</f>
        <v/>
      </c>
    </row>
    <row r="506">
      <c r="A506" s="29">
        <f>CONCATENATE(A505,"-M")</f>
        <v/>
      </c>
      <c r="B506" s="29">
        <f>Abilities!B124</f>
        <v/>
      </c>
      <c r="C506" s="29">
        <f>Abilities!C124</f>
        <v/>
      </c>
      <c r="D506" s="29" t="inlineStr">
        <is>
          <t>Cauchemar</t>
        </is>
      </c>
      <c r="E506" s="29">
        <f>Abilities!E124</f>
        <v/>
      </c>
      <c r="F506" s="29">
        <f>Abilities!F124</f>
        <v/>
      </c>
      <c r="G506" s="29" t="inlineStr">
        <is>
          <t>Incubo</t>
        </is>
      </c>
      <c r="H506" s="29">
        <f>Abilities!H124</f>
        <v/>
      </c>
      <c r="I506" s="29">
        <f>Abilities!I124</f>
        <v/>
      </c>
      <c r="J506" s="29">
        <f>Abilities!J124</f>
        <v/>
      </c>
      <c r="K506" s="29">
        <f>F506</f>
        <v/>
      </c>
    </row>
    <row r="507">
      <c r="A507" s="29">
        <f>CONCATENATE("CATEGORY_",UPPER(Pokemon!B493))</f>
        <v/>
      </c>
      <c r="B507" s="29">
        <f>CONCATENATE(F507,"e")</f>
        <v/>
      </c>
      <c r="C507" s="29" t="inlineStr">
        <is>
          <t>かんしゃ</t>
        </is>
      </c>
      <c r="D507" s="29">
        <f>B507</f>
        <v/>
      </c>
      <c r="E507" s="29" t="inlineStr">
        <is>
          <t>Dankbarkeit</t>
        </is>
      </c>
      <c r="F507" s="29" t="inlineStr">
        <is>
          <t>Graditud</t>
        </is>
      </c>
      <c r="G507" s="29">
        <f>CONCATENATE(F507,"ine")</f>
        <v/>
      </c>
      <c r="H507" s="29" t="inlineStr">
        <is>
          <t>감사</t>
        </is>
      </c>
      <c r="I507" s="29" t="inlineStr">
        <is>
          <t>感謝</t>
        </is>
      </c>
      <c r="J507" s="29">
        <f>IFERROR(__xludf.DUMMYFUNCTION("GOOGLETRANSLATE(I507, ""zh_HANT"",""zh_HANS"")"),"感谢")</f>
        <v/>
      </c>
      <c r="K507" s="29">
        <f>F507</f>
        <v/>
      </c>
    </row>
    <row r="508">
      <c r="A508" s="29">
        <f>CONCATENATE("CATEGORY_",UPPER(Pokemon!B494))</f>
        <v/>
      </c>
      <c r="B508" s="29" t="inlineStr">
        <is>
          <t>Alpha</t>
        </is>
      </c>
      <c r="C508" s="29" t="inlineStr">
        <is>
          <t>そうぞう</t>
        </is>
      </c>
      <c r="D508" s="29">
        <f>B508</f>
        <v/>
      </c>
      <c r="E508" s="29">
        <f>B508</f>
        <v/>
      </c>
      <c r="F508" s="29" t="inlineStr">
        <is>
          <t>Alfa</t>
        </is>
      </c>
      <c r="G508" s="29" t="inlineStr">
        <is>
          <t>Primevo</t>
        </is>
      </c>
      <c r="H508" s="29" t="inlineStr">
        <is>
          <t>창조</t>
        </is>
      </c>
      <c r="I508" s="29" t="inlineStr">
        <is>
          <t>創造</t>
        </is>
      </c>
      <c r="J508" s="29">
        <f>IFERROR(__xludf.DUMMYFUNCTION("GOOGLETRANSLATE(I508, ""zh_HANT"",""zh_HANS"")"),"创造")</f>
        <v/>
      </c>
      <c r="K508" s="29">
        <f>F508</f>
        <v/>
      </c>
    </row>
    <row r="509">
      <c r="A509" s="29">
        <f>CONCATENATE("CATEGORY_",UPPER(Pokemon!B495))</f>
        <v/>
      </c>
      <c r="B509" s="29" t="inlineStr">
        <is>
          <t>Victory</t>
        </is>
      </c>
      <c r="C509" s="29" t="inlineStr">
        <is>
          <t>しょうり</t>
        </is>
      </c>
      <c r="D509" s="29" t="inlineStr">
        <is>
          <t>Victoire</t>
        </is>
      </c>
      <c r="E509" s="29" t="inlineStr">
        <is>
          <t>Triumph</t>
        </is>
      </c>
      <c r="F509" s="29" t="inlineStr">
        <is>
          <t>Victoria</t>
        </is>
      </c>
      <c r="G509" s="29" t="inlineStr">
        <is>
          <t>Vittoria</t>
        </is>
      </c>
      <c r="H509" s="29" t="inlineStr">
        <is>
          <t>승리</t>
        </is>
      </c>
      <c r="I509" s="29" t="inlineStr">
        <is>
          <t>勝利</t>
        </is>
      </c>
      <c r="J509" s="29">
        <f>IFERROR(__xludf.DUMMYFUNCTION("GOOGLETRANSLATE(I509, ""zh_HANT"",""zh_HANS"")"),"胜利")</f>
        <v/>
      </c>
      <c r="K509" s="29">
        <f>F509</f>
        <v/>
      </c>
    </row>
    <row r="510">
      <c r="A510" s="29">
        <f>CONCATENATE("CATEGORY_",UPPER(Pokemon!B496))</f>
        <v/>
      </c>
      <c r="B510" s="29" t="inlineStr">
        <is>
          <t>Grass Snake</t>
        </is>
      </c>
      <c r="C510" s="29" t="inlineStr">
        <is>
          <t>くさへび</t>
        </is>
      </c>
      <c r="D510" s="29" t="inlineStr">
        <is>
          <t>Serpenterbe</t>
        </is>
      </c>
      <c r="E510" s="29" t="inlineStr">
        <is>
          <t>Grasschlange</t>
        </is>
      </c>
      <c r="F510" s="29" t="inlineStr">
        <is>
          <t>Serp. Hierba</t>
        </is>
      </c>
      <c r="G510" s="29" t="inlineStr">
        <is>
          <t>Serperba</t>
        </is>
      </c>
      <c r="H510" s="29" t="inlineStr">
        <is>
          <t>풀뱀</t>
        </is>
      </c>
      <c r="I510" s="29" t="inlineStr">
        <is>
          <t>草蛇</t>
        </is>
      </c>
      <c r="J510" s="29">
        <f>I510</f>
        <v/>
      </c>
      <c r="K510" s="29">
        <f>F510</f>
        <v/>
      </c>
    </row>
    <row r="511">
      <c r="A511" s="29">
        <f>CONCATENATE("CATEGORY_",UPPER(Pokemon!B497))</f>
        <v/>
      </c>
      <c r="B511" s="29">
        <f>B510</f>
        <v/>
      </c>
      <c r="C511" s="29">
        <f>C510</f>
        <v/>
      </c>
      <c r="D511" s="29">
        <f>D510</f>
        <v/>
      </c>
      <c r="E511" s="29">
        <f>E510</f>
        <v/>
      </c>
      <c r="F511" s="29">
        <f>F510</f>
        <v/>
      </c>
      <c r="G511" s="29">
        <f>G510</f>
        <v/>
      </c>
      <c r="H511" s="29">
        <f>H510</f>
        <v/>
      </c>
      <c r="I511" s="29">
        <f>I510</f>
        <v/>
      </c>
      <c r="J511" s="29">
        <f>J510</f>
        <v/>
      </c>
      <c r="K511" s="29">
        <f>F511</f>
        <v/>
      </c>
    </row>
    <row r="512">
      <c r="A512" s="29">
        <f>CONCATENATE("CATEGORY_",UPPER(Pokemon!B498))</f>
        <v/>
      </c>
      <c r="B512" s="29" t="inlineStr">
        <is>
          <t>Regal</t>
        </is>
      </c>
      <c r="C512" s="29" t="inlineStr">
        <is>
          <t>ロイヤル</t>
        </is>
      </c>
      <c r="D512" s="29" t="inlineStr">
        <is>
          <t>Majestueux</t>
        </is>
      </c>
      <c r="E512" s="29" t="inlineStr">
        <is>
          <t>Hoheit</t>
        </is>
      </c>
      <c r="F512" s="29" t="inlineStr">
        <is>
          <t>Realeza</t>
        </is>
      </c>
      <c r="G512" s="29">
        <f>CONCATENATE(B512,"e")</f>
        <v/>
      </c>
      <c r="H512" s="29" t="inlineStr">
        <is>
          <t>로열</t>
        </is>
      </c>
      <c r="I512" s="29" t="inlineStr">
        <is>
          <t>皇家</t>
        </is>
      </c>
      <c r="J512" s="29">
        <f>I512</f>
        <v/>
      </c>
      <c r="K512" s="29">
        <f>F512</f>
        <v/>
      </c>
    </row>
    <row r="513">
      <c r="A513" s="29">
        <f>CONCATENATE("CATEGORY_",UPPER(Pokemon!B499))</f>
        <v/>
      </c>
      <c r="B513" s="29" t="inlineStr">
        <is>
          <t>Fire Pig</t>
        </is>
      </c>
      <c r="C513" s="29" t="inlineStr">
        <is>
          <t>ひぶた</t>
        </is>
      </c>
      <c r="D513" s="29" t="inlineStr">
        <is>
          <t>Cochon Feu</t>
        </is>
      </c>
      <c r="E513" s="29" t="inlineStr">
        <is>
          <t>Feuerferkel</t>
        </is>
      </c>
      <c r="F513" s="29" t="inlineStr">
        <is>
          <t>Cerdo Fuego</t>
        </is>
      </c>
      <c r="G513" s="29" t="inlineStr">
        <is>
          <t>Suinfuoco</t>
        </is>
      </c>
      <c r="H513" s="29" t="inlineStr">
        <is>
          <t>불돼지</t>
        </is>
      </c>
      <c r="I513" s="29" t="inlineStr">
        <is>
          <t>火豬</t>
        </is>
      </c>
      <c r="J513" s="29">
        <f>IFERROR(__xludf.DUMMYFUNCTION("GOOGLETRANSLATE(I513, ""zh_HANT"",""zh_HANS"")"),"火猪")</f>
        <v/>
      </c>
      <c r="K513" s="29">
        <f>F513</f>
        <v/>
      </c>
    </row>
    <row r="514">
      <c r="A514" s="29">
        <f>CONCATENATE("CATEGORY_",UPPER(Pokemon!B500))</f>
        <v/>
      </c>
      <c r="B514" s="29">
        <f>B513</f>
        <v/>
      </c>
      <c r="C514" s="29">
        <f>C513</f>
        <v/>
      </c>
      <c r="D514" s="29">
        <f>D513</f>
        <v/>
      </c>
      <c r="E514" s="29">
        <f>E513</f>
        <v/>
      </c>
      <c r="F514" s="29">
        <f>F513</f>
        <v/>
      </c>
      <c r="G514" s="29">
        <f>G513</f>
        <v/>
      </c>
      <c r="H514" s="29">
        <f>H513</f>
        <v/>
      </c>
      <c r="I514" s="29">
        <f>I513</f>
        <v/>
      </c>
      <c r="J514" s="29">
        <f>J513</f>
        <v/>
      </c>
      <c r="K514" s="29">
        <f>F514</f>
        <v/>
      </c>
    </row>
    <row r="515">
      <c r="A515" s="29">
        <f>CONCATENATE("CATEGORY_",UPPER(Pokemon!B501))</f>
        <v/>
      </c>
      <c r="B515" s="29" t="inlineStr">
        <is>
          <t>Mega Fire Pig</t>
        </is>
      </c>
      <c r="C515" s="29" t="inlineStr">
        <is>
          <t>おおひぶた</t>
        </is>
      </c>
      <c r="D515" s="29" t="inlineStr">
        <is>
          <t>Grochon Feu</t>
        </is>
      </c>
      <c r="E515" s="29" t="inlineStr">
        <is>
          <t>Feuerschwein</t>
        </is>
      </c>
      <c r="F515" s="29" t="inlineStr">
        <is>
          <t>Cerdo Ígneo</t>
        </is>
      </c>
      <c r="G515" s="29" t="inlineStr">
        <is>
          <t>Suincendio</t>
        </is>
      </c>
      <c r="H515" s="29" t="inlineStr">
        <is>
          <t>큰불돼지</t>
        </is>
      </c>
      <c r="I515" s="29" t="inlineStr">
        <is>
          <t>大火豬</t>
        </is>
      </c>
      <c r="J515" s="29">
        <f>IFERROR(__xludf.DUMMYFUNCTION("GOOGLETRANSLATE(I515, ""zh_HANT"",""zh_HANS"")"),"大火猪")</f>
        <v/>
      </c>
      <c r="K515" s="29">
        <f>F515</f>
        <v/>
      </c>
    </row>
    <row r="516">
      <c r="A516" s="29">
        <f>CONCATENATE("CATEGORY_",UPPER(Pokemon!B502))</f>
        <v/>
      </c>
      <c r="B516" s="29" t="inlineStr">
        <is>
          <t>Sea Otter</t>
        </is>
      </c>
      <c r="C516" s="29" t="inlineStr">
        <is>
          <t>ラッコ</t>
        </is>
      </c>
      <c r="D516" s="29" t="inlineStr">
        <is>
          <t>Loutre</t>
        </is>
      </c>
      <c r="E516" s="29" t="inlineStr">
        <is>
          <t>Otter</t>
        </is>
      </c>
      <c r="F516" s="29" t="inlineStr">
        <is>
          <t>Nutria</t>
        </is>
      </c>
      <c r="G516" s="29" t="inlineStr">
        <is>
          <t>Lontra</t>
        </is>
      </c>
      <c r="H516" s="29" t="inlineStr">
        <is>
          <t>해달</t>
        </is>
      </c>
      <c r="I516" s="29" t="inlineStr">
        <is>
          <t>海獺</t>
        </is>
      </c>
      <c r="J516" s="29">
        <f>IFERROR(__xludf.DUMMYFUNCTION("GOOGLETRANSLATE(I516, ""zh_HANT"",""zh_HANS"")"),"海獭")</f>
        <v/>
      </c>
      <c r="K516" s="29">
        <f>F516</f>
        <v/>
      </c>
    </row>
    <row r="517">
      <c r="A517" s="29">
        <f>CONCATENATE("CATEGORY_",UPPER(Pokemon!B503))</f>
        <v/>
      </c>
      <c r="B517" s="29" t="inlineStr">
        <is>
          <t>Discipline</t>
        </is>
      </c>
      <c r="C517" s="29" t="inlineStr">
        <is>
          <t>しゅぎょう</t>
        </is>
      </c>
      <c r="D517" s="29" t="inlineStr">
        <is>
          <t>Entraînement</t>
        </is>
      </c>
      <c r="E517" s="29" t="inlineStr">
        <is>
          <t>Schulung</t>
        </is>
      </c>
      <c r="F517" s="29" t="inlineStr">
        <is>
          <t>Superación</t>
        </is>
      </c>
      <c r="G517" s="29" t="inlineStr">
        <is>
          <t>Apprendista</t>
        </is>
      </c>
      <c r="H517" s="29" t="inlineStr">
        <is>
          <t>수행</t>
        </is>
      </c>
      <c r="I517" s="29" t="inlineStr">
        <is>
          <t>修行</t>
        </is>
      </c>
      <c r="J517" s="29">
        <f>I517</f>
        <v/>
      </c>
      <c r="K517" s="29">
        <f>F517</f>
        <v/>
      </c>
    </row>
    <row r="518">
      <c r="A518" s="29">
        <f>CONCATENATE("CATEGORY_",UPPER(Pokemon!B504))</f>
        <v/>
      </c>
      <c r="B518" s="29" t="inlineStr">
        <is>
          <t>Formidable</t>
        </is>
      </c>
      <c r="C518" s="29" t="inlineStr">
        <is>
          <t>かんろく</t>
        </is>
      </c>
      <c r="D518" s="29" t="inlineStr">
        <is>
          <t>Dignitaire</t>
        </is>
      </c>
      <c r="E518" s="29" t="inlineStr">
        <is>
          <t>Würde</t>
        </is>
      </c>
      <c r="F518" s="29" t="inlineStr">
        <is>
          <t>Majestuoso</t>
        </is>
      </c>
      <c r="G518" s="29" t="inlineStr">
        <is>
          <t>Dignità</t>
        </is>
      </c>
      <c r="H518" s="29" t="inlineStr">
        <is>
          <t>관록</t>
        </is>
      </c>
      <c r="I518" s="29" t="inlineStr">
        <is>
          <t>威嚴</t>
        </is>
      </c>
      <c r="J518" s="29">
        <f>IFERROR(__xludf.DUMMYFUNCTION("GOOGLETRANSLATE(I518, ""zh_HANT"",""zh_HANS"")"),"威严")</f>
        <v/>
      </c>
      <c r="K518" s="29">
        <f>F518</f>
        <v/>
      </c>
    </row>
    <row r="519">
      <c r="A519" s="29">
        <f>CONCATENATE("CATEGORY_",UPPER(Pokemon!B505))</f>
        <v/>
      </c>
      <c r="B519" s="29">
        <f>B173</f>
        <v/>
      </c>
      <c r="C519" s="29">
        <f>C173</f>
        <v/>
      </c>
      <c r="D519" s="29">
        <f>D173</f>
        <v/>
      </c>
      <c r="E519" s="29">
        <f>E173</f>
        <v/>
      </c>
      <c r="F519" s="29">
        <f>F173</f>
        <v/>
      </c>
      <c r="G519" s="29">
        <f>G173</f>
        <v/>
      </c>
      <c r="H519" s="29">
        <f>H173</f>
        <v/>
      </c>
      <c r="I519" s="29">
        <f>I173</f>
        <v/>
      </c>
      <c r="J519" s="29">
        <f>J173</f>
        <v/>
      </c>
      <c r="K519" s="29">
        <f>F519</f>
        <v/>
      </c>
    </row>
    <row r="520">
      <c r="A520" s="29">
        <f>CONCATENATE("CATEGORY_",UPPER(Pokemon!B506))</f>
        <v/>
      </c>
      <c r="B520" s="29" t="inlineStr">
        <is>
          <t>Lookout</t>
        </is>
      </c>
      <c r="C520" s="29" t="inlineStr">
        <is>
          <t>けいかい</t>
        </is>
      </c>
      <c r="D520" s="29" t="inlineStr">
        <is>
          <t>Vigilant</t>
        </is>
      </c>
      <c r="E520" s="29" t="inlineStr">
        <is>
          <t>Wachsamkeit</t>
        </is>
      </c>
      <c r="F520" s="29" t="inlineStr">
        <is>
          <t>Alerta</t>
        </is>
      </c>
      <c r="G520" s="29" t="inlineStr">
        <is>
          <t>Sentinella</t>
        </is>
      </c>
      <c r="H520" s="29" t="inlineStr">
        <is>
          <t>경계</t>
        </is>
      </c>
      <c r="I520" s="29" t="inlineStr">
        <is>
          <t>警戒</t>
        </is>
      </c>
      <c r="J520" s="29">
        <f>I520</f>
        <v/>
      </c>
      <c r="K520" s="29">
        <f>F520</f>
        <v/>
      </c>
    </row>
    <row r="521">
      <c r="A521" s="29">
        <f>CONCATENATE("CATEGORY_",UPPER(Pokemon!B507))</f>
        <v/>
      </c>
      <c r="B521" s="29">
        <f>B59</f>
        <v/>
      </c>
      <c r="C521" s="29">
        <f>C59</f>
        <v/>
      </c>
      <c r="D521" s="29">
        <f>D59</f>
        <v/>
      </c>
      <c r="E521" s="29">
        <f>E59</f>
        <v/>
      </c>
      <c r="F521" s="29">
        <f>F59</f>
        <v/>
      </c>
      <c r="G521" s="29">
        <f>G59</f>
        <v/>
      </c>
      <c r="H521" s="29">
        <f>H59</f>
        <v/>
      </c>
      <c r="I521" s="29">
        <f>I59</f>
        <v/>
      </c>
      <c r="J521" s="29">
        <f>J59</f>
        <v/>
      </c>
      <c r="K521" s="29">
        <f>F521</f>
        <v/>
      </c>
    </row>
    <row r="522">
      <c r="A522" s="29">
        <f>CONCATENATE("CATEGORY_",UPPER(Pokemon!B508))</f>
        <v/>
      </c>
      <c r="B522" s="29" t="inlineStr">
        <is>
          <t>Loyal Dog</t>
        </is>
      </c>
      <c r="C522" s="29" t="inlineStr">
        <is>
          <t>ちゅうけん</t>
        </is>
      </c>
      <c r="D522" s="29" t="inlineStr">
        <is>
          <t>Chien Fidèle</t>
        </is>
      </c>
      <c r="E522" s="29" t="inlineStr">
        <is>
          <t>Treuhund</t>
        </is>
      </c>
      <c r="F522" s="29" t="inlineStr">
        <is>
          <t>Leal</t>
        </is>
      </c>
      <c r="G522" s="29" t="inlineStr">
        <is>
          <t>Fedeltà</t>
        </is>
      </c>
      <c r="H522" s="29" t="inlineStr">
        <is>
          <t>충견</t>
        </is>
      </c>
      <c r="I522" s="29" t="inlineStr">
        <is>
          <t>忠犬</t>
        </is>
      </c>
      <c r="J522" s="29">
        <f>I522</f>
        <v/>
      </c>
      <c r="K522" s="29">
        <f>F522</f>
        <v/>
      </c>
    </row>
    <row r="523">
      <c r="A523" s="29">
        <f>CONCATENATE("CATEGORY_",UPPER(Pokemon!B509))</f>
        <v/>
      </c>
      <c r="B523" s="29" t="inlineStr">
        <is>
          <t>Big-Hearted</t>
        </is>
      </c>
      <c r="C523" s="29" t="inlineStr">
        <is>
          <t>かんだい</t>
        </is>
      </c>
      <c r="D523" s="29" t="inlineStr">
        <is>
          <t>Magnanime</t>
        </is>
      </c>
      <c r="E523" s="29" t="inlineStr">
        <is>
          <t>Großmut</t>
        </is>
      </c>
      <c r="F523" s="29" t="inlineStr">
        <is>
          <t>Magnánimo</t>
        </is>
      </c>
      <c r="G523" s="29" t="inlineStr">
        <is>
          <t>Generosità</t>
        </is>
      </c>
      <c r="H523" s="29" t="inlineStr">
        <is>
          <t>관대</t>
        </is>
      </c>
      <c r="I523" s="29" t="inlineStr">
        <is>
          <t>寬大</t>
        </is>
      </c>
      <c r="J523" s="29">
        <f>IFERROR(__xludf.DUMMYFUNCTION("GOOGLETRANSLATE(I523, ""zh_HANT"",""zh_HANS"")"),"宽大")</f>
        <v/>
      </c>
      <c r="K523" s="29">
        <f>F523</f>
        <v/>
      </c>
    </row>
    <row r="524">
      <c r="A524" s="29">
        <f>CONCATENATE("CATEGORY_",UPPER(Pokemon!B510))</f>
        <v/>
      </c>
      <c r="B524" s="29" t="inlineStr">
        <is>
          <t>Devious</t>
        </is>
      </c>
      <c r="C524" s="29" t="inlineStr">
        <is>
          <t>しょうわる</t>
        </is>
      </c>
      <c r="D524" s="29" t="inlineStr">
        <is>
          <t>Scélérat</t>
        </is>
      </c>
      <c r="E524" s="29" t="inlineStr">
        <is>
          <t>Schelm</t>
        </is>
      </c>
      <c r="F524" s="29" t="inlineStr">
        <is>
          <t>Malicioso</t>
        </is>
      </c>
      <c r="G524" s="29" t="inlineStr">
        <is>
          <t>Furbizia</t>
        </is>
      </c>
      <c r="H524" s="29" t="inlineStr">
        <is>
          <t>성악</t>
        </is>
      </c>
      <c r="I524" s="29" t="inlineStr">
        <is>
          <t>壞心眼</t>
        </is>
      </c>
      <c r="J524" s="29">
        <f>IFERROR(__xludf.DUMMYFUNCTION("GOOGLETRANSLATE(I524, ""zh_HANT"",""zh_HANS"")"),"坏心眼")</f>
        <v/>
      </c>
      <c r="K524" s="29">
        <f>F524</f>
        <v/>
      </c>
    </row>
    <row r="525">
      <c r="A525" s="29">
        <f>CONCATENATE("CATEGORY_",UPPER(Pokemon!B511))</f>
        <v/>
      </c>
      <c r="B525" s="29" t="inlineStr">
        <is>
          <t>Cruel</t>
        </is>
      </c>
      <c r="C525" s="29" t="inlineStr">
        <is>
          <t>れいこく</t>
        </is>
      </c>
      <c r="D525" s="29" t="inlineStr">
        <is>
          <t>Implacable</t>
        </is>
      </c>
      <c r="E525" s="29" t="inlineStr">
        <is>
          <t>Gefühlskälte</t>
        </is>
      </c>
      <c r="F525" s="29" t="inlineStr">
        <is>
          <t>Calculador</t>
        </is>
      </c>
      <c r="G525" s="29" t="inlineStr">
        <is>
          <t>Sanguefreddo</t>
        </is>
      </c>
      <c r="H525" s="29" t="inlineStr">
        <is>
          <t>냉혹</t>
        </is>
      </c>
      <c r="I525" s="29">
        <f>J525</f>
        <v/>
      </c>
      <c r="J525" s="29" t="inlineStr">
        <is>
          <t>冷酷</t>
        </is>
      </c>
      <c r="K525" s="29">
        <f>F525</f>
        <v/>
      </c>
    </row>
    <row r="526">
      <c r="A526" s="29">
        <f>CONCATENATE("CATEGORY_",UPPER(Pokemon!B512))</f>
        <v/>
      </c>
      <c r="B526" s="29" t="inlineStr">
        <is>
          <t>Grass Monkey</t>
        </is>
      </c>
      <c r="C526" s="29" t="inlineStr">
        <is>
          <t>くさざる</t>
        </is>
      </c>
      <c r="D526" s="29" t="inlineStr">
        <is>
          <t>Singe Herbe</t>
        </is>
      </c>
      <c r="E526" s="29" t="inlineStr">
        <is>
          <t>Grasaffe</t>
        </is>
      </c>
      <c r="F526" s="29" t="inlineStr">
        <is>
          <t>Mono Hierba</t>
        </is>
      </c>
      <c r="G526" s="29" t="inlineStr">
        <is>
          <t>Scimperba</t>
        </is>
      </c>
      <c r="H526" s="29" t="inlineStr">
        <is>
          <t>풀원숭이</t>
        </is>
      </c>
      <c r="I526" s="29" t="inlineStr">
        <is>
          <t>草猴</t>
        </is>
      </c>
      <c r="J526" s="29">
        <f>I526</f>
        <v/>
      </c>
      <c r="K526" s="29">
        <f>F526</f>
        <v/>
      </c>
    </row>
    <row r="527">
      <c r="A527" s="29">
        <f>CONCATENATE("CATEGORY_",UPPER(Pokemon!B513))</f>
        <v/>
      </c>
      <c r="B527" s="29" t="inlineStr">
        <is>
          <t>Thorn Monkey</t>
        </is>
      </c>
      <c r="C527" s="29" t="inlineStr">
        <is>
          <t>とげざる</t>
        </is>
      </c>
      <c r="D527" s="29" t="inlineStr">
        <is>
          <t>Singépine</t>
        </is>
      </c>
      <c r="E527" s="29" t="inlineStr">
        <is>
          <t>Stachelaffe</t>
        </is>
      </c>
      <c r="F527" s="29" t="inlineStr">
        <is>
          <t>Mono Pincho</t>
        </is>
      </c>
      <c r="G527" s="29" t="inlineStr">
        <is>
          <t>Spinpanzé</t>
        </is>
      </c>
      <c r="H527" s="29" t="inlineStr">
        <is>
          <t>가시원숭이</t>
        </is>
      </c>
      <c r="I527" s="29" t="inlineStr">
        <is>
          <t>刺猴</t>
        </is>
      </c>
      <c r="J527" s="29">
        <f>I527</f>
        <v/>
      </c>
      <c r="K527" s="29">
        <f>F527</f>
        <v/>
      </c>
    </row>
    <row r="528">
      <c r="A528" s="29">
        <f>CONCATENATE("CATEGORY_",UPPER(Pokemon!B514))</f>
        <v/>
      </c>
      <c r="B528" s="29" t="inlineStr">
        <is>
          <t>High Temp</t>
        </is>
      </c>
      <c r="C528" s="29" t="inlineStr">
        <is>
          <t>こうおん</t>
        </is>
      </c>
      <c r="D528" s="29" t="inlineStr">
        <is>
          <t>Brûlant</t>
        </is>
      </c>
      <c r="E528" s="29" t="inlineStr">
        <is>
          <t>Hitze</t>
        </is>
      </c>
      <c r="F528" s="29" t="inlineStr">
        <is>
          <t>Ardiente</t>
        </is>
      </c>
      <c r="G528" s="29" t="inlineStr">
        <is>
          <t>Testacalda</t>
        </is>
      </c>
      <c r="H528" s="29" t="inlineStr">
        <is>
          <t>고온</t>
        </is>
      </c>
      <c r="I528" s="29" t="inlineStr">
        <is>
          <t>高溫</t>
        </is>
      </c>
      <c r="J528" s="29">
        <f>IFERROR(__xludf.DUMMYFUNCTION("GOOGLETRANSLATE(I528, ""zh_HANT"",""zh_HANS"")"),"高温")</f>
        <v/>
      </c>
      <c r="K528" s="29">
        <f>F528</f>
        <v/>
      </c>
    </row>
    <row r="529">
      <c r="A529" s="29">
        <f>CONCATENATE("CATEGORY_",UPPER(Pokemon!B515))</f>
        <v/>
      </c>
      <c r="B529" s="29">
        <f>Moves!B53</f>
        <v/>
      </c>
      <c r="C529" s="29">
        <f>Moves!C53</f>
        <v/>
      </c>
      <c r="D529" s="29" t="inlineStr">
        <is>
          <t>Braise</t>
        </is>
      </c>
      <c r="E529" s="29">
        <f>Moves!E53</f>
        <v/>
      </c>
      <c r="F529" s="29">
        <f>Moves!F53</f>
        <v/>
      </c>
      <c r="G529" s="29">
        <f>Moves!G53</f>
        <v/>
      </c>
      <c r="H529" s="29">
        <f>Moves!H53</f>
        <v/>
      </c>
      <c r="I529" s="29">
        <f>Moves!I53</f>
        <v/>
      </c>
      <c r="J529" s="29">
        <f>Moves!J53</f>
        <v/>
      </c>
      <c r="K529" s="29">
        <f>F529</f>
        <v/>
      </c>
    </row>
    <row r="530">
      <c r="A530" s="29">
        <f>CONCATENATE("CATEGORY_",UPPER(Pokemon!B516))</f>
        <v/>
      </c>
      <c r="B530" s="29" t="inlineStr">
        <is>
          <t>Spray</t>
        </is>
      </c>
      <c r="C530" s="29" t="inlineStr">
        <is>
          <t>みずかけ</t>
        </is>
      </c>
      <c r="D530" s="29" t="inlineStr">
        <is>
          <t>Jet d'Eau</t>
        </is>
      </c>
      <c r="E530" s="29" t="inlineStr">
        <is>
          <t>Wasserstrahl</t>
        </is>
      </c>
      <c r="F530" s="29" t="inlineStr">
        <is>
          <t>Salpicadura</t>
        </is>
      </c>
      <c r="G530" s="29" t="inlineStr">
        <is>
          <t>Annaffiatore</t>
        </is>
      </c>
      <c r="H530" s="29" t="inlineStr">
        <is>
          <t>물뿌리기</t>
        </is>
      </c>
      <c r="I530" s="29" t="inlineStr">
        <is>
          <t>潑水</t>
        </is>
      </c>
      <c r="J530" s="29">
        <f>IFERROR(__xludf.DUMMYFUNCTION("GOOGLETRANSLATE(I530, ""zh_HANT"",""zh_HANS"")"),"泼水")</f>
        <v/>
      </c>
      <c r="K530" s="29">
        <f>F530</f>
        <v/>
      </c>
    </row>
    <row r="531">
      <c r="A531" s="29">
        <f>CONCATENATE("CATEGORY_",UPPER(Pokemon!B517))</f>
        <v/>
      </c>
      <c r="B531" s="29" t="inlineStr">
        <is>
          <t>Geyser</t>
        </is>
      </c>
      <c r="C531" s="29" t="inlineStr">
        <is>
          <t>ほうすい</t>
        </is>
      </c>
      <c r="D531" s="29" t="inlineStr">
        <is>
          <t>Drainage</t>
        </is>
      </c>
      <c r="E531" s="29">
        <f>D531</f>
        <v/>
      </c>
      <c r="F531" s="29" t="inlineStr">
        <is>
          <t>Drenaje</t>
        </is>
      </c>
      <c r="G531" s="29" t="inlineStr">
        <is>
          <t>Spruzzacqua</t>
        </is>
      </c>
      <c r="H531" s="29" t="inlineStr">
        <is>
          <t>방수</t>
        </is>
      </c>
      <c r="I531" s="29" t="inlineStr">
        <is>
          <t>放水</t>
        </is>
      </c>
      <c r="J531" s="29">
        <f>I531</f>
        <v/>
      </c>
      <c r="K531" s="29">
        <f>F531</f>
        <v/>
      </c>
    </row>
    <row r="532">
      <c r="A532" s="29">
        <f>CONCATENATE("CATEGORY_",UPPER(Pokemon!B518))</f>
        <v/>
      </c>
      <c r="B532" s="29">
        <f>Moves!B139</f>
        <v/>
      </c>
      <c r="C532" s="29">
        <f>Moves!C139</f>
        <v/>
      </c>
      <c r="D532" s="29" t="inlineStr">
        <is>
          <t>Mangerêve</t>
        </is>
      </c>
      <c r="E532" s="29">
        <f>Moves!E139</f>
        <v/>
      </c>
      <c r="F532" s="29">
        <f>Moves!F139</f>
        <v/>
      </c>
      <c r="G532" s="29">
        <f>Moves!G139</f>
        <v/>
      </c>
      <c r="H532" s="29">
        <f>Moves!H139</f>
        <v/>
      </c>
      <c r="I532" s="29">
        <f>Moves!I139</f>
        <v/>
      </c>
      <c r="J532" s="29">
        <f>Moves!J139</f>
        <v/>
      </c>
      <c r="K532" s="29">
        <f>F532</f>
        <v/>
      </c>
    </row>
    <row r="533">
      <c r="A533" s="29">
        <f>CONCATENATE("CATEGORY_",UPPER(Pokemon!B519))</f>
        <v/>
      </c>
      <c r="B533" s="29" t="inlineStr">
        <is>
          <t>Drowsing</t>
        </is>
      </c>
      <c r="C533" s="29" t="inlineStr">
        <is>
          <t>ゆねうつつ</t>
        </is>
      </c>
      <c r="D533" s="29" t="inlineStr">
        <is>
          <t>Rêveur</t>
        </is>
      </c>
      <c r="E533" s="29" t="inlineStr">
        <is>
          <t>Halbschlaf</t>
        </is>
      </c>
      <c r="F533" s="29" t="inlineStr">
        <is>
          <t>Duermevela</t>
        </is>
      </c>
      <c r="G533" s="29" t="inlineStr">
        <is>
          <t>Dormiveglia</t>
        </is>
      </c>
      <c r="H533" s="29" t="inlineStr">
        <is>
          <t>꿈결</t>
        </is>
      </c>
      <c r="I533" s="29" t="inlineStr">
        <is>
          <t>半夢半醒</t>
        </is>
      </c>
      <c r="J533" s="29">
        <f>IFERROR(__xludf.DUMMYFUNCTION("GOOGLETRANSLATE(I533, ""zh_HANT"",""zh_HANS"")"),"半梦半醒")</f>
        <v/>
      </c>
      <c r="K533" s="29">
        <f>F533</f>
        <v/>
      </c>
    </row>
    <row r="534">
      <c r="A534" s="29">
        <f>CONCATENATE("CATEGORY_",UPPER(Pokemon!B520))</f>
        <v/>
      </c>
      <c r="B534" s="29" t="inlineStr">
        <is>
          <t>Tiny Pigeon</t>
        </is>
      </c>
      <c r="C534" s="29" t="inlineStr">
        <is>
          <t>こばと</t>
        </is>
      </c>
      <c r="D534" s="29" t="inlineStr">
        <is>
          <t>Tipigeon</t>
        </is>
      </c>
      <c r="E534" s="29" t="inlineStr">
        <is>
          <t>Täubchen</t>
        </is>
      </c>
      <c r="F534" s="29" t="inlineStr">
        <is>
          <t>Pichón</t>
        </is>
      </c>
      <c r="G534" s="29" t="inlineStr">
        <is>
          <t>Piccione</t>
        </is>
      </c>
      <c r="H534" s="29" t="inlineStr">
        <is>
          <t>아기비둘기</t>
        </is>
      </c>
      <c r="I534" s="29" t="inlineStr">
        <is>
          <t>小鴿</t>
        </is>
      </c>
      <c r="J534" s="29">
        <f>IFERROR(__xludf.DUMMYFUNCTION("GOOGLETRANSLATE(I534, ""zh_HANT"",""zh_HANS"")"),"小鸽")</f>
        <v/>
      </c>
      <c r="K534" s="29">
        <f>F534</f>
        <v/>
      </c>
    </row>
    <row r="535">
      <c r="A535" s="29">
        <f>CONCATENATE("CATEGORY_",UPPER(Pokemon!B521))</f>
        <v/>
      </c>
      <c r="B535" s="29" t="inlineStr">
        <is>
          <t>Wild Pigeon</t>
        </is>
      </c>
      <c r="C535" s="29" t="inlineStr">
        <is>
          <t>のばと</t>
        </is>
      </c>
      <c r="D535" s="29" t="inlineStr">
        <is>
          <t>Sauvapigeon</t>
        </is>
      </c>
      <c r="E535" s="29" t="inlineStr">
        <is>
          <t>Wildtaube</t>
        </is>
      </c>
      <c r="F535" s="29" t="inlineStr">
        <is>
          <t>Torcaz</t>
        </is>
      </c>
      <c r="G535" s="29" t="inlineStr">
        <is>
          <t>Granpiccione</t>
        </is>
      </c>
      <c r="H535" s="29" t="inlineStr">
        <is>
          <t>들비둘기</t>
        </is>
      </c>
      <c r="I535" s="29" t="inlineStr">
        <is>
          <t>野鴿</t>
        </is>
      </c>
      <c r="J535" s="29">
        <f>IFERROR(__xludf.DUMMYFUNCTION("GOOGLETRANSLATE(I535, ""zh_HANT"",""zh_HANS"")"),"野鸽")</f>
        <v/>
      </c>
      <c r="K535" s="29">
        <f>F535</f>
        <v/>
      </c>
    </row>
    <row r="536">
      <c r="A536" s="29">
        <f>CONCATENATE("CATEGORY_",UPPER(Pokemon!B522))</f>
        <v/>
      </c>
      <c r="B536" s="29" t="inlineStr">
        <is>
          <t>Proud</t>
        </is>
      </c>
      <c r="C536" s="29" t="inlineStr">
        <is>
          <t>プライド</t>
        </is>
      </c>
      <c r="D536" s="29" t="inlineStr">
        <is>
          <t>Fier</t>
        </is>
      </c>
      <c r="E536" s="29" t="inlineStr">
        <is>
          <t>Stolz</t>
        </is>
      </c>
      <c r="F536" s="29" t="inlineStr">
        <is>
          <t>Altanero</t>
        </is>
      </c>
      <c r="G536" s="29" t="inlineStr">
        <is>
          <t>Orgoglio</t>
        </is>
      </c>
      <c r="H536" s="29" t="inlineStr">
        <is>
          <t>프라이드</t>
        </is>
      </c>
      <c r="I536" s="29" t="inlineStr">
        <is>
          <t>自尊心</t>
        </is>
      </c>
      <c r="J536" s="29">
        <f>I536</f>
        <v/>
      </c>
      <c r="K536" s="29">
        <f>F536</f>
        <v/>
      </c>
    </row>
    <row r="537">
      <c r="A537" s="29">
        <f>CONCATENATE("CATEGORY_",UPPER(Pokemon!B523))</f>
        <v/>
      </c>
      <c r="B537" s="29" t="inlineStr">
        <is>
          <t>Electrified</t>
        </is>
      </c>
      <c r="C537" s="29" t="inlineStr">
        <is>
          <t>たいでん</t>
        </is>
      </c>
      <c r="D537" s="29" t="inlineStr">
        <is>
          <t>Étincélec</t>
        </is>
      </c>
      <c r="E537" s="29" t="inlineStr">
        <is>
          <t>Hochspannung</t>
        </is>
      </c>
      <c r="F537" s="29" t="inlineStr">
        <is>
          <t>Electrizado</t>
        </is>
      </c>
      <c r="G537" s="29" t="inlineStr">
        <is>
          <t>Caricavolt</t>
        </is>
      </c>
      <c r="H537" s="29" t="inlineStr">
        <is>
          <t>하전</t>
        </is>
      </c>
      <c r="I537" s="29" t="inlineStr">
        <is>
          <t>帶電</t>
        </is>
      </c>
      <c r="J537" s="29">
        <f>IFERROR(__xludf.DUMMYFUNCTION("GOOGLETRANSLATE(I537, ""zh_HANT"",""zh_HANS"")"),"带电")</f>
        <v/>
      </c>
      <c r="K537" s="29">
        <f>F537</f>
        <v/>
      </c>
    </row>
    <row r="538">
      <c r="A538" s="29">
        <f>CONCATENATE("CATEGORY_",UPPER(Pokemon!B524))</f>
        <v/>
      </c>
      <c r="B538" s="29">
        <f>B480</f>
        <v/>
      </c>
      <c r="C538" s="29">
        <f>C480</f>
        <v/>
      </c>
      <c r="D538" s="29">
        <f>D480</f>
        <v/>
      </c>
      <c r="E538" s="29">
        <f>E480</f>
        <v/>
      </c>
      <c r="F538" s="29">
        <f>F480</f>
        <v/>
      </c>
      <c r="G538" s="29">
        <f>G480</f>
        <v/>
      </c>
      <c r="H538" s="29">
        <f>H480</f>
        <v/>
      </c>
      <c r="I538" s="29">
        <f>I480</f>
        <v/>
      </c>
      <c r="J538" s="29">
        <f>J480</f>
        <v/>
      </c>
      <c r="K538" s="29">
        <f>F538</f>
        <v/>
      </c>
    </row>
    <row r="539">
      <c r="A539" s="29">
        <f>CONCATENATE("CATEGORY_",UPPER(Pokemon!B525))</f>
        <v/>
      </c>
      <c r="B539" s="29" t="inlineStr">
        <is>
          <t>Mantle</t>
        </is>
      </c>
      <c r="C539" s="29" t="inlineStr">
        <is>
          <t>マントル</t>
        </is>
      </c>
      <c r="D539" s="29" t="inlineStr">
        <is>
          <t>Manteau</t>
        </is>
      </c>
      <c r="E539" s="29" t="inlineStr">
        <is>
          <t>Erdmantel</t>
        </is>
      </c>
      <c r="F539" s="29" t="inlineStr">
        <is>
          <t>Manto</t>
        </is>
      </c>
      <c r="G539" s="29" t="inlineStr">
        <is>
          <t>Placca</t>
        </is>
      </c>
      <c r="H539" s="29" t="inlineStr">
        <is>
          <t>맨틀</t>
        </is>
      </c>
      <c r="I539" s="29" t="inlineStr">
        <is>
          <t>地幔</t>
        </is>
      </c>
      <c r="J539" s="29">
        <f>I539</f>
        <v/>
      </c>
      <c r="K539" s="29">
        <f>F539</f>
        <v/>
      </c>
    </row>
    <row r="540">
      <c r="A540" s="29">
        <f>CONCATENATE("CATEGORY_",UPPER(Pokemon!B526))</f>
        <v/>
      </c>
      <c r="B540" s="29" t="inlineStr">
        <is>
          <t>Ore</t>
        </is>
      </c>
      <c r="C540" s="29" t="inlineStr">
        <is>
          <t>こうせき</t>
        </is>
      </c>
      <c r="D540" s="29" t="inlineStr">
        <is>
          <t>Minerai</t>
        </is>
      </c>
      <c r="E540" s="29" t="inlineStr">
        <is>
          <t>Erz</t>
        </is>
      </c>
      <c r="F540" s="29" t="inlineStr">
        <is>
          <t>Mineral</t>
        </is>
      </c>
      <c r="G540" s="29">
        <f>CONCATENATE(F540,"e")</f>
        <v/>
      </c>
      <c r="H540" s="29" t="inlineStr">
        <is>
          <t>광석</t>
        </is>
      </c>
      <c r="I540" s="29" t="inlineStr">
        <is>
          <t>礦石</t>
        </is>
      </c>
      <c r="J540" s="29">
        <f>IFERROR(__xludf.DUMMYFUNCTION("GOOGLETRANSLATE(I540, ""zh_HANT"",""zh_HANS"")"),"矿石")</f>
        <v/>
      </c>
      <c r="K540" s="29">
        <f>F540</f>
        <v/>
      </c>
    </row>
    <row r="541">
      <c r="A541" s="29">
        <f>CONCATENATE("CATEGORY_",UPPER(Pokemon!B527))</f>
        <v/>
      </c>
      <c r="B541" s="29" t="inlineStr">
        <is>
          <t>Compressed</t>
        </is>
      </c>
      <c r="C541" s="29" t="inlineStr">
        <is>
          <t>こうあつ</t>
        </is>
      </c>
      <c r="D541" s="29" t="inlineStr">
        <is>
          <t>Surpression</t>
        </is>
      </c>
      <c r="E541" s="29" t="inlineStr">
        <is>
          <t>Kompression</t>
        </is>
      </c>
      <c r="F541" s="29" t="inlineStr">
        <is>
          <t>Presurizado</t>
        </is>
      </c>
      <c r="G541" s="29" t="inlineStr">
        <is>
          <t>Pressionalta</t>
        </is>
      </c>
      <c r="H541" s="29" t="inlineStr">
        <is>
          <t>고압</t>
        </is>
      </c>
      <c r="I541" s="29" t="inlineStr">
        <is>
          <t>高壓</t>
        </is>
      </c>
      <c r="J541" s="29">
        <f>IFERROR(__xludf.DUMMYFUNCTION("GOOGLETRANSLATE(I541, ""zh_HANT"",""zh_HANS"")"),"高压")</f>
        <v/>
      </c>
      <c r="K541" s="29">
        <f>F541</f>
        <v/>
      </c>
    </row>
    <row r="542">
      <c r="A542" s="29">
        <f>CONCATENATE("CATEGORY_",UPPER(Pokemon!B528))</f>
        <v/>
      </c>
      <c r="B542" s="29">
        <f>B42</f>
        <v/>
      </c>
      <c r="C542" s="29">
        <f>C42</f>
        <v/>
      </c>
      <c r="D542" s="29">
        <f>D42</f>
        <v/>
      </c>
      <c r="E542" s="29">
        <f>E42</f>
        <v/>
      </c>
      <c r="F542" s="29">
        <f>F42</f>
        <v/>
      </c>
      <c r="G542" s="29">
        <f>G42</f>
        <v/>
      </c>
      <c r="H542" s="29">
        <f>H42</f>
        <v/>
      </c>
      <c r="I542" s="29">
        <f>I42</f>
        <v/>
      </c>
      <c r="J542" s="29">
        <f>J42</f>
        <v/>
      </c>
      <c r="K542" s="29">
        <f>F542</f>
        <v/>
      </c>
    </row>
    <row r="543">
      <c r="A543" s="29">
        <f>CONCATENATE("CATEGORY_",UPPER(Pokemon!B529))</f>
        <v/>
      </c>
      <c r="B543" s="29" t="inlineStr">
        <is>
          <t>Courting</t>
        </is>
      </c>
      <c r="C543" s="29" t="inlineStr">
        <is>
          <t>きゅうあい</t>
        </is>
      </c>
      <c r="D543" s="29" t="inlineStr">
        <is>
          <t>Cupidon</t>
        </is>
      </c>
      <c r="E543" s="29" t="inlineStr">
        <is>
          <t>Balz</t>
        </is>
      </c>
      <c r="F543" s="29" t="inlineStr">
        <is>
          <t>Galante</t>
        </is>
      </c>
      <c r="G543" s="29" t="inlineStr">
        <is>
          <t>Cercamore</t>
        </is>
      </c>
      <c r="H543" s="29" t="inlineStr">
        <is>
          <t>구애</t>
        </is>
      </c>
      <c r="I543" s="29" t="inlineStr">
        <is>
          <t>求愛</t>
        </is>
      </c>
      <c r="J543" s="29">
        <f>IFERROR(__xludf.DUMMYFUNCTION("GOOGLETRANSLATE(I543, ""zh_HANT"",""zh_HANS"")"),"求爱")</f>
        <v/>
      </c>
      <c r="K543" s="29">
        <f>F543</f>
        <v/>
      </c>
    </row>
    <row r="544">
      <c r="A544" s="29">
        <f>CONCATENATE("CATEGORY_",UPPER(Pokemon!B530))</f>
        <v/>
      </c>
      <c r="B544" s="29">
        <f>B51</f>
        <v/>
      </c>
      <c r="C544" s="29">
        <f>C51</f>
        <v/>
      </c>
      <c r="D544" s="29">
        <f>D51</f>
        <v/>
      </c>
      <c r="E544" s="29">
        <f>E51</f>
        <v/>
      </c>
      <c r="F544" s="29">
        <f>F51</f>
        <v/>
      </c>
      <c r="G544" s="29">
        <f>G51</f>
        <v/>
      </c>
      <c r="H544" s="29">
        <f>H51</f>
        <v/>
      </c>
      <c r="I544" s="29">
        <f>I51</f>
        <v/>
      </c>
      <c r="J544" s="29">
        <f>J51</f>
        <v/>
      </c>
      <c r="K544" s="29">
        <f>F544</f>
        <v/>
      </c>
    </row>
    <row r="545">
      <c r="A545" s="29">
        <f>CONCATENATE("CATEGORY_",UPPER(Pokemon!B531))</f>
        <v/>
      </c>
      <c r="B545" s="29" t="inlineStr">
        <is>
          <t>Subterrene</t>
        </is>
      </c>
      <c r="C545" s="29" t="inlineStr">
        <is>
          <t>ちてい</t>
        </is>
      </c>
      <c r="D545" s="29" t="inlineStr">
        <is>
          <t>Souterrain</t>
        </is>
      </c>
      <c r="E545" s="29" t="inlineStr">
        <is>
          <t>Untergrund</t>
        </is>
      </c>
      <c r="F545" s="29" t="inlineStr">
        <is>
          <t>Subterráneo</t>
        </is>
      </c>
      <c r="G545" s="29" t="inlineStr">
        <is>
          <t>Sottoterra</t>
        </is>
      </c>
      <c r="H545" s="29" t="inlineStr">
        <is>
          <t>땅밑</t>
        </is>
      </c>
      <c r="I545" s="29" t="inlineStr">
        <is>
          <t>地底</t>
        </is>
      </c>
      <c r="J545" s="29">
        <f>I545</f>
        <v/>
      </c>
      <c r="K545" s="29">
        <f>F545</f>
        <v/>
      </c>
    </row>
    <row r="546">
      <c r="A546" s="29">
        <f>CONCATENATE("CATEGORY_",UPPER(Pokemon!B532))</f>
        <v/>
      </c>
      <c r="B546" s="29" t="inlineStr">
        <is>
          <t>Hearing</t>
        </is>
      </c>
      <c r="C546" s="29" t="inlineStr">
        <is>
          <t>ヒヤリング</t>
        </is>
      </c>
      <c r="D546" s="29" t="inlineStr">
        <is>
          <t>Audition</t>
        </is>
      </c>
      <c r="E546" s="29" t="inlineStr">
        <is>
          <t>Gehör</t>
        </is>
      </c>
      <c r="F546" s="29" t="inlineStr">
        <is>
          <t>Esucha</t>
        </is>
      </c>
      <c r="G546" s="29" t="inlineStr">
        <is>
          <t>Ascolto</t>
        </is>
      </c>
      <c r="H546" s="29" t="inlineStr">
        <is>
          <t>히어링</t>
        </is>
      </c>
      <c r="I546" s="29" t="inlineStr">
        <is>
          <t>聽力</t>
        </is>
      </c>
      <c r="J546" s="29">
        <f>IFERROR(__xludf.DUMMYFUNCTION("GOOGLETRANSLATE(I546, ""zh_HANT"",""zh_HANS"")"),"听力")</f>
        <v/>
      </c>
      <c r="K546" s="29">
        <f>F546</f>
        <v/>
      </c>
    </row>
    <row r="547">
      <c r="A547" s="29">
        <f>CONCATENATE("CATEGORY_",UPPER(Pokemon!B533))</f>
        <v/>
      </c>
      <c r="B547" s="29" t="inlineStr">
        <is>
          <t>Muscular</t>
        </is>
      </c>
      <c r="C547" s="29" t="inlineStr">
        <is>
          <t>きんこつ</t>
        </is>
      </c>
      <c r="D547" s="29" t="inlineStr">
        <is>
          <t>Costaud</t>
        </is>
      </c>
      <c r="E547" s="29" t="inlineStr">
        <is>
          <t>Muskel</t>
        </is>
      </c>
      <c r="F547" s="29" t="inlineStr">
        <is>
          <t>Musculoso</t>
        </is>
      </c>
      <c r="G547" s="29" t="inlineStr">
        <is>
          <t>Forzaimmane</t>
        </is>
      </c>
      <c r="H547" s="29" t="inlineStr">
        <is>
          <t>근골</t>
        </is>
      </c>
      <c r="I547" s="29" t="inlineStr">
        <is>
          <t>筋骨</t>
        </is>
      </c>
      <c r="J547" s="29">
        <f>I547</f>
        <v/>
      </c>
      <c r="K547" s="29">
        <f>F547</f>
        <v/>
      </c>
    </row>
    <row r="548">
      <c r="A548" s="29">
        <f>CONCATENATE("CATEGORY_",UPPER(Pokemon!B534))</f>
        <v/>
      </c>
      <c r="B548" s="29">
        <f>B547</f>
        <v/>
      </c>
      <c r="C548" s="29">
        <f>C547</f>
        <v/>
      </c>
      <c r="D548" s="29">
        <f>D547</f>
        <v/>
      </c>
      <c r="E548" s="29">
        <f>E547</f>
        <v/>
      </c>
      <c r="F548" s="29">
        <f>F547</f>
        <v/>
      </c>
      <c r="G548" s="29">
        <f>G547</f>
        <v/>
      </c>
      <c r="H548" s="29">
        <f>H547</f>
        <v/>
      </c>
      <c r="I548" s="29">
        <f>I547</f>
        <v/>
      </c>
      <c r="J548" s="29">
        <f>J547</f>
        <v/>
      </c>
      <c r="K548" s="29">
        <f>F548</f>
        <v/>
      </c>
    </row>
    <row r="549">
      <c r="A549" s="29">
        <f>CONCATENATE("CATEGORY_",UPPER(Pokemon!B535))</f>
        <v/>
      </c>
      <c r="B549" s="29">
        <f>B547</f>
        <v/>
      </c>
      <c r="C549" s="29">
        <f>C547</f>
        <v/>
      </c>
      <c r="D549" s="29">
        <f>D547</f>
        <v/>
      </c>
      <c r="E549" s="29">
        <f>E547</f>
        <v/>
      </c>
      <c r="F549" s="29">
        <f>F547</f>
        <v/>
      </c>
      <c r="G549" s="29">
        <f>G547</f>
        <v/>
      </c>
      <c r="H549" s="29">
        <f>H547</f>
        <v/>
      </c>
      <c r="I549" s="29">
        <f>I547</f>
        <v/>
      </c>
      <c r="J549" s="29">
        <f>J547</f>
        <v/>
      </c>
      <c r="K549" s="29">
        <f>F549</f>
        <v/>
      </c>
    </row>
    <row r="550">
      <c r="A550" s="29">
        <f>CONCATENATE("CATEGORY_",UPPER(Pokemon!B536))</f>
        <v/>
      </c>
      <c r="B550" s="29">
        <f>B62</f>
        <v/>
      </c>
      <c r="C550" s="29">
        <f>C62</f>
        <v/>
      </c>
      <c r="D550" s="29">
        <f>D62</f>
        <v/>
      </c>
      <c r="E550" s="29">
        <f>E62</f>
        <v/>
      </c>
      <c r="F550" s="29">
        <f>F62</f>
        <v/>
      </c>
      <c r="G550" s="29">
        <f>G62</f>
        <v/>
      </c>
      <c r="H550" s="29">
        <f>H62</f>
        <v/>
      </c>
      <c r="I550" s="29">
        <f>I62</f>
        <v/>
      </c>
      <c r="J550" s="29">
        <f>J62</f>
        <v/>
      </c>
      <c r="K550" s="29">
        <f>F550</f>
        <v/>
      </c>
    </row>
    <row r="551">
      <c r="A551" s="29">
        <f>CONCATENATE("CATEGORY_",UPPER(Pokemon!B537))</f>
        <v/>
      </c>
      <c r="B551" s="29">
        <f>B343</f>
        <v/>
      </c>
      <c r="C551" s="29">
        <f>C343</f>
        <v/>
      </c>
      <c r="D551" s="29">
        <f>D343</f>
        <v/>
      </c>
      <c r="E551" s="29">
        <f>E343</f>
        <v/>
      </c>
      <c r="F551" s="29">
        <f>F343</f>
        <v/>
      </c>
      <c r="G551" s="29">
        <f>G343</f>
        <v/>
      </c>
      <c r="H551" s="29">
        <f>H343</f>
        <v/>
      </c>
      <c r="I551" s="29">
        <f>I343</f>
        <v/>
      </c>
      <c r="J551" s="29">
        <f>J343</f>
        <v/>
      </c>
      <c r="K551" s="29">
        <f>F551</f>
        <v/>
      </c>
    </row>
    <row r="552">
      <c r="A552" s="29">
        <f>CONCATENATE("CATEGORY_",UPPER(Pokemon!B538))</f>
        <v/>
      </c>
      <c r="B552" s="29">
        <f>B343</f>
        <v/>
      </c>
      <c r="C552" s="29">
        <f>C343</f>
        <v/>
      </c>
      <c r="D552" s="29">
        <f>D343</f>
        <v/>
      </c>
      <c r="E552" s="29">
        <f>E343</f>
        <v/>
      </c>
      <c r="F552" s="29">
        <f>F343</f>
        <v/>
      </c>
      <c r="G552" s="29">
        <f>G343</f>
        <v/>
      </c>
      <c r="H552" s="29">
        <f>H343</f>
        <v/>
      </c>
      <c r="I552" s="29">
        <f>I343</f>
        <v/>
      </c>
      <c r="J552" s="29">
        <f>J343</f>
        <v/>
      </c>
      <c r="K552" s="29">
        <f>F552</f>
        <v/>
      </c>
    </row>
    <row r="553">
      <c r="A553" s="29">
        <f>CONCATENATE("CATEGORY_",UPPER(Pokemon!B539))</f>
        <v/>
      </c>
      <c r="B553" s="29" t="inlineStr">
        <is>
          <t>Judo</t>
        </is>
      </c>
      <c r="C553" s="29" t="inlineStr">
        <is>
          <t>じゅうどう</t>
        </is>
      </c>
      <c r="D553" s="29" t="inlineStr">
        <is>
          <t>Judo</t>
        </is>
      </c>
      <c r="E553" s="29">
        <f>B553</f>
        <v/>
      </c>
      <c r="F553" s="29">
        <f>B553</f>
        <v/>
      </c>
      <c r="G553" s="29">
        <f>B553</f>
        <v/>
      </c>
      <c r="H553" s="29" t="inlineStr">
        <is>
          <t>유도</t>
        </is>
      </c>
      <c r="I553" s="29" t="inlineStr">
        <is>
          <t>柔道</t>
        </is>
      </c>
      <c r="J553" s="29">
        <f>I553</f>
        <v/>
      </c>
      <c r="K553" s="29">
        <f>F553</f>
        <v/>
      </c>
    </row>
    <row r="554">
      <c r="A554" s="29">
        <f>CONCATENATE("CATEGORY_",UPPER(Pokemon!B540))</f>
        <v/>
      </c>
      <c r="B554" s="29" t="inlineStr">
        <is>
          <t>Karate</t>
        </is>
      </c>
      <c r="C554" s="29" t="inlineStr">
        <is>
          <t>からて</t>
        </is>
      </c>
      <c r="D554" s="29" t="inlineStr">
        <is>
          <t>Karaté</t>
        </is>
      </c>
      <c r="E554" s="29">
        <f>B554</f>
        <v/>
      </c>
      <c r="F554" s="29" t="inlineStr">
        <is>
          <t>Kárate</t>
        </is>
      </c>
      <c r="G554" s="29">
        <f>B554</f>
        <v/>
      </c>
      <c r="H554" s="29" t="inlineStr">
        <is>
          <t>태권도</t>
        </is>
      </c>
      <c r="I554" s="29" t="inlineStr">
        <is>
          <t>空手道</t>
        </is>
      </c>
      <c r="J554" s="29">
        <f>I554</f>
        <v/>
      </c>
      <c r="K554" s="29">
        <f>F554</f>
        <v/>
      </c>
    </row>
    <row r="555">
      <c r="A555" s="29">
        <f>CONCATENATE("CATEGORY_",UPPER(Pokemon!B541))</f>
        <v/>
      </c>
      <c r="B555" s="29" t="inlineStr">
        <is>
          <t>Sewing</t>
        </is>
      </c>
      <c r="C555" s="29" t="inlineStr">
        <is>
          <t>さいほう</t>
        </is>
      </c>
      <c r="D555" s="29" t="inlineStr">
        <is>
          <t>Couture</t>
        </is>
      </c>
      <c r="E555" s="29" t="inlineStr">
        <is>
          <t>Schneider</t>
        </is>
      </c>
      <c r="F555" s="29" t="inlineStr">
        <is>
          <t>Sastre</t>
        </is>
      </c>
      <c r="G555" s="29" t="inlineStr">
        <is>
          <t>Grancucito</t>
        </is>
      </c>
      <c r="H555" s="29" t="inlineStr">
        <is>
          <t>재봉</t>
        </is>
      </c>
      <c r="I555" s="29" t="inlineStr">
        <is>
          <t>裁縫</t>
        </is>
      </c>
      <c r="J555" s="29">
        <f>IFERROR(__xludf.DUMMYFUNCTION("GOOGLETRANSLATE(I555, ""zh_HANT"",""zh_HANS"")"),"裁缝")</f>
        <v/>
      </c>
      <c r="K555" s="29">
        <f>F555</f>
        <v/>
      </c>
    </row>
    <row r="556">
      <c r="A556" s="29">
        <f>CONCATENATE("CATEGORY_",UPPER(Pokemon!B542))</f>
        <v/>
      </c>
      <c r="B556" s="29" t="inlineStr">
        <is>
          <t>Leaf-Wrapped</t>
        </is>
      </c>
      <c r="C556" s="29" t="inlineStr">
        <is>
          <t>はごもり</t>
        </is>
      </c>
      <c r="D556" s="29" t="inlineStr">
        <is>
          <t>Capefeuille</t>
        </is>
      </c>
      <c r="E556" s="29" t="inlineStr">
        <is>
          <t>Wickelblatt</t>
        </is>
      </c>
      <c r="F556" s="29" t="inlineStr">
        <is>
          <t>Arropado</t>
        </is>
      </c>
      <c r="G556" s="29" t="inlineStr">
        <is>
          <t>Coprifoglia</t>
        </is>
      </c>
      <c r="H556" s="29" t="inlineStr">
        <is>
          <t>잎숨기</t>
        </is>
      </c>
      <c r="I556" s="29" t="inlineStr">
        <is>
          <t>足不出葉</t>
        </is>
      </c>
      <c r="J556" s="29">
        <f>IFERROR(__xludf.DUMMYFUNCTION("GOOGLETRANSLATE(I556, ""zh_HANT"",""zh_HANS"")"),"足不出叶")</f>
        <v/>
      </c>
      <c r="K556" s="29">
        <f>F556</f>
        <v/>
      </c>
    </row>
    <row r="557">
      <c r="A557" s="29">
        <f>CONCATENATE("CATEGORY_",UPPER(Pokemon!B543))</f>
        <v/>
      </c>
      <c r="B557" s="29" t="inlineStr">
        <is>
          <t>Nurturing</t>
        </is>
      </c>
      <c r="C557" s="29" t="inlineStr">
        <is>
          <t>こそだて</t>
        </is>
      </c>
      <c r="D557" s="29" t="inlineStr">
        <is>
          <t>Précepteur</t>
        </is>
      </c>
      <c r="E557" s="29" t="inlineStr">
        <is>
          <t>Kinderpflege</t>
        </is>
      </c>
      <c r="F557" s="29" t="inlineStr">
        <is>
          <t>Cuidador</t>
        </is>
      </c>
      <c r="G557" s="29" t="inlineStr">
        <is>
          <t>Balia</t>
        </is>
      </c>
      <c r="H557" s="29" t="inlineStr">
        <is>
          <t>육아</t>
        </is>
      </c>
      <c r="I557" s="29" t="inlineStr">
        <is>
          <t>育兒</t>
        </is>
      </c>
      <c r="J557" s="29">
        <f>IFERROR(__xludf.DUMMYFUNCTION("GOOGLETRANSLATE(I557, ""zh_HANT"",""zh_HANS"")"),"育儿")</f>
        <v/>
      </c>
      <c r="K557" s="29">
        <f>F557</f>
        <v/>
      </c>
    </row>
    <row r="558">
      <c r="A558" s="29">
        <f>CONCATENATE("CATEGORY_",UPPER(Pokemon!B544))</f>
        <v/>
      </c>
      <c r="B558" s="29" t="inlineStr">
        <is>
          <t>Centipede</t>
        </is>
      </c>
      <c r="C558" s="29" t="inlineStr">
        <is>
          <t>ムカデ</t>
        </is>
      </c>
      <c r="D558" s="29" t="inlineStr">
        <is>
          <t>Chilopode</t>
        </is>
      </c>
      <c r="E558" s="29" t="inlineStr">
        <is>
          <t>Tausendfüßer</t>
        </is>
      </c>
      <c r="F558" s="29" t="inlineStr">
        <is>
          <t>Ciempiés</t>
        </is>
      </c>
      <c r="G558" s="29">
        <f>B558</f>
        <v/>
      </c>
      <c r="H558" s="29" t="inlineStr">
        <is>
          <t>지네</t>
        </is>
      </c>
      <c r="I558" s="29" t="inlineStr">
        <is>
          <t>蜈蚣</t>
        </is>
      </c>
      <c r="J558" s="29">
        <f>I558</f>
        <v/>
      </c>
      <c r="K558" s="29">
        <f>F558</f>
        <v/>
      </c>
    </row>
    <row r="559">
      <c r="A559" s="29">
        <f>CONCATENATE("CATEGORY_",UPPER(Pokemon!B545))</f>
        <v/>
      </c>
      <c r="B559" s="29" t="inlineStr">
        <is>
          <t>Curlipede</t>
        </is>
      </c>
      <c r="C559" s="29" t="inlineStr">
        <is>
          <t>まゆムカデ</t>
        </is>
      </c>
      <c r="D559" s="29" t="inlineStr">
        <is>
          <t>Coconplopode</t>
        </is>
      </c>
      <c r="E559" s="29" t="inlineStr">
        <is>
          <t>Kokonfüßer</t>
        </is>
      </c>
      <c r="F559" s="29" t="inlineStr">
        <is>
          <t>Pupaciempiés</t>
        </is>
      </c>
      <c r="G559" s="29" t="inlineStr">
        <is>
          <t>Rotopede</t>
        </is>
      </c>
      <c r="H559" s="29" t="inlineStr">
        <is>
          <t>눈썹지네</t>
        </is>
      </c>
      <c r="I559" s="29" t="inlineStr">
        <is>
          <t>繭蜈蚣</t>
        </is>
      </c>
      <c r="J559" s="29">
        <f>IFERROR(__xludf.DUMMYFUNCTION("GOOGLETRANSLATE(I559, ""zh_HANT"",""zh_HANS"")"),"茧蜈蚣")</f>
        <v/>
      </c>
      <c r="K559" s="29">
        <f>F559</f>
        <v/>
      </c>
    </row>
    <row r="560">
      <c r="A560" s="29">
        <f>CONCATENATE("CATEGORY_",UPPER(Pokemon!B546))</f>
        <v/>
      </c>
      <c r="B560" s="29" t="inlineStr">
        <is>
          <t>Megapede</t>
        </is>
      </c>
      <c r="C560" s="29" t="inlineStr">
        <is>
          <t>メガムカデ</t>
        </is>
      </c>
      <c r="D560" s="29" t="inlineStr">
        <is>
          <t>Mégaplopode</t>
        </is>
      </c>
      <c r="E560" s="29" t="inlineStr">
        <is>
          <t>Riesenfüßer</t>
        </is>
      </c>
      <c r="F560" s="29" t="inlineStr">
        <is>
          <t>Megaciempiés</t>
        </is>
      </c>
      <c r="G560" s="29">
        <f>B560</f>
        <v/>
      </c>
      <c r="H560" s="29" t="inlineStr">
        <is>
          <t>메가지네</t>
        </is>
      </c>
      <c r="I560" s="29" t="inlineStr">
        <is>
          <t>巨蜈蚣</t>
        </is>
      </c>
      <c r="J560" s="29">
        <f>I560</f>
        <v/>
      </c>
      <c r="K560" s="29">
        <f>F560</f>
        <v/>
      </c>
    </row>
    <row r="561">
      <c r="A561" s="29">
        <f>CONCATENATE("CATEGORY_",UPPER(Pokemon!B547))</f>
        <v/>
      </c>
      <c r="B561" s="29" t="inlineStr">
        <is>
          <t>Cotton Puff</t>
        </is>
      </c>
      <c r="C561" s="29" t="inlineStr">
        <is>
          <t>わたたま</t>
        </is>
      </c>
      <c r="D561" s="29" t="inlineStr">
        <is>
          <t>Boule Couton</t>
        </is>
      </c>
      <c r="E561" s="29" t="inlineStr">
        <is>
          <t>Wattebausch</t>
        </is>
      </c>
      <c r="F561" s="29" t="inlineStr">
        <is>
          <t>Bolalgodón</t>
        </is>
      </c>
      <c r="G561" s="29" t="inlineStr">
        <is>
          <t>Cotonpalla</t>
        </is>
      </c>
      <c r="H561" s="29" t="inlineStr">
        <is>
          <t>솜뭉치</t>
        </is>
      </c>
      <c r="I561" s="29" t="inlineStr">
        <is>
          <t>棉球</t>
        </is>
      </c>
      <c r="J561" s="29">
        <f>I561</f>
        <v/>
      </c>
      <c r="K561" s="29">
        <f>F561</f>
        <v/>
      </c>
    </row>
    <row r="562">
      <c r="A562" s="29">
        <f>CONCATENATE("CATEGORY_",UPPER(Pokemon!B548))</f>
        <v/>
      </c>
      <c r="B562" s="29" t="inlineStr">
        <is>
          <t>Windveiled</t>
        </is>
      </c>
      <c r="C562" s="29" t="inlineStr">
        <is>
          <t>かぜかくれ</t>
        </is>
      </c>
      <c r="D562" s="29" t="inlineStr">
        <is>
          <t>Vole Vent</t>
        </is>
      </c>
      <c r="E562" s="29" t="inlineStr">
        <is>
          <t>Windschatten</t>
        </is>
      </c>
      <c r="F562" s="29" t="inlineStr">
        <is>
          <t>Vuelalviento</t>
        </is>
      </c>
      <c r="G562" s="29" t="inlineStr">
        <is>
          <t>Spiffero</t>
        </is>
      </c>
      <c r="H562" s="29" t="inlineStr">
        <is>
          <t>바람숨기</t>
        </is>
      </c>
      <c r="I562" s="29" t="inlineStr">
        <is>
          <t>風隱</t>
        </is>
      </c>
      <c r="J562" s="29">
        <f>IFERROR(__xludf.DUMMYFUNCTION("GOOGLETRANSLATE(I562, ""zh_HANT"",""zh_HANS"")"),"风隐")</f>
        <v/>
      </c>
      <c r="K562" s="29">
        <f>F562</f>
        <v/>
      </c>
    </row>
    <row r="563">
      <c r="A563" s="29">
        <f>CONCATENATE("CATEGORY_",UPPER(Pokemon!B549))</f>
        <v/>
      </c>
      <c r="B563" s="29" t="inlineStr">
        <is>
          <t>Bulb</t>
        </is>
      </c>
      <c r="C563" s="29" t="inlineStr">
        <is>
          <t>ねっこ</t>
        </is>
      </c>
      <c r="D563" s="29" t="inlineStr">
        <is>
          <t>Racine</t>
        </is>
      </c>
      <c r="E563" s="29" t="inlineStr">
        <is>
          <t>Wurzel</t>
        </is>
      </c>
      <c r="F563" s="29" t="inlineStr">
        <is>
          <t>Bulbo</t>
        </is>
      </c>
      <c r="G563" s="29" t="inlineStr">
        <is>
          <t>Radice</t>
        </is>
      </c>
      <c r="H563" s="29" t="inlineStr">
        <is>
          <t>뿌리</t>
        </is>
      </c>
      <c r="I563" s="29" t="inlineStr">
        <is>
          <t>根莖</t>
        </is>
      </c>
      <c r="J563" s="29">
        <f>IFERROR(__xludf.DUMMYFUNCTION("GOOGLETRANSLATE(I563, ""zh_HANT"",""zh_HANS"")"),"根茎")</f>
        <v/>
      </c>
      <c r="K563" s="29">
        <f>F563</f>
        <v/>
      </c>
    </row>
    <row r="564">
      <c r="A564" s="29">
        <f>CONCATENATE("CATEGORY_",UPPER(Pokemon!B550))</f>
        <v/>
      </c>
      <c r="B564" s="29" t="inlineStr">
        <is>
          <t>Flowering</t>
        </is>
      </c>
      <c r="C564" s="29" t="inlineStr">
        <is>
          <t>はなかざり</t>
        </is>
      </c>
      <c r="D564" s="29" t="inlineStr">
        <is>
          <t>Chef-Fleur</t>
        </is>
      </c>
      <c r="E564" s="29" t="inlineStr">
        <is>
          <t>Blumenzier</t>
        </is>
      </c>
      <c r="F564" s="29" t="inlineStr">
        <is>
          <t>Adornofloral</t>
        </is>
      </c>
      <c r="G564" s="29" t="inlineStr">
        <is>
          <t>Fiorfronzolo</t>
        </is>
      </c>
      <c r="H564" s="29" t="inlineStr">
        <is>
          <t>꽃장식</t>
        </is>
      </c>
      <c r="I564" s="29" t="inlineStr">
        <is>
          <t>花飾</t>
        </is>
      </c>
      <c r="J564" s="29">
        <f>IFERROR(__xludf.DUMMYFUNCTION("GOOGLETRANSLATE(I564, ""zh_HANT"",""zh_HANS"")"),"花饰")</f>
        <v/>
      </c>
      <c r="K564" s="29">
        <f>F564</f>
        <v/>
      </c>
    </row>
    <row r="565">
      <c r="A565" s="29">
        <f>CONCATENATE(A564,"-H")</f>
        <v/>
      </c>
      <c r="B565" s="29" t="inlineStr">
        <is>
          <t>Spinning</t>
        </is>
      </c>
      <c r="C565" s="29" t="inlineStr">
        <is>
          <t>スピン</t>
        </is>
      </c>
      <c r="D565" s="29" t="inlineStr">
        <is>
          <t>Pirouette</t>
        </is>
      </c>
      <c r="E565" s="29" t="inlineStr">
        <is>
          <t>Pirouetten</t>
        </is>
      </c>
      <c r="F565" s="29" t="inlineStr">
        <is>
          <t>Pirueta</t>
        </is>
      </c>
      <c r="G565" s="29" t="inlineStr">
        <is>
          <t>Girevole</t>
        </is>
      </c>
      <c r="H565" s="29" t="inlineStr">
        <is>
          <t>스핀</t>
        </is>
      </c>
      <c r="I565" s="29">
        <f>IFERROR(__xludf.DUMMYFUNCTION("GOOGLETRANSLATE(J565,""zh_HANS"",""zh_HANT"")"),"旋轉")</f>
        <v/>
      </c>
      <c r="J565" s="29" t="inlineStr">
        <is>
          <t>旋转</t>
        </is>
      </c>
      <c r="K565" s="29">
        <f>F565</f>
        <v/>
      </c>
    </row>
    <row r="566">
      <c r="A566" s="29">
        <f>CONCATENATE("CATEGORY_",UPPER(Pokemon!B551))</f>
        <v/>
      </c>
      <c r="B566" s="29" t="inlineStr">
        <is>
          <t>Hostile</t>
        </is>
      </c>
      <c r="C566" s="29" t="inlineStr">
        <is>
          <t>らんぼう</t>
        </is>
      </c>
      <c r="D566" s="29" t="inlineStr">
        <is>
          <t>Violent</t>
        </is>
      </c>
      <c r="E566" s="29" t="inlineStr">
        <is>
          <t>Grobheit</t>
        </is>
      </c>
      <c r="F566" s="29">
        <f>CONCATENATE(D566,"o")</f>
        <v/>
      </c>
      <c r="G566" s="29" t="inlineStr">
        <is>
          <t>Irruenza</t>
        </is>
      </c>
      <c r="H566" s="29" t="inlineStr">
        <is>
          <t>흉포</t>
        </is>
      </c>
      <c r="I566" s="29" t="inlineStr">
        <is>
          <t>粗暴</t>
        </is>
      </c>
      <c r="J566" s="29">
        <f>I566</f>
        <v/>
      </c>
      <c r="K566" s="29">
        <f>F566</f>
        <v/>
      </c>
    </row>
    <row r="567">
      <c r="A567" s="29" t="inlineStr">
        <is>
          <t>CATEGORY_BASCULIN-W</t>
        </is>
      </c>
      <c r="B567" s="29" t="inlineStr">
        <is>
          <t>Mellow</t>
        </is>
      </c>
      <c r="C567" s="29" t="inlineStr">
        <is>
          <t>おんこう</t>
        </is>
      </c>
      <c r="D567" s="29" t="inlineStr">
        <is>
          <t>Pacifique</t>
        </is>
      </c>
      <c r="E567" s="29" t="inlineStr">
        <is>
          <t>Sanftheits</t>
        </is>
      </c>
      <c r="F567" s="29" t="inlineStr">
        <is>
          <t>Manso</t>
        </is>
      </c>
      <c r="G567" s="29" t="inlineStr">
        <is>
          <t>Docilità</t>
        </is>
      </c>
      <c r="H567" s="29" t="inlineStr">
        <is>
          <t>온후</t>
        </is>
      </c>
      <c r="I567" s="29">
        <f>IFERROR(__xludf.DUMMYFUNCTION("GOOGLETRANSLATE(J567,""zh_HANS"",""zh_HANT"")"),"溫厚")</f>
        <v/>
      </c>
      <c r="J567" s="29" t="inlineStr">
        <is>
          <t>温厚</t>
        </is>
      </c>
      <c r="K567" s="29">
        <f>F567</f>
        <v/>
      </c>
    </row>
    <row r="568">
      <c r="A568" s="29">
        <f>CONCATENATE("CATEGORY_",UPPER(Pokemon!B552))</f>
        <v/>
      </c>
      <c r="B568" s="29" t="inlineStr">
        <is>
          <t>Desert Croc</t>
        </is>
      </c>
      <c r="C568" s="29" t="inlineStr">
        <is>
          <t>さばくワニ</t>
        </is>
      </c>
      <c r="D568" s="29" t="inlineStr">
        <is>
          <t>Croco Sable</t>
        </is>
      </c>
      <c r="E568" s="29" t="inlineStr">
        <is>
          <t>Wüstenkroko</t>
        </is>
      </c>
      <c r="F568" s="29" t="inlineStr">
        <is>
          <t>Desierdrilo</t>
        </is>
      </c>
      <c r="G568" s="29" t="inlineStr">
        <is>
          <t>Sabbiadrillo</t>
        </is>
      </c>
      <c r="H568" s="29" t="inlineStr">
        <is>
          <t>사막악어</t>
        </is>
      </c>
      <c r="I568" s="29" t="inlineStr">
        <is>
          <t>沙漠鱷魚</t>
        </is>
      </c>
      <c r="J568" s="29">
        <f>IFERROR(__xludf.DUMMYFUNCTION("GOOGLETRANSLATE(I568, ""zh_HANT"",""zh_HANS"")"),"沙漠鳄鱼")</f>
        <v/>
      </c>
      <c r="K568" s="29">
        <f>F568</f>
        <v/>
      </c>
    </row>
    <row r="569">
      <c r="A569" s="29">
        <f>CONCATENATE("CATEGORY_",UPPER(Pokemon!B553))</f>
        <v/>
      </c>
      <c r="B569" s="29">
        <f>B568</f>
        <v/>
      </c>
      <c r="C569" s="29">
        <f>C568</f>
        <v/>
      </c>
      <c r="D569" s="29">
        <f>D568</f>
        <v/>
      </c>
      <c r="E569" s="29">
        <f>E568</f>
        <v/>
      </c>
      <c r="F569" s="29">
        <f>F568</f>
        <v/>
      </c>
      <c r="G569" s="29">
        <f>G568</f>
        <v/>
      </c>
      <c r="H569" s="29">
        <f>H568</f>
        <v/>
      </c>
      <c r="I569" s="29">
        <f>I568</f>
        <v/>
      </c>
      <c r="J569" s="29">
        <f>J568</f>
        <v/>
      </c>
      <c r="K569" s="29">
        <f>F569</f>
        <v/>
      </c>
    </row>
    <row r="570">
      <c r="A570" s="29">
        <f>CONCATENATE("CATEGORY_",UPPER(Pokemon!B554))</f>
        <v/>
      </c>
      <c r="B570" s="29">
        <f>D570</f>
        <v/>
      </c>
      <c r="C570" s="29">
        <f>Abilities!C23</f>
        <v/>
      </c>
      <c r="D570" s="29">
        <f>Abilities!D23</f>
        <v/>
      </c>
      <c r="E570" s="29" t="inlineStr">
        <is>
          <t>Abschreckung</t>
        </is>
      </c>
      <c r="F570" s="29" t="inlineStr">
        <is>
          <t>Amenazador</t>
        </is>
      </c>
      <c r="G570" s="29" t="inlineStr">
        <is>
          <t>Minaccia</t>
        </is>
      </c>
      <c r="H570" s="29">
        <f>Abilities!H23</f>
        <v/>
      </c>
      <c r="I570" s="29">
        <f>Abilities!I23</f>
        <v/>
      </c>
      <c r="J570" s="29">
        <f>Abilities!J23</f>
        <v/>
      </c>
      <c r="K570" s="29">
        <f>F570</f>
        <v/>
      </c>
    </row>
    <row r="571">
      <c r="A571" s="29">
        <f>CONCATENATE("CATEGORY_",UPPER(Pokemon!B555))</f>
        <v/>
      </c>
      <c r="B571" s="29" t="inlineStr">
        <is>
          <t>Zen Charm</t>
        </is>
      </c>
      <c r="C571" s="29" t="inlineStr">
        <is>
          <t>だるま</t>
        </is>
      </c>
      <c r="D571" s="29" t="inlineStr">
        <is>
          <t>Daruma</t>
        </is>
      </c>
      <c r="E571" s="29" t="inlineStr">
        <is>
          <t>Lampion</t>
        </is>
      </c>
      <c r="F571" s="29">
        <f>D571</f>
        <v/>
      </c>
      <c r="G571" s="29">
        <f>D571</f>
        <v/>
      </c>
      <c r="H571" s="29" t="inlineStr">
        <is>
          <t>달마</t>
        </is>
      </c>
      <c r="I571" s="29" t="inlineStr">
        <is>
          <t>不倒翁</t>
        </is>
      </c>
      <c r="J571" s="29">
        <f>I571</f>
        <v/>
      </c>
      <c r="K571" s="29">
        <f>F571</f>
        <v/>
      </c>
    </row>
    <row r="572">
      <c r="A572" s="29">
        <f>CONCATENATE("CATEGORY_",UPPER(Pokemon!B556))</f>
        <v/>
      </c>
      <c r="B572" s="29" t="inlineStr">
        <is>
          <t>Blazing</t>
        </is>
      </c>
      <c r="C572" s="29" t="inlineStr">
        <is>
          <t>えんじょう</t>
        </is>
      </c>
      <c r="D572" s="29" t="inlineStr">
        <is>
          <t>Enflammé</t>
        </is>
      </c>
      <c r="E572" s="29" t="inlineStr">
        <is>
          <t>Lichterloh</t>
        </is>
      </c>
      <c r="F572" s="29" t="inlineStr">
        <is>
          <t>Candente</t>
        </is>
      </c>
      <c r="G572" s="29" t="inlineStr">
        <is>
          <t>Altefiamme</t>
        </is>
      </c>
      <c r="H572" s="29" t="inlineStr">
        <is>
          <t>염상</t>
        </is>
      </c>
      <c r="I572" s="29" t="inlineStr">
        <is>
          <t>爆燃</t>
        </is>
      </c>
      <c r="J572" s="29">
        <f>I572</f>
        <v/>
      </c>
      <c r="K572" s="29">
        <f>F572</f>
        <v/>
      </c>
    </row>
    <row r="573">
      <c r="A573" s="29">
        <f>CONCATENATE(A572,"-G")</f>
        <v/>
      </c>
      <c r="B573" s="29">
        <f>B571</f>
        <v/>
      </c>
      <c r="C573" s="29">
        <f>C571</f>
        <v/>
      </c>
      <c r="D573" s="29">
        <f>D571</f>
        <v/>
      </c>
      <c r="E573" s="29">
        <f>E571</f>
        <v/>
      </c>
      <c r="F573" s="29">
        <f>F571</f>
        <v/>
      </c>
      <c r="G573" s="29">
        <f>G571</f>
        <v/>
      </c>
      <c r="H573" s="29">
        <f>H571</f>
        <v/>
      </c>
      <c r="I573" s="29">
        <f>I571</f>
        <v/>
      </c>
      <c r="J573" s="29">
        <f>J571</f>
        <v/>
      </c>
      <c r="K573" s="29">
        <f>F573</f>
        <v/>
      </c>
    </row>
    <row r="574">
      <c r="A574" s="29">
        <f>CONCATENATE(A573,"Z")</f>
        <v/>
      </c>
      <c r="B574" s="29">
        <f>B572</f>
        <v/>
      </c>
      <c r="C574" s="29">
        <f>C572</f>
        <v/>
      </c>
      <c r="D574" s="29">
        <f>D572</f>
        <v/>
      </c>
      <c r="E574" s="29">
        <f>E572</f>
        <v/>
      </c>
      <c r="F574" s="29">
        <f>F572</f>
        <v/>
      </c>
      <c r="G574" s="29">
        <f>G572</f>
        <v/>
      </c>
      <c r="H574" s="29">
        <f>H572</f>
        <v/>
      </c>
      <c r="I574" s="29">
        <f>I572</f>
        <v/>
      </c>
      <c r="J574" s="29">
        <f>J572</f>
        <v/>
      </c>
      <c r="K574" s="29">
        <f>F574</f>
        <v/>
      </c>
    </row>
    <row r="575">
      <c r="A575" s="29">
        <f>CONCATENATE("CATEGORY_",UPPER(Pokemon!B557))</f>
        <v/>
      </c>
      <c r="B575" s="29">
        <f>B345</f>
        <v/>
      </c>
      <c r="C575" s="29">
        <f>C345</f>
        <v/>
      </c>
      <c r="D575" s="29">
        <f>D345</f>
        <v/>
      </c>
      <c r="E575" s="29">
        <f>E345</f>
        <v/>
      </c>
      <c r="F575" s="29">
        <f>F345</f>
        <v/>
      </c>
      <c r="G575" s="29">
        <f>G345</f>
        <v/>
      </c>
      <c r="H575" s="29">
        <f>H345</f>
        <v/>
      </c>
      <c r="I575" s="29">
        <f>I345</f>
        <v/>
      </c>
      <c r="J575" s="29">
        <f>J345</f>
        <v/>
      </c>
      <c r="K575" s="29">
        <f>F575</f>
        <v/>
      </c>
    </row>
    <row r="576">
      <c r="A576" s="29">
        <f>CONCATENATE("CATEGORY_",UPPER(Pokemon!B558))</f>
        <v/>
      </c>
      <c r="B576" s="29" t="inlineStr">
        <is>
          <t>Rock Inn</t>
        </is>
      </c>
      <c r="C576" s="29" t="inlineStr">
        <is>
          <t>いしやど</t>
        </is>
      </c>
      <c r="D576" s="29" t="inlineStr">
        <is>
          <t>Lithicole</t>
        </is>
      </c>
      <c r="E576" s="29" t="inlineStr">
        <is>
          <t>Steinhaus</t>
        </is>
      </c>
      <c r="F576" s="29" t="inlineStr">
        <is>
          <t>Casapiedra</t>
        </is>
      </c>
      <c r="G576" s="29" t="inlineStr">
        <is>
          <t>Pietracasa</t>
        </is>
      </c>
      <c r="H576" s="29" t="inlineStr">
        <is>
          <t>돌집</t>
        </is>
      </c>
      <c r="I576" s="29" t="inlineStr">
        <is>
          <t>石居</t>
        </is>
      </c>
      <c r="J576" s="29">
        <f>I576</f>
        <v/>
      </c>
      <c r="K576" s="29">
        <f>F576</f>
        <v/>
      </c>
    </row>
    <row r="577">
      <c r="A577" s="29">
        <f>CONCATENATE("CATEGORY_",UPPER(Pokemon!B559))</f>
        <v/>
      </c>
      <c r="B577" s="29" t="inlineStr">
        <is>
          <t>Stone Home</t>
        </is>
      </c>
      <c r="C577" s="29" t="inlineStr">
        <is>
          <t>いわやど</t>
        </is>
      </c>
      <c r="D577" s="29" t="inlineStr">
        <is>
          <t>Lapidicole</t>
        </is>
      </c>
      <c r="E577" s="29" t="inlineStr">
        <is>
          <t>Felshaus</t>
        </is>
      </c>
      <c r="F577" s="29" t="inlineStr">
        <is>
          <t>Casarroca</t>
        </is>
      </c>
      <c r="G577" s="29" t="inlineStr">
        <is>
          <t>Scogliocasa</t>
        </is>
      </c>
      <c r="H577" s="29" t="inlineStr">
        <is>
          <t>바위집</t>
        </is>
      </c>
      <c r="I577" s="29" t="inlineStr">
        <is>
          <t>岩居</t>
        </is>
      </c>
      <c r="J577" s="29">
        <f>I577</f>
        <v/>
      </c>
      <c r="K577" s="29">
        <f>F577</f>
        <v/>
      </c>
    </row>
    <row r="578">
      <c r="A578" s="29">
        <f>CONCATENATE("CATEGORY_",UPPER(Pokemon!B560))</f>
        <v/>
      </c>
      <c r="B578" s="29" t="inlineStr">
        <is>
          <t>Shedding</t>
        </is>
      </c>
      <c r="C578" s="29" t="inlineStr">
        <is>
          <t>だっぴ</t>
        </is>
      </c>
      <c r="D578" s="29" t="inlineStr">
        <is>
          <t>Mue</t>
        </is>
      </c>
      <c r="E578" s="29" t="inlineStr">
        <is>
          <t>Hautwechsel</t>
        </is>
      </c>
      <c r="F578" s="29" t="inlineStr">
        <is>
          <t>Mudapiel</t>
        </is>
      </c>
      <c r="G578" s="29" t="inlineStr">
        <is>
          <t>Mutapelle</t>
        </is>
      </c>
      <c r="H578" s="29" t="inlineStr">
        <is>
          <t>탈피</t>
        </is>
      </c>
      <c r="I578" s="29" t="inlineStr">
        <is>
          <t>蛻皮</t>
        </is>
      </c>
      <c r="J578" s="29">
        <f>IFERROR(__xludf.DUMMYFUNCTION("GOOGLETRANSLATE(I578, ""zh_HANT"",""zh_HANS"")"),"蜕皮")</f>
        <v/>
      </c>
      <c r="K578" s="29">
        <f>F578</f>
        <v/>
      </c>
    </row>
    <row r="579">
      <c r="A579" s="29">
        <f>CONCATENATE("CATEGORY_",UPPER(Pokemon!B561))</f>
        <v/>
      </c>
      <c r="B579" s="29" t="inlineStr">
        <is>
          <t>Hoodlum</t>
        </is>
      </c>
      <c r="C579" s="29" t="inlineStr">
        <is>
          <t>あくとう</t>
        </is>
      </c>
      <c r="D579" s="29" t="inlineStr">
        <is>
          <t>Gang</t>
        </is>
      </c>
      <c r="E579" s="29" t="inlineStr">
        <is>
          <t>Halunke</t>
        </is>
      </c>
      <c r="F579" s="29" t="inlineStr">
        <is>
          <t>Gamberro</t>
        </is>
      </c>
      <c r="G579" s="29" t="inlineStr">
        <is>
          <t>Furfante</t>
        </is>
      </c>
      <c r="H579" s="29" t="inlineStr">
        <is>
          <t>악당</t>
        </is>
      </c>
      <c r="I579" s="29" t="inlineStr">
        <is>
          <t>惡黨</t>
        </is>
      </c>
      <c r="J579" s="29">
        <f>IFERROR(__xludf.DUMMYFUNCTION("GOOGLETRANSLATE(I579, ""zh_HANT"",""zh_HANS"")"),"恶党")</f>
        <v/>
      </c>
      <c r="K579" s="29">
        <f>F579</f>
        <v/>
      </c>
    </row>
    <row r="580">
      <c r="A580" s="29">
        <f>CONCATENATE("CATEGORY_",UPPER(Pokemon!B562))</f>
        <v/>
      </c>
      <c r="B580" s="29" t="inlineStr">
        <is>
          <t>Avianoid</t>
        </is>
      </c>
      <c r="C580" s="29" t="inlineStr">
        <is>
          <t>とりもどき</t>
        </is>
      </c>
      <c r="D580" s="29" t="inlineStr">
        <is>
          <t>Similoiseau</t>
        </is>
      </c>
      <c r="E580" s="29" t="inlineStr">
        <is>
          <t>Vogelgleich</t>
        </is>
      </c>
      <c r="F580" s="29" t="inlineStr">
        <is>
          <t>Pseudopájaro</t>
        </is>
      </c>
      <c r="G580" s="29" t="inlineStr">
        <is>
          <t>Pseuduccello</t>
        </is>
      </c>
      <c r="H580" s="29" t="inlineStr">
        <is>
          <t>흡사새</t>
        </is>
      </c>
      <c r="I580" s="29" t="inlineStr">
        <is>
          <t>似鳥</t>
        </is>
      </c>
      <c r="J580" s="29">
        <f>IFERROR(__xludf.DUMMYFUNCTION("GOOGLETRANSLATE(I580, ""zh_HANT"",""zh_HANS"")"),"似鸟")</f>
        <v/>
      </c>
      <c r="K580" s="29">
        <f>F580</f>
        <v/>
      </c>
    </row>
    <row r="581">
      <c r="A581" s="29">
        <f>CONCATENATE("CATEGORY_",UPPER(Pokemon!B563))</f>
        <v/>
      </c>
      <c r="B581" s="29" t="inlineStr">
        <is>
          <t>Spirit</t>
        </is>
      </c>
      <c r="C581" s="29" t="inlineStr">
        <is>
          <t>たましい</t>
        </is>
      </c>
      <c r="D581" s="29" t="inlineStr">
        <is>
          <t>Âme</t>
        </is>
      </c>
      <c r="E581" s="29" t="inlineStr">
        <is>
          <t>Seele</t>
        </is>
      </c>
      <c r="F581" s="29" t="inlineStr">
        <is>
          <t>Espíritu</t>
        </is>
      </c>
      <c r="G581" s="29" t="inlineStr">
        <is>
          <t>Fautuanima</t>
        </is>
      </c>
      <c r="H581" s="29" t="inlineStr">
        <is>
          <t>영혼</t>
        </is>
      </c>
      <c r="I581" s="29" t="inlineStr">
        <is>
          <t>魂</t>
        </is>
      </c>
      <c r="J581" s="29">
        <f>I581</f>
        <v/>
      </c>
      <c r="K581" s="29">
        <f>F581</f>
        <v/>
      </c>
    </row>
    <row r="582">
      <c r="A582" s="29">
        <f>CONCATENATE("CATEGORY_",UPPER(Pokemon!B564))</f>
        <v/>
      </c>
      <c r="B582" s="29" t="inlineStr">
        <is>
          <t>Coffin</t>
        </is>
      </c>
      <c r="C582" s="29" t="inlineStr">
        <is>
          <t>かんおけ</t>
        </is>
      </c>
      <c r="D582" s="29" t="inlineStr">
        <is>
          <t>Cercueil</t>
        </is>
      </c>
      <c r="E582" s="29" t="inlineStr">
        <is>
          <t>Sarkophag</t>
        </is>
      </c>
      <c r="F582" s="29" t="inlineStr">
        <is>
          <t>Sepultura</t>
        </is>
      </c>
      <c r="G582" s="29" t="inlineStr">
        <is>
          <t>Bara</t>
        </is>
      </c>
      <c r="H582" s="29" t="inlineStr">
        <is>
          <t>관</t>
        </is>
      </c>
      <c r="I582" s="29" t="inlineStr">
        <is>
          <t>棺木</t>
        </is>
      </c>
      <c r="J582" s="29">
        <f>I582</f>
        <v/>
      </c>
      <c r="K582" s="29">
        <f>F582</f>
        <v/>
      </c>
    </row>
    <row r="583">
      <c r="A583" s="29">
        <f>CONCATENATE("CATEGORY_",UPPER(Pokemon!B565))</f>
        <v/>
      </c>
      <c r="B583" s="29" t="inlineStr">
        <is>
          <t>Prototurtle</t>
        </is>
      </c>
      <c r="C583" s="29" t="inlineStr">
        <is>
          <t>こだいがめ</t>
        </is>
      </c>
      <c r="D583" s="29" t="inlineStr">
        <is>
          <t>Tortantique</t>
        </is>
      </c>
      <c r="E583" s="29" t="inlineStr">
        <is>
          <t>Urzeitkröte</t>
        </is>
      </c>
      <c r="F583" s="29" t="inlineStr">
        <is>
          <t>Pretortuga</t>
        </is>
      </c>
      <c r="G583" s="29" t="inlineStr">
        <is>
          <t>Ancestruga</t>
        </is>
      </c>
      <c r="H583" s="29" t="inlineStr">
        <is>
          <t>옛날거북</t>
        </is>
      </c>
      <c r="I583" s="29" t="inlineStr">
        <is>
          <t>古代龜</t>
        </is>
      </c>
      <c r="J583" s="29">
        <f>IFERROR(__xludf.DUMMYFUNCTION("GOOGLETRANSLATE(I583, ""zh_HANT"",""zh_HANS"")"),"古代龟")</f>
        <v/>
      </c>
      <c r="K583" s="29">
        <f>F583</f>
        <v/>
      </c>
    </row>
    <row r="584">
      <c r="A584" s="29">
        <f>CONCATENATE("CATEGORY_",UPPER(Pokemon!B566))</f>
        <v/>
      </c>
      <c r="B584" s="29">
        <f>B583</f>
        <v/>
      </c>
      <c r="C584" s="29">
        <f>C583</f>
        <v/>
      </c>
      <c r="D584" s="29">
        <f>D583</f>
        <v/>
      </c>
      <c r="E584" s="29">
        <f>E583</f>
        <v/>
      </c>
      <c r="F584" s="29">
        <f>F583</f>
        <v/>
      </c>
      <c r="G584" s="29">
        <f>G583</f>
        <v/>
      </c>
      <c r="H584" s="29">
        <f>H583</f>
        <v/>
      </c>
      <c r="I584" s="29">
        <f>I583</f>
        <v/>
      </c>
      <c r="J584" s="29">
        <f>J583</f>
        <v/>
      </c>
      <c r="K584" s="29">
        <f>F584</f>
        <v/>
      </c>
    </row>
    <row r="585">
      <c r="A585" s="29">
        <f>CONCATENATE("CATEGORY_",UPPER(Pokemon!B567))</f>
        <v/>
      </c>
      <c r="B585" s="29" t="inlineStr">
        <is>
          <t>First Bird</t>
        </is>
      </c>
      <c r="C585" s="29" t="inlineStr">
        <is>
          <t>さいこどり</t>
        </is>
      </c>
      <c r="D585" s="29" t="inlineStr">
        <is>
          <t>Oisancien</t>
        </is>
      </c>
      <c r="E585" s="29" t="inlineStr">
        <is>
          <t>Urzeitvogel</t>
        </is>
      </c>
      <c r="F585" s="29" t="inlineStr">
        <is>
          <t>Protopájaro</t>
        </is>
      </c>
      <c r="G585" s="29" t="inlineStr">
        <is>
          <t>Paleouccello</t>
        </is>
      </c>
      <c r="H585" s="29" t="inlineStr">
        <is>
          <t>최초새</t>
        </is>
      </c>
      <c r="I585" s="29" t="inlineStr">
        <is>
          <t>遠古鳥</t>
        </is>
      </c>
      <c r="J585" s="29">
        <f>IFERROR(__xludf.DUMMYFUNCTION("GOOGLETRANSLATE(I585, ""zh_HANT"",""zh_HANS"")"),"远古鸟")</f>
        <v/>
      </c>
      <c r="K585" s="29">
        <f>F585</f>
        <v/>
      </c>
    </row>
    <row r="586">
      <c r="A586" s="29">
        <f>CONCATENATE("CATEGORY_",UPPER(Pokemon!B568))</f>
        <v/>
      </c>
      <c r="B586" s="29">
        <f>B585</f>
        <v/>
      </c>
      <c r="C586" s="29">
        <f>C585</f>
        <v/>
      </c>
      <c r="D586" s="29">
        <f>D585</f>
        <v/>
      </c>
      <c r="E586" s="29">
        <f>E585</f>
        <v/>
      </c>
      <c r="F586" s="29">
        <f>F585</f>
        <v/>
      </c>
      <c r="G586" s="29">
        <f>G585</f>
        <v/>
      </c>
      <c r="H586" s="29">
        <f>H585</f>
        <v/>
      </c>
      <c r="I586" s="29">
        <f>I585</f>
        <v/>
      </c>
      <c r="J586" s="29">
        <f>J585</f>
        <v/>
      </c>
      <c r="K586" s="29">
        <f>F586</f>
        <v/>
      </c>
    </row>
    <row r="587">
      <c r="A587" s="29">
        <f>CONCATENATE("CATEGORY_",UPPER(Pokemon!B569))</f>
        <v/>
      </c>
      <c r="B587" s="29" t="inlineStr">
        <is>
          <t>Trash Bag</t>
        </is>
      </c>
      <c r="C587" s="29" t="inlineStr">
        <is>
          <t>ゴミぶくろ</t>
        </is>
      </c>
      <c r="D587" s="29" t="inlineStr">
        <is>
          <t>Sac Poubelle</t>
        </is>
      </c>
      <c r="E587" s="29" t="inlineStr">
        <is>
          <t>Mülltüte</t>
        </is>
      </c>
      <c r="F587" s="29" t="inlineStr">
        <is>
          <t>Bolsabasura</t>
        </is>
      </c>
      <c r="G587" s="29" t="inlineStr">
        <is>
          <t>Spazzatura</t>
        </is>
      </c>
      <c r="H587" s="29" t="inlineStr">
        <is>
          <t>쓰레기봉투</t>
        </is>
      </c>
      <c r="I587" s="29" t="inlineStr">
        <is>
          <t>垃圾袋</t>
        </is>
      </c>
      <c r="J587" s="29">
        <f>I587</f>
        <v/>
      </c>
      <c r="K587" s="29">
        <f>F587</f>
        <v/>
      </c>
    </row>
    <row r="588">
      <c r="A588" s="29">
        <f>CONCATENATE("CATEGORY_",UPPER(Pokemon!B570))</f>
        <v/>
      </c>
      <c r="B588" s="29" t="inlineStr">
        <is>
          <t>Trash Heap</t>
        </is>
      </c>
      <c r="C588" s="29" t="inlineStr">
        <is>
          <t>ゴミすてば</t>
        </is>
      </c>
      <c r="D588" s="29" t="inlineStr">
        <is>
          <t>Dépotoir</t>
        </is>
      </c>
      <c r="E588" s="29" t="inlineStr">
        <is>
          <t>Müllhalde</t>
        </is>
      </c>
      <c r="F588" s="29" t="inlineStr">
        <is>
          <t>Vertedero</t>
        </is>
      </c>
      <c r="G588" s="29" t="inlineStr">
        <is>
          <t>Discaria</t>
        </is>
      </c>
      <c r="H588" s="29" t="inlineStr">
        <is>
          <t>쓰레기장</t>
        </is>
      </c>
      <c r="I588" s="29" t="inlineStr">
        <is>
          <t>垃圾場</t>
        </is>
      </c>
      <c r="J588" s="29">
        <f>IFERROR(__xludf.DUMMYFUNCTION("GOOGLETRANSLATE(I588, ""zh_HANT"",""zh_HANS"")"),"垃圾场")</f>
        <v/>
      </c>
      <c r="K588" s="29">
        <f>F588</f>
        <v/>
      </c>
    </row>
    <row r="589">
      <c r="A589" s="29">
        <f>CONCATENATE("CATEGORY_",UPPER(Pokemon!B571))</f>
        <v/>
      </c>
      <c r="B589" s="29" t="inlineStr">
        <is>
          <t>Tricky Fox</t>
        </is>
      </c>
      <c r="C589" s="29" t="inlineStr">
        <is>
          <t>わるぎつね</t>
        </is>
      </c>
      <c r="D589" s="29" t="inlineStr">
        <is>
          <t>Sombrenard</t>
        </is>
      </c>
      <c r="E589" s="29" t="inlineStr">
        <is>
          <t>Lausefuchs</t>
        </is>
      </c>
      <c r="F589" s="29" t="inlineStr">
        <is>
          <t>Zorropillo</t>
        </is>
      </c>
      <c r="G589" s="29" t="inlineStr">
        <is>
          <t>Malavolpe</t>
        </is>
      </c>
      <c r="H589" s="29" t="inlineStr">
        <is>
          <t>나쁜여우</t>
        </is>
      </c>
      <c r="I589" s="29" t="inlineStr">
        <is>
          <t>惡狐</t>
        </is>
      </c>
      <c r="J589" s="29">
        <f>IFERROR(__xludf.DUMMYFUNCTION("GOOGLETRANSLATE(I589, ""zh_HANT"",""zh_HANS"")"),"恶狐")</f>
        <v/>
      </c>
      <c r="K589" s="29">
        <f>F589</f>
        <v/>
      </c>
    </row>
    <row r="590">
      <c r="A590" s="29">
        <f>CONCATENATE(A589,"-H")</f>
        <v/>
      </c>
      <c r="B590" s="29" t="inlineStr">
        <is>
          <t>Spiteful Fox</t>
        </is>
      </c>
      <c r="C590" s="29" t="inlineStr">
        <is>
          <t>うらみぎつね</t>
        </is>
      </c>
      <c r="D590" s="29" t="inlineStr">
        <is>
          <t>Rancœurenard</t>
        </is>
      </c>
      <c r="E590" s="29" t="inlineStr">
        <is>
          <t>Grollfuchs</t>
        </is>
      </c>
      <c r="F590" s="29" t="inlineStr">
        <is>
          <t>Disfrazorro</t>
        </is>
      </c>
      <c r="G590" s="29" t="inlineStr">
        <is>
          <t>Rancorvolpe</t>
        </is>
      </c>
      <c r="H590" s="29" t="inlineStr">
        <is>
          <t>원한여우</t>
        </is>
      </c>
      <c r="I590" s="29">
        <f>J590</f>
        <v/>
      </c>
      <c r="J590" s="29" t="inlineStr">
        <is>
          <t>怨狐</t>
        </is>
      </c>
      <c r="K590" s="29">
        <f>F590</f>
        <v/>
      </c>
    </row>
    <row r="591">
      <c r="A591" s="29">
        <f>CONCATENATE("CATEGORY_",UPPER(Pokemon!B572))</f>
        <v/>
      </c>
      <c r="B591" s="29" t="inlineStr">
        <is>
          <t>Illusion Fox</t>
        </is>
      </c>
      <c r="C591" s="29" t="inlineStr">
        <is>
          <t>ばけぎつね</t>
        </is>
      </c>
      <c r="D591" s="29" t="inlineStr">
        <is>
          <t>Polymofox</t>
        </is>
      </c>
      <c r="E591" s="29" t="inlineStr">
        <is>
          <t>Polymorfuchs</t>
        </is>
      </c>
      <c r="F591" s="29">
        <f>F590</f>
        <v/>
      </c>
      <c r="G591" s="29" t="inlineStr">
        <is>
          <t>Mutevolpe</t>
        </is>
      </c>
      <c r="H591" s="29" t="inlineStr">
        <is>
          <t>요괴여우</t>
        </is>
      </c>
      <c r="I591" s="29" t="inlineStr">
        <is>
          <t>妖狐</t>
        </is>
      </c>
      <c r="J591" s="29">
        <f>I591</f>
        <v/>
      </c>
      <c r="K591" s="29">
        <f>F591</f>
        <v/>
      </c>
    </row>
    <row r="592">
      <c r="A592" s="29">
        <f>CONCATENATE(A591,"-H")</f>
        <v/>
      </c>
      <c r="B592" s="29" t="inlineStr">
        <is>
          <t>Baneful Fox</t>
        </is>
      </c>
      <c r="C592" s="29" t="inlineStr">
        <is>
          <t>のろいぎつね</t>
        </is>
      </c>
      <c r="D592" s="29" t="inlineStr">
        <is>
          <t>Maudirenard</t>
        </is>
      </c>
      <c r="E592" s="29" t="inlineStr">
        <is>
          <t>Fluchfuchs</t>
        </is>
      </c>
      <c r="F592" s="29" t="inlineStr">
        <is>
          <t>Maldizorro</t>
        </is>
      </c>
      <c r="G592" s="29" t="inlineStr">
        <is>
          <t>Maledivolpe</t>
        </is>
      </c>
      <c r="H592" s="29" t="inlineStr">
        <is>
          <t>저주여우</t>
        </is>
      </c>
      <c r="I592" s="29">
        <f>J592</f>
        <v/>
      </c>
      <c r="J592" s="29" t="inlineStr">
        <is>
          <t>咒狐</t>
        </is>
      </c>
      <c r="K592" s="29">
        <f>F592</f>
        <v/>
      </c>
    </row>
    <row r="593">
      <c r="A593" s="29">
        <f>CONCATENATE("CATEGORY_",UPPER(Pokemon!B573))</f>
        <v/>
      </c>
      <c r="B593" s="29" t="inlineStr">
        <is>
          <t>Chinchilla</t>
        </is>
      </c>
      <c r="C593" s="29" t="inlineStr">
        <is>
          <t>チンチラ</t>
        </is>
      </c>
      <c r="D593" s="29">
        <f>B593</f>
        <v/>
      </c>
      <c r="E593" s="29">
        <f>B593</f>
        <v/>
      </c>
      <c r="F593" s="29">
        <f>B593</f>
        <v/>
      </c>
      <c r="G593" s="29" t="inlineStr">
        <is>
          <t>Cincillà</t>
        </is>
      </c>
      <c r="H593" s="29" t="inlineStr">
        <is>
          <t>친칠라</t>
        </is>
      </c>
      <c r="I593" s="29" t="inlineStr">
        <is>
          <t>栗鼠</t>
        </is>
      </c>
      <c r="J593" s="29">
        <f>I593</f>
        <v/>
      </c>
      <c r="K593" s="29">
        <f>F593</f>
        <v/>
      </c>
    </row>
    <row r="594">
      <c r="A594" s="29">
        <f>CONCATENATE("CATEGORY_",UPPER(Pokemon!B574))</f>
        <v/>
      </c>
      <c r="B594" s="29" t="inlineStr">
        <is>
          <t>Scarf</t>
        </is>
      </c>
      <c r="C594" s="29" t="inlineStr">
        <is>
          <t>スカーフ</t>
        </is>
      </c>
      <c r="D594" s="29" t="inlineStr">
        <is>
          <t>Écharpe</t>
        </is>
      </c>
      <c r="E594" s="29" t="inlineStr">
        <is>
          <t>Schal</t>
        </is>
      </c>
      <c r="F594" s="29" t="inlineStr">
        <is>
          <t>Estola</t>
        </is>
      </c>
      <c r="G594" s="29" t="inlineStr">
        <is>
          <t>Sciarpa</t>
        </is>
      </c>
      <c r="H594" s="29" t="inlineStr">
        <is>
          <t>스카프</t>
        </is>
      </c>
      <c r="I594" s="29" t="inlineStr">
        <is>
          <t>圍巾</t>
        </is>
      </c>
      <c r="J594" s="29">
        <f>IFERROR(__xludf.DUMMYFUNCTION("GOOGLETRANSLATE(I594, ""zh_HANT"",""zh_HANS"")"),"围巾")</f>
        <v/>
      </c>
      <c r="K594" s="29">
        <f>F594</f>
        <v/>
      </c>
    </row>
    <row r="595">
      <c r="A595" s="29">
        <f>CONCATENATE("CATEGORY_",UPPER(Pokemon!B575))</f>
        <v/>
      </c>
      <c r="B595" s="29" t="inlineStr">
        <is>
          <t>Fixation</t>
        </is>
      </c>
      <c r="C595" s="29" t="inlineStr">
        <is>
          <t>ぎょうし</t>
        </is>
      </c>
      <c r="D595" s="29" t="inlineStr">
        <is>
          <t>Dévisageur</t>
        </is>
      </c>
      <c r="E595" s="29" t="inlineStr">
        <is>
          <t>Glotz</t>
        </is>
      </c>
      <c r="F595" s="29" t="inlineStr">
        <is>
          <t>Inquisitivo</t>
        </is>
      </c>
      <c r="G595" s="29" t="inlineStr">
        <is>
          <t>Fissosguardo</t>
        </is>
      </c>
      <c r="H595" s="29" t="inlineStr">
        <is>
          <t>응시</t>
        </is>
      </c>
      <c r="I595" s="29" t="inlineStr">
        <is>
          <t>凝視</t>
        </is>
      </c>
      <c r="J595" s="29">
        <f>IFERROR(__xludf.DUMMYFUNCTION("GOOGLETRANSLATE(I595, ""zh_HANT"",""zh_HANS"")"),"凝视")</f>
        <v/>
      </c>
      <c r="K595" s="29">
        <f>F595</f>
        <v/>
      </c>
    </row>
    <row r="596">
      <c r="A596" s="29">
        <f>CONCATENATE("CATEGORY_",UPPER(Pokemon!B576))</f>
        <v/>
      </c>
      <c r="B596" s="29">
        <f>B340</f>
        <v/>
      </c>
      <c r="C596" s="29">
        <f>C340</f>
        <v/>
      </c>
      <c r="D596" s="29">
        <f>D340</f>
        <v/>
      </c>
      <c r="E596" s="29">
        <f>E340</f>
        <v/>
      </c>
      <c r="F596" s="29">
        <f>F340</f>
        <v/>
      </c>
      <c r="G596" s="29">
        <f>G340</f>
        <v/>
      </c>
      <c r="H596" s="29">
        <f>H340</f>
        <v/>
      </c>
      <c r="I596" s="29">
        <f>I340</f>
        <v/>
      </c>
      <c r="J596" s="29">
        <f>J340</f>
        <v/>
      </c>
      <c r="K596" s="29">
        <f>F596</f>
        <v/>
      </c>
    </row>
    <row r="597">
      <c r="A597" s="29">
        <f>CONCATENATE("CATEGORY_",UPPER(Pokemon!B577))</f>
        <v/>
      </c>
      <c r="B597" s="29" t="inlineStr">
        <is>
          <t>Astral Body</t>
        </is>
      </c>
      <c r="C597" s="29" t="inlineStr">
        <is>
          <t>てんたい</t>
        </is>
      </c>
      <c r="D597" s="29" t="inlineStr">
        <is>
          <t>Cosmique</t>
        </is>
      </c>
      <c r="E597" s="29" t="inlineStr">
        <is>
          <t>Gestirn</t>
        </is>
      </c>
      <c r="F597" s="29" t="inlineStr">
        <is>
          <t>Astro</t>
        </is>
      </c>
      <c r="G597" s="29" t="inlineStr">
        <is>
          <t>Corpoceleste</t>
        </is>
      </c>
      <c r="H597" s="29" t="inlineStr">
        <is>
          <t>천체</t>
        </is>
      </c>
      <c r="I597" s="29" t="inlineStr">
        <is>
          <t>天體</t>
        </is>
      </c>
      <c r="J597" s="29">
        <f>IFERROR(__xludf.DUMMYFUNCTION("GOOGLETRANSLATE(I597, ""zh_HANT"",""zh_HANS"")"),"天体")</f>
        <v/>
      </c>
      <c r="K597" s="29">
        <f>F597</f>
        <v/>
      </c>
    </row>
    <row r="598">
      <c r="A598" s="29">
        <f>CONCATENATE("CATEGORY_",UPPER(Pokemon!B578))</f>
        <v/>
      </c>
      <c r="B598" s="29" t="inlineStr">
        <is>
          <t>Cell</t>
        </is>
      </c>
      <c r="C598" s="29" t="inlineStr">
        <is>
          <t>さいぼう</t>
        </is>
      </c>
      <c r="D598" s="29" t="inlineStr">
        <is>
          <t>Cellule</t>
        </is>
      </c>
      <c r="E598" s="29" t="inlineStr">
        <is>
          <t>Zelle</t>
        </is>
      </c>
      <c r="F598" s="29" t="inlineStr">
        <is>
          <t>Célula</t>
        </is>
      </c>
      <c r="G598" s="29">
        <f>CONCATENATE(B598,"ula")</f>
        <v/>
      </c>
      <c r="H598" s="29" t="inlineStr">
        <is>
          <t>세포</t>
        </is>
      </c>
      <c r="I598" s="29" t="inlineStr">
        <is>
          <t>細胞</t>
        </is>
      </c>
      <c r="J598" s="29">
        <f>IFERROR(__xludf.DUMMYFUNCTION("GOOGLETRANSLATE(I598, ""zh_HANT"",""zh_HANS"")"),"细胞")</f>
        <v/>
      </c>
      <c r="K598" s="29">
        <f>F598</f>
        <v/>
      </c>
    </row>
    <row r="599">
      <c r="A599" s="29">
        <f>CONCATENATE("CATEGORY_",UPPER(Pokemon!B579))</f>
        <v/>
      </c>
      <c r="B599" s="29" t="inlineStr">
        <is>
          <t>Mitosis</t>
        </is>
      </c>
      <c r="C599" s="29" t="inlineStr">
        <is>
          <t>ばんかつ</t>
        </is>
      </c>
      <c r="D599" s="29" t="inlineStr">
        <is>
          <t>Divisé</t>
        </is>
      </c>
      <c r="E599" s="29" t="inlineStr">
        <is>
          <t>Zellteilung</t>
        </is>
      </c>
      <c r="F599" s="29">
        <f>B599</f>
        <v/>
      </c>
      <c r="G599" s="29" t="inlineStr">
        <is>
          <t>Scissione</t>
        </is>
      </c>
      <c r="H599" s="29" t="inlineStr">
        <is>
          <t>분할</t>
        </is>
      </c>
      <c r="I599" s="29" t="inlineStr">
        <is>
          <t>分割</t>
        </is>
      </c>
      <c r="J599" s="29">
        <f>I599</f>
        <v/>
      </c>
      <c r="K599" s="29">
        <f>F599</f>
        <v/>
      </c>
    </row>
    <row r="600">
      <c r="A600" s="29">
        <f>CONCATENATE("CATEGORY_",UPPER(Pokemon!B580))</f>
        <v/>
      </c>
      <c r="B600" s="29" t="inlineStr">
        <is>
          <t>Multiplying</t>
        </is>
      </c>
      <c r="C600" s="29" t="inlineStr">
        <is>
          <t>ぞうふく</t>
        </is>
      </c>
      <c r="D600" s="29" t="inlineStr">
        <is>
          <t>Multiplié</t>
        </is>
      </c>
      <c r="E600" s="29" t="inlineStr">
        <is>
          <t>Vermehrung</t>
        </is>
      </c>
      <c r="F600" s="29" t="inlineStr">
        <is>
          <t>Ampliación</t>
        </is>
      </c>
      <c r="G600" s="29" t="inlineStr">
        <is>
          <t>Espansione</t>
        </is>
      </c>
      <c r="H600" s="29" t="inlineStr">
        <is>
          <t>증폭</t>
        </is>
      </c>
      <c r="I600" s="29" t="inlineStr">
        <is>
          <t>增幅</t>
        </is>
      </c>
      <c r="J600" s="29">
        <f>I600</f>
        <v/>
      </c>
      <c r="K600" s="29">
        <f>F600</f>
        <v/>
      </c>
    </row>
    <row r="601">
      <c r="A601" s="29">
        <f>CONCATENATE("CATEGORY_",UPPER(Pokemon!B581))</f>
        <v/>
      </c>
      <c r="B601" s="29">
        <f>B293</f>
        <v/>
      </c>
      <c r="C601" s="29">
        <f>C293</f>
        <v/>
      </c>
      <c r="D601" s="29">
        <f>D293</f>
        <v/>
      </c>
      <c r="E601" s="29">
        <f>E293</f>
        <v/>
      </c>
      <c r="F601" s="29">
        <f>F293</f>
        <v/>
      </c>
      <c r="G601" s="29">
        <f>G293</f>
        <v/>
      </c>
      <c r="H601" s="29">
        <f>H293</f>
        <v/>
      </c>
      <c r="I601" s="29">
        <f>I293</f>
        <v/>
      </c>
      <c r="J601" s="29">
        <f>J293</f>
        <v/>
      </c>
      <c r="K601" s="29">
        <f>F601</f>
        <v/>
      </c>
    </row>
    <row r="602">
      <c r="A602" s="29">
        <f>CONCATENATE("CATEGORY_",UPPER(Pokemon!B582))</f>
        <v/>
      </c>
      <c r="B602" s="29" t="inlineStr">
        <is>
          <t>White Bird</t>
        </is>
      </c>
      <c r="C602" s="29" t="inlineStr">
        <is>
          <t>しらとり</t>
        </is>
      </c>
      <c r="D602" s="29" t="inlineStr">
        <is>
          <t>Cygne</t>
        </is>
      </c>
      <c r="E602" s="29" t="inlineStr">
        <is>
          <t>Schwan</t>
        </is>
      </c>
      <c r="F602" s="29" t="inlineStr">
        <is>
          <t>Cisne</t>
        </is>
      </c>
      <c r="G602" s="29" t="inlineStr">
        <is>
          <t>Biancuccello</t>
        </is>
      </c>
      <c r="H602" s="29" t="inlineStr">
        <is>
          <t>백조</t>
        </is>
      </c>
      <c r="I602" s="29" t="inlineStr">
        <is>
          <t>白鳥</t>
        </is>
      </c>
      <c r="J602" s="29">
        <f>IFERROR(__xludf.DUMMYFUNCTION("GOOGLETRANSLATE(I602, ""zh_HANT"",""zh_HANS"")"),"白鸟")</f>
        <v/>
      </c>
      <c r="K602" s="29">
        <f>F602</f>
        <v/>
      </c>
    </row>
    <row r="603">
      <c r="A603" s="29">
        <f>CONCATENATE("CATEGORY_",UPPER(Pokemon!B583))</f>
        <v/>
      </c>
      <c r="B603" s="29">
        <f>B485</f>
        <v/>
      </c>
      <c r="C603" s="29">
        <f>C485</f>
        <v/>
      </c>
      <c r="D603" s="29">
        <f>D485</f>
        <v/>
      </c>
      <c r="E603" s="29">
        <f>E485</f>
        <v/>
      </c>
      <c r="F603" s="29">
        <f>F485</f>
        <v/>
      </c>
      <c r="G603" s="29">
        <f>G485</f>
        <v/>
      </c>
      <c r="H603" s="29">
        <f>H485</f>
        <v/>
      </c>
      <c r="I603" s="29">
        <f>I485</f>
        <v/>
      </c>
      <c r="J603" s="29">
        <f>J485</f>
        <v/>
      </c>
      <c r="K603" s="29">
        <f>F603</f>
        <v/>
      </c>
    </row>
    <row r="604">
      <c r="A604" s="29">
        <f>CONCATENATE("CATEGORY_",UPPER(Pokemon!B584))</f>
        <v/>
      </c>
      <c r="B604" s="29" t="inlineStr">
        <is>
          <t>Icy Snow</t>
        </is>
      </c>
      <c r="C604" s="29" t="inlineStr">
        <is>
          <t>ひょうせつ</t>
        </is>
      </c>
      <c r="D604" s="29" t="inlineStr">
        <is>
          <t>Grêle</t>
        </is>
      </c>
      <c r="E604" s="29" t="inlineStr">
        <is>
          <t>Firn</t>
        </is>
      </c>
      <c r="F604" s="29" t="inlineStr">
        <is>
          <t>Nieve Helada</t>
        </is>
      </c>
      <c r="G604" s="29" t="inlineStr">
        <is>
          <t>Geloneve</t>
        </is>
      </c>
      <c r="H604" s="29" t="inlineStr">
        <is>
          <t>빙설</t>
        </is>
      </c>
      <c r="I604" s="29" t="inlineStr">
        <is>
          <t>冰雪</t>
        </is>
      </c>
      <c r="J604" s="29">
        <f>I604</f>
        <v/>
      </c>
      <c r="K604" s="29">
        <f>F604</f>
        <v/>
      </c>
    </row>
    <row r="605">
      <c r="A605" s="29">
        <f>CONCATENATE("CATEGORY_",UPPER(Pokemon!B585))</f>
        <v/>
      </c>
      <c r="B605" s="29" t="inlineStr">
        <is>
          <t>Snowstorm</t>
        </is>
      </c>
      <c r="C605" s="29" t="inlineStr">
        <is>
          <t>ブリザード</t>
        </is>
      </c>
      <c r="D605" s="29" t="inlineStr">
        <is>
          <t>Congère</t>
        </is>
      </c>
      <c r="E605" s="29" t="inlineStr">
        <is>
          <t>Schneesturm</t>
        </is>
      </c>
      <c r="F605" s="29" t="inlineStr">
        <is>
          <t>Nieve Gélida</t>
        </is>
      </c>
      <c r="G605" s="29" t="inlineStr">
        <is>
          <t>Bufera</t>
        </is>
      </c>
      <c r="H605" s="29" t="inlineStr">
        <is>
          <t>블리자드</t>
        </is>
      </c>
      <c r="I605" s="29">
        <f>Moves!I60</f>
        <v/>
      </c>
      <c r="J605" s="29">
        <f>Moves!J60</f>
        <v/>
      </c>
      <c r="K605" s="29">
        <f>F605</f>
        <v/>
      </c>
    </row>
    <row r="606">
      <c r="A606" s="29">
        <f>CONCATENATE("CATEGORY_",UPPER(Pokemon!B586))</f>
        <v/>
      </c>
      <c r="B606" s="29" t="inlineStr">
        <is>
          <t>Season</t>
        </is>
      </c>
      <c r="C606" s="29" t="inlineStr">
        <is>
          <t>きせつ</t>
        </is>
      </c>
      <c r="D606" s="29" t="inlineStr">
        <is>
          <t>Saison</t>
        </is>
      </c>
      <c r="E606" s="29" t="inlineStr">
        <is>
          <t>Jahreszeit</t>
        </is>
      </c>
      <c r="F606" s="29" t="inlineStr">
        <is>
          <t>Estacional</t>
        </is>
      </c>
      <c r="G606" s="29" t="inlineStr">
        <is>
          <t>Stagione</t>
        </is>
      </c>
      <c r="H606" s="29" t="inlineStr">
        <is>
          <t>계절</t>
        </is>
      </c>
      <c r="I606" s="29" t="inlineStr">
        <is>
          <t>季節</t>
        </is>
      </c>
      <c r="J606" s="29">
        <f>IFERROR(__xludf.DUMMYFUNCTION("GOOGLETRANSLATE(I606, ""zh_HANT"",""zh_HANS"")"),"季节")</f>
        <v/>
      </c>
      <c r="K606" s="29">
        <f>F606</f>
        <v/>
      </c>
    </row>
    <row r="607">
      <c r="A607" s="29">
        <f>CONCATENATE("CATEGORY_",UPPER(Pokemon!B587))</f>
        <v/>
      </c>
      <c r="B607" s="29">
        <f>B606</f>
        <v/>
      </c>
      <c r="C607" s="29">
        <f>C606</f>
        <v/>
      </c>
      <c r="D607" s="29">
        <f>D606</f>
        <v/>
      </c>
      <c r="E607" s="29">
        <f>E606</f>
        <v/>
      </c>
      <c r="F607" s="29">
        <f>F606</f>
        <v/>
      </c>
      <c r="G607" s="29">
        <f>G606</f>
        <v/>
      </c>
      <c r="H607" s="29">
        <f>H606</f>
        <v/>
      </c>
      <c r="I607" s="29">
        <f>I606</f>
        <v/>
      </c>
      <c r="J607" s="29">
        <f>J606</f>
        <v/>
      </c>
      <c r="K607" s="29">
        <f>F607</f>
        <v/>
      </c>
    </row>
    <row r="608">
      <c r="A608" s="29">
        <f>CONCATENATE("CATEGORY_",UPPER(Pokemon!B588))</f>
        <v/>
      </c>
      <c r="B608" s="29" t="inlineStr">
        <is>
          <t>Sky Squirrel</t>
        </is>
      </c>
      <c r="C608" s="29" t="inlineStr">
        <is>
          <t>モモンガ</t>
        </is>
      </c>
      <c r="D608" s="29" t="inlineStr">
        <is>
          <t>Pteromys</t>
        </is>
      </c>
      <c r="E608" s="29" t="inlineStr">
        <is>
          <t>Flughörnchen</t>
        </is>
      </c>
      <c r="F608" s="29" t="inlineStr">
        <is>
          <t>Vuelardilla</t>
        </is>
      </c>
      <c r="G608" s="29" t="inlineStr">
        <is>
          <t>Petauro</t>
        </is>
      </c>
      <c r="H608" s="29" t="inlineStr">
        <is>
          <t>하늘다람쥐</t>
        </is>
      </c>
      <c r="I608" s="29" t="inlineStr">
        <is>
          <t>飛鼠</t>
        </is>
      </c>
      <c r="J608" s="29">
        <f>IFERROR(__xludf.DUMMYFUNCTION("GOOGLETRANSLATE(I608, ""zh_HANT"",""zh_HANS"")"),"飞鼠")</f>
        <v/>
      </c>
      <c r="K608" s="29">
        <f>F608</f>
        <v/>
      </c>
    </row>
    <row r="609">
      <c r="A609" s="29">
        <f>CONCATENATE("CATEGORY_",UPPER(Pokemon!B589))</f>
        <v/>
      </c>
      <c r="B609" s="29" t="inlineStr">
        <is>
          <t>Clamping</t>
        </is>
      </c>
      <c r="C609" s="29" t="inlineStr">
        <is>
          <t>かぶりつき</t>
        </is>
      </c>
      <c r="D609" s="29" t="inlineStr">
        <is>
          <t>Carabe</t>
        </is>
      </c>
      <c r="E609" s="29" t="inlineStr">
        <is>
          <t>Schnappbiss</t>
        </is>
      </c>
      <c r="F609" s="29" t="inlineStr">
        <is>
          <t>Bocado</t>
        </is>
      </c>
      <c r="G609" s="29" t="inlineStr">
        <is>
          <t>Addentatore</t>
        </is>
      </c>
      <c r="H609" s="29" t="inlineStr">
        <is>
          <t>덥석물기</t>
        </is>
      </c>
      <c r="I609" s="29" t="inlineStr">
        <is>
          <t>啃咬</t>
        </is>
      </c>
      <c r="J609" s="29">
        <f>I609</f>
        <v/>
      </c>
      <c r="K609" s="29">
        <f>F609</f>
        <v/>
      </c>
    </row>
    <row r="610">
      <c r="A610" s="29">
        <f>CONCATENATE("CATEGORY_",UPPER(Pokemon!B590))</f>
        <v/>
      </c>
      <c r="B610" s="29" t="inlineStr">
        <is>
          <t>Cavalry</t>
        </is>
      </c>
      <c r="C610" s="29" t="inlineStr">
        <is>
          <t>きへい</t>
        </is>
      </c>
      <c r="D610" s="29" t="inlineStr">
        <is>
          <t>Chevalier</t>
        </is>
      </c>
      <c r="E610" s="29" t="inlineStr">
        <is>
          <t>Kavallerie</t>
        </is>
      </c>
      <c r="F610" s="29" t="inlineStr">
        <is>
          <t>Soldado</t>
        </is>
      </c>
      <c r="G610" s="29" t="inlineStr">
        <is>
          <t>Cavaliere</t>
        </is>
      </c>
      <c r="H610" s="29" t="inlineStr">
        <is>
          <t>기병</t>
        </is>
      </c>
      <c r="I610" s="29" t="inlineStr">
        <is>
          <t>騎兵</t>
        </is>
      </c>
      <c r="J610" s="29">
        <f>IFERROR(__xludf.DUMMYFUNCTION("GOOGLETRANSLATE(I610, ""zh_HANT"",""zh_HANS"")"),"骑兵")</f>
        <v/>
      </c>
      <c r="K610" s="29">
        <f>F610</f>
        <v/>
      </c>
    </row>
    <row r="611">
      <c r="A611" s="29">
        <f>CONCATENATE("CATEGORY_",UPPER(Pokemon!B591))</f>
        <v/>
      </c>
      <c r="B611" s="29">
        <f>B47</f>
        <v/>
      </c>
      <c r="C611" s="29">
        <f>C47</f>
        <v/>
      </c>
      <c r="D611" s="29">
        <f>D47</f>
        <v/>
      </c>
      <c r="E611" s="29">
        <f>E47</f>
        <v/>
      </c>
      <c r="F611" s="29">
        <f>F47</f>
        <v/>
      </c>
      <c r="G611" s="29">
        <f>G47</f>
        <v/>
      </c>
      <c r="H611" s="29">
        <f>H47</f>
        <v/>
      </c>
      <c r="I611" s="29">
        <f>I47</f>
        <v/>
      </c>
      <c r="J611" s="29">
        <f>J47</f>
        <v/>
      </c>
      <c r="K611" s="29">
        <f>F611</f>
        <v/>
      </c>
    </row>
    <row r="612">
      <c r="A612" s="29">
        <f>CONCATENATE("CATEGORY_",UPPER(Pokemon!B592))</f>
        <v/>
      </c>
      <c r="B612" s="29">
        <f>B47</f>
        <v/>
      </c>
      <c r="C612" s="29">
        <f>C47</f>
        <v/>
      </c>
      <c r="D612" s="29">
        <f>D47</f>
        <v/>
      </c>
      <c r="E612" s="29">
        <f>E47</f>
        <v/>
      </c>
      <c r="F612" s="29">
        <f>F47</f>
        <v/>
      </c>
      <c r="G612" s="29">
        <f>G47</f>
        <v/>
      </c>
      <c r="H612" s="29">
        <f>H47</f>
        <v/>
      </c>
      <c r="I612" s="29">
        <f>I47</f>
        <v/>
      </c>
      <c r="J612" s="29">
        <f>J47</f>
        <v/>
      </c>
      <c r="K612" s="29">
        <f>F612</f>
        <v/>
      </c>
    </row>
    <row r="613">
      <c r="A613" s="29">
        <f>CONCATENATE("CATEGORY_",UPPER(Pokemon!B593))</f>
        <v/>
      </c>
      <c r="B613" s="29" t="inlineStr">
        <is>
          <t>Floating</t>
        </is>
      </c>
      <c r="C613" s="29" t="inlineStr">
        <is>
          <t>ふゆう</t>
        </is>
      </c>
      <c r="D613" s="29" t="inlineStr">
        <is>
          <t>Flottaison</t>
        </is>
      </c>
      <c r="E613" s="29" t="inlineStr">
        <is>
          <t>Gleit</t>
        </is>
      </c>
      <c r="F613" s="29" t="inlineStr">
        <is>
          <t>Ingrávido</t>
        </is>
      </c>
      <c r="G613" s="29" t="inlineStr">
        <is>
          <t>Fluttuante</t>
        </is>
      </c>
      <c r="H613" s="29" t="inlineStr">
        <is>
          <t>부유</t>
        </is>
      </c>
      <c r="I613" s="29" t="inlineStr">
        <is>
          <t>漂浮</t>
        </is>
      </c>
      <c r="J613" s="29">
        <f>I613</f>
        <v/>
      </c>
      <c r="K613" s="29">
        <f>F613</f>
        <v/>
      </c>
    </row>
    <row r="614">
      <c r="A614" s="29">
        <f>CONCATENATE("CATEGORY_",UPPER(Pokemon!B594))</f>
        <v/>
      </c>
      <c r="B614" s="29">
        <f>B613</f>
        <v/>
      </c>
      <c r="C614" s="29">
        <f>C613</f>
        <v/>
      </c>
      <c r="D614" s="29">
        <f>D613</f>
        <v/>
      </c>
      <c r="E614" s="29">
        <f>E613</f>
        <v/>
      </c>
      <c r="F614" s="29">
        <f>F613</f>
        <v/>
      </c>
      <c r="G614" s="29">
        <f>G613</f>
        <v/>
      </c>
      <c r="H614" s="29">
        <f>H613</f>
        <v/>
      </c>
      <c r="I614" s="29">
        <f>I613</f>
        <v/>
      </c>
      <c r="J614" s="29">
        <f>J613</f>
        <v/>
      </c>
      <c r="K614" s="29">
        <f>F614</f>
        <v/>
      </c>
    </row>
    <row r="615">
      <c r="A615" s="29">
        <f>CONCATENATE("CATEGORY_",UPPER(Pokemon!B595))</f>
        <v/>
      </c>
      <c r="B615" s="29" t="inlineStr">
        <is>
          <t>Caring</t>
        </is>
      </c>
      <c r="C615" s="29" t="inlineStr">
        <is>
          <t>かいほう</t>
        </is>
      </c>
      <c r="D615" s="29" t="inlineStr">
        <is>
          <t>Soigneur</t>
        </is>
      </c>
      <c r="E615" s="29" t="inlineStr">
        <is>
          <t>Fürsorge</t>
        </is>
      </c>
      <c r="F615" s="29" t="inlineStr">
        <is>
          <t>Socorrista</t>
        </is>
      </c>
      <c r="G615" s="29" t="inlineStr">
        <is>
          <t>Assistenza</t>
        </is>
      </c>
      <c r="H615" s="29" t="inlineStr">
        <is>
          <t>돌보기</t>
        </is>
      </c>
      <c r="I615" s="29" t="inlineStr">
        <is>
          <t>看護</t>
        </is>
      </c>
      <c r="J615" s="29">
        <f>IFERROR(__xludf.DUMMYFUNCTION("GOOGLETRANSLATE(I615, ""zh_HANT"",""zh_HANS"")"),"看护")</f>
        <v/>
      </c>
      <c r="K615" s="29">
        <f>F615</f>
        <v/>
      </c>
    </row>
    <row r="616">
      <c r="A616" s="29">
        <f>CONCATENATE("CATEGORY_",UPPER(Pokemon!B596))</f>
        <v/>
      </c>
      <c r="B616" s="29" t="inlineStr">
        <is>
          <t>Attaching</t>
        </is>
      </c>
      <c r="C616" s="29" t="inlineStr">
        <is>
          <t>くっつき</t>
        </is>
      </c>
      <c r="D616" s="29" t="inlineStr">
        <is>
          <t>Crampon</t>
        </is>
      </c>
      <c r="E616" s="29" t="inlineStr">
        <is>
          <t>Kleben</t>
        </is>
      </c>
      <c r="F616" s="29" t="inlineStr">
        <is>
          <t>Lapa</t>
        </is>
      </c>
      <c r="G616" s="29" t="inlineStr">
        <is>
          <t>Appiccicante</t>
        </is>
      </c>
      <c r="H616" s="29" t="inlineStr">
        <is>
          <t>들러붙기</t>
        </is>
      </c>
      <c r="I616" s="29" t="inlineStr">
        <is>
          <t>吸附</t>
        </is>
      </c>
      <c r="J616" s="29">
        <f>I616</f>
        <v/>
      </c>
      <c r="K616" s="29">
        <f>F616</f>
        <v/>
      </c>
    </row>
    <row r="617">
      <c r="A617" s="29">
        <f>CONCATENATE("CATEGORY_",UPPER(Pokemon!B597))</f>
        <v/>
      </c>
      <c r="B617" s="29" t="inlineStr">
        <is>
          <t>EleSpider</t>
        </is>
      </c>
      <c r="C617" s="29" t="inlineStr">
        <is>
          <t>でんきグモ</t>
        </is>
      </c>
      <c r="D617" s="29" t="inlineStr">
        <is>
          <t>Araclectrik</t>
        </is>
      </c>
      <c r="E617" s="29" t="inlineStr">
        <is>
          <t>Stromspinne</t>
        </is>
      </c>
      <c r="F617" s="29" t="inlineStr">
        <is>
          <t>Electroaraña</t>
        </is>
      </c>
      <c r="G617" s="29" t="inlineStr">
        <is>
          <t>Elettroragno</t>
        </is>
      </c>
      <c r="H617" s="29" t="inlineStr">
        <is>
          <t>전기거미</t>
        </is>
      </c>
      <c r="I617" s="29" t="inlineStr">
        <is>
          <t>電蜘蛛</t>
        </is>
      </c>
      <c r="J617" s="29">
        <f>IFERROR(__xludf.DUMMYFUNCTION("GOOGLETRANSLATE(I617, ""zh_HANT"",""zh_HANS"")"),"电蜘蛛")</f>
        <v/>
      </c>
      <c r="K617" s="29">
        <f>F617</f>
        <v/>
      </c>
    </row>
    <row r="618">
      <c r="A618" s="29">
        <f>CONCATENATE("CATEGORY_",UPPER(Pokemon!B598))</f>
        <v/>
      </c>
      <c r="B618" s="29" t="inlineStr">
        <is>
          <t>Thorn Seed</t>
        </is>
      </c>
      <c r="C618" s="29" t="inlineStr">
        <is>
          <t>とげのみ</t>
        </is>
      </c>
      <c r="D618" s="29" t="inlineStr">
        <is>
          <t>Graine Épine</t>
        </is>
      </c>
      <c r="E618" s="29" t="inlineStr">
        <is>
          <t>Dornfrucht</t>
        </is>
      </c>
      <c r="F618" s="29" t="inlineStr">
        <is>
          <t>Fruto Espina</t>
        </is>
      </c>
      <c r="G618" s="29" t="inlineStr">
        <is>
          <t>Spinaseme</t>
        </is>
      </c>
      <c r="H618" s="29" t="inlineStr">
        <is>
          <t>가시열매</t>
        </is>
      </c>
      <c r="I618" s="29" t="inlineStr">
        <is>
          <t>刺果</t>
        </is>
      </c>
      <c r="J618" s="29">
        <f>I618</f>
        <v/>
      </c>
      <c r="K618" s="29">
        <f>F618</f>
        <v/>
      </c>
    </row>
    <row r="619">
      <c r="A619" s="29">
        <f>CONCATENATE("CATEGORY_",UPPER(Pokemon!B599))</f>
        <v/>
      </c>
      <c r="B619" s="29" t="inlineStr">
        <is>
          <t>Thorn Pod</t>
        </is>
      </c>
      <c r="C619" s="29" t="inlineStr">
        <is>
          <t>とげだま</t>
        </is>
      </c>
      <c r="D619" s="29" t="inlineStr">
        <is>
          <t>Boule Épine</t>
        </is>
      </c>
      <c r="E619" s="29" t="inlineStr">
        <is>
          <t>Dornkugel</t>
        </is>
      </c>
      <c r="F619" s="29" t="inlineStr">
        <is>
          <t>Bola Espina</t>
        </is>
      </c>
      <c r="G619" s="29" t="inlineStr">
        <is>
          <t>Spinasfere</t>
        </is>
      </c>
      <c r="H619" s="29" t="inlineStr">
        <is>
          <t>가시공</t>
        </is>
      </c>
      <c r="I619" s="29" t="inlineStr">
        <is>
          <t>刺球</t>
        </is>
      </c>
      <c r="J619" s="29">
        <f>I619</f>
        <v/>
      </c>
      <c r="K619" s="29">
        <f>F619</f>
        <v/>
      </c>
    </row>
    <row r="620">
      <c r="A620" s="29">
        <f>CONCATENATE("CATEGORY_",UPPER(Pokemon!B600))</f>
        <v/>
      </c>
      <c r="B620" s="29" t="inlineStr">
        <is>
          <t>Gear</t>
        </is>
      </c>
      <c r="C620" s="29" t="inlineStr">
        <is>
          <t>はぐるま</t>
        </is>
      </c>
      <c r="D620" s="29" t="inlineStr">
        <is>
          <t>Engrenage</t>
        </is>
      </c>
      <c r="E620" s="29" t="inlineStr">
        <is>
          <t>Getriebe</t>
        </is>
      </c>
      <c r="F620" s="29" t="inlineStr">
        <is>
          <t>Engranaje</t>
        </is>
      </c>
      <c r="G620" s="29" t="inlineStr">
        <is>
          <t>Ingranaggio</t>
        </is>
      </c>
      <c r="H620" s="29" t="inlineStr">
        <is>
          <t>톱니바퀴</t>
        </is>
      </c>
      <c r="I620" s="29" t="inlineStr">
        <is>
          <t>齒輪</t>
        </is>
      </c>
      <c r="J620" s="29">
        <f>IFERROR(__xludf.DUMMYFUNCTION("GOOGLETRANSLATE(I620, ""zh_HANT"",""zh_HANS"")"),"齿轮")</f>
        <v/>
      </c>
      <c r="K620" s="29">
        <f>F620</f>
        <v/>
      </c>
    </row>
    <row r="621">
      <c r="A621" s="29">
        <f>CONCATENATE("CATEGORY_",UPPER(Pokemon!B601))</f>
        <v/>
      </c>
      <c r="B621" s="29">
        <f>B620</f>
        <v/>
      </c>
      <c r="C621" s="29">
        <f>C620</f>
        <v/>
      </c>
      <c r="D621" s="29">
        <f>D620</f>
        <v/>
      </c>
      <c r="E621" s="29">
        <f>E620</f>
        <v/>
      </c>
      <c r="F621" s="29">
        <f>F620</f>
        <v/>
      </c>
      <c r="G621" s="29">
        <f>G620</f>
        <v/>
      </c>
      <c r="H621" s="29">
        <f>H620</f>
        <v/>
      </c>
      <c r="I621" s="29">
        <f>I620</f>
        <v/>
      </c>
      <c r="J621" s="29">
        <f>J620</f>
        <v/>
      </c>
      <c r="K621" s="29">
        <f>F621</f>
        <v/>
      </c>
    </row>
    <row r="622">
      <c r="A622" s="29">
        <f>CONCATENATE("CATEGORY_",UPPER(Pokemon!B602))</f>
        <v/>
      </c>
      <c r="B622" s="29">
        <f>B620</f>
        <v/>
      </c>
      <c r="C622" s="29">
        <f>C620</f>
        <v/>
      </c>
      <c r="D622" s="29">
        <f>D620</f>
        <v/>
      </c>
      <c r="E622" s="29">
        <f>E620</f>
        <v/>
      </c>
      <c r="F622" s="29">
        <f>F620</f>
        <v/>
      </c>
      <c r="G622" s="29">
        <f>G620</f>
        <v/>
      </c>
      <c r="H622" s="29">
        <f>H620</f>
        <v/>
      </c>
      <c r="I622" s="29">
        <f>I620</f>
        <v/>
      </c>
      <c r="J622" s="29">
        <f>J620</f>
        <v/>
      </c>
      <c r="K622" s="29">
        <f>F622</f>
        <v/>
      </c>
    </row>
    <row r="623">
      <c r="A623" s="29">
        <f>CONCATENATE("CATEGORY_",UPPER(Pokemon!B603))</f>
        <v/>
      </c>
      <c r="B623" s="29" t="inlineStr">
        <is>
          <t>EleFish</t>
        </is>
      </c>
      <c r="C623" s="29" t="inlineStr">
        <is>
          <t>でんきうお</t>
        </is>
      </c>
      <c r="D623" s="29" t="inlineStr">
        <is>
          <t>Électrophore</t>
        </is>
      </c>
      <c r="E623" s="29" t="inlineStr">
        <is>
          <t>Stromfisch</t>
        </is>
      </c>
      <c r="F623" s="29" t="inlineStr">
        <is>
          <t>Electropez</t>
        </is>
      </c>
      <c r="G623" s="29" t="inlineStr">
        <is>
          <t>Elettropesce</t>
        </is>
      </c>
      <c r="H623" s="29" t="inlineStr">
        <is>
          <t>전기물고기</t>
        </is>
      </c>
      <c r="I623" s="29" t="inlineStr">
        <is>
          <t>電魚</t>
        </is>
      </c>
      <c r="J623" s="29">
        <f>IFERROR(__xludf.DUMMYFUNCTION("GOOGLETRANSLATE(I623, ""zh_HANT"",""zh_HANS"")"),"电鱼")</f>
        <v/>
      </c>
      <c r="K623" s="29">
        <f>F623</f>
        <v/>
      </c>
    </row>
    <row r="624">
      <c r="A624" s="29">
        <f>CONCATENATE("CATEGORY_",UPPER(Pokemon!B604))</f>
        <v/>
      </c>
      <c r="B624" s="29">
        <f>B623</f>
        <v/>
      </c>
      <c r="C624" s="29">
        <f>C623</f>
        <v/>
      </c>
      <c r="D624" s="29">
        <f>D623</f>
        <v/>
      </c>
      <c r="E624" s="29">
        <f>E623</f>
        <v/>
      </c>
      <c r="F624" s="29">
        <f>F623</f>
        <v/>
      </c>
      <c r="G624" s="29">
        <f>G623</f>
        <v/>
      </c>
      <c r="H624" s="29">
        <f>H623</f>
        <v/>
      </c>
      <c r="I624" s="29">
        <f>I623</f>
        <v/>
      </c>
      <c r="J624" s="29">
        <f>J623</f>
        <v/>
      </c>
      <c r="K624" s="29">
        <f>F624</f>
        <v/>
      </c>
    </row>
    <row r="625">
      <c r="A625" s="29">
        <f>CONCATENATE("CATEGORY_",UPPER(Pokemon!B605))</f>
        <v/>
      </c>
      <c r="B625" s="29">
        <f>B623</f>
        <v/>
      </c>
      <c r="C625" s="29">
        <f>C623</f>
        <v/>
      </c>
      <c r="D625" s="29">
        <f>D623</f>
        <v/>
      </c>
      <c r="E625" s="29">
        <f>E623</f>
        <v/>
      </c>
      <c r="F625" s="29">
        <f>F623</f>
        <v/>
      </c>
      <c r="G625" s="29">
        <f>G623</f>
        <v/>
      </c>
      <c r="H625" s="29">
        <f>H623</f>
        <v/>
      </c>
      <c r="I625" s="29">
        <f>I623</f>
        <v/>
      </c>
      <c r="J625" s="29">
        <f>J623</f>
        <v/>
      </c>
      <c r="K625" s="29">
        <f>F625</f>
        <v/>
      </c>
    </row>
    <row r="626">
      <c r="A626" s="29">
        <f>CONCATENATE("CATEGORY_",UPPER(Pokemon!B606))</f>
        <v/>
      </c>
      <c r="B626" s="29" t="inlineStr">
        <is>
          <t>Cerebral</t>
        </is>
      </c>
      <c r="C626" s="29" t="inlineStr">
        <is>
          <t>ブレイン</t>
        </is>
      </c>
      <c r="D626" s="29" t="inlineStr">
        <is>
          <t>Cerveau</t>
        </is>
      </c>
      <c r="E626" s="29" t="inlineStr">
        <is>
          <t>Grips</t>
        </is>
      </c>
      <c r="F626" s="29" t="inlineStr">
        <is>
          <t>Cerebro</t>
        </is>
      </c>
      <c r="G626" s="29" t="inlineStr">
        <is>
          <t>Cervello</t>
        </is>
      </c>
      <c r="H626" s="29" t="inlineStr">
        <is>
          <t>브레인</t>
        </is>
      </c>
      <c r="I626" s="29" t="inlineStr">
        <is>
          <t>腦</t>
        </is>
      </c>
      <c r="J626" s="29">
        <f>IFERROR(__xludf.DUMMYFUNCTION("GOOGLETRANSLATE(I626, ""zh_HANT"",""zh_HANS"")"),"脑")</f>
        <v/>
      </c>
      <c r="K626" s="29">
        <f>F626</f>
        <v/>
      </c>
    </row>
    <row r="627">
      <c r="A627" s="29">
        <f>CONCATENATE("CATEGORY_",UPPER(Pokemon!B607))</f>
        <v/>
      </c>
      <c r="B627" s="29">
        <f>B626</f>
        <v/>
      </c>
      <c r="C627" s="29">
        <f>C626</f>
        <v/>
      </c>
      <c r="D627" s="29">
        <f>D626</f>
        <v/>
      </c>
      <c r="E627" s="29">
        <f>E626</f>
        <v/>
      </c>
      <c r="F627" s="29">
        <f>F626</f>
        <v/>
      </c>
      <c r="G627" s="29">
        <f>G626</f>
        <v/>
      </c>
      <c r="H627" s="29">
        <f>H626</f>
        <v/>
      </c>
      <c r="I627" s="29">
        <f>I626</f>
        <v/>
      </c>
      <c r="J627" s="29">
        <f>J626</f>
        <v/>
      </c>
      <c r="K627" s="29">
        <f>F627</f>
        <v/>
      </c>
    </row>
    <row r="628">
      <c r="A628" s="29">
        <f>CONCATENATE("CATEGORY_",UPPER(Pokemon!B608))</f>
        <v/>
      </c>
      <c r="B628" s="29" t="inlineStr">
        <is>
          <t>Candle</t>
        </is>
      </c>
      <c r="C628" s="29" t="inlineStr">
        <is>
          <t>ろうそく</t>
        </is>
      </c>
      <c r="D628" s="29" t="inlineStr">
        <is>
          <t>Chandelle</t>
        </is>
      </c>
      <c r="E628" s="29" t="inlineStr">
        <is>
          <t>Kerze</t>
        </is>
      </c>
      <c r="F628" s="29" t="inlineStr">
        <is>
          <t>Vela</t>
        </is>
      </c>
      <c r="G628" s="29" t="inlineStr">
        <is>
          <t>Candela</t>
        </is>
      </c>
      <c r="H628" s="29" t="inlineStr">
        <is>
          <t>양초</t>
        </is>
      </c>
      <c r="I628" s="29" t="inlineStr">
        <is>
          <t>蠟燭</t>
        </is>
      </c>
      <c r="J628" s="29">
        <f>IFERROR(__xludf.DUMMYFUNCTION("GOOGLETRANSLATE(I628, ""zh_HANT"",""zh_HANS"")"),"蜡烛")</f>
        <v/>
      </c>
      <c r="K628" s="29">
        <f>F628</f>
        <v/>
      </c>
    </row>
    <row r="629">
      <c r="A629" s="29">
        <f>CONCATENATE("CATEGORY_",UPPER(Pokemon!B609))</f>
        <v/>
      </c>
      <c r="B629" s="29" t="inlineStr">
        <is>
          <t>Lamp</t>
        </is>
      </c>
      <c r="C629" s="29" t="inlineStr">
        <is>
          <t>ランプ</t>
        </is>
      </c>
      <c r="D629" s="29" t="inlineStr">
        <is>
          <t>Lampe</t>
        </is>
      </c>
      <c r="E629" s="29">
        <f>D629</f>
        <v/>
      </c>
      <c r="F629" s="29" t="inlineStr">
        <is>
          <t>Farolillo</t>
        </is>
      </c>
      <c r="G629" s="29" t="inlineStr">
        <is>
          <t>Lanterna</t>
        </is>
      </c>
      <c r="H629" s="29" t="inlineStr">
        <is>
          <t>램프</t>
        </is>
      </c>
      <c r="I629" s="29" t="inlineStr">
        <is>
          <t>油燈</t>
        </is>
      </c>
      <c r="J629" s="29">
        <f>IFERROR(__xludf.DUMMYFUNCTION("GOOGLETRANSLATE(I629, ""zh_HANT"",""zh_HANS"")"),"油灯")</f>
        <v/>
      </c>
      <c r="K629" s="29">
        <f>F629</f>
        <v/>
      </c>
    </row>
    <row r="630">
      <c r="A630" s="29">
        <f>CONCATENATE("CATEGORY_",UPPER(Pokemon!B610))</f>
        <v/>
      </c>
      <c r="B630" s="29" t="inlineStr">
        <is>
          <t>Luring</t>
        </is>
      </c>
      <c r="C630" s="29" t="inlineStr">
        <is>
          <t>いざない</t>
        </is>
      </c>
      <c r="D630" s="29" t="inlineStr">
        <is>
          <t>Invitation</t>
        </is>
      </c>
      <c r="E630" s="29" t="inlineStr">
        <is>
          <t>Geleit</t>
        </is>
      </c>
      <c r="F630" s="29" t="inlineStr">
        <is>
          <t>Señuelo</t>
        </is>
      </c>
      <c r="G630" s="29" t="inlineStr">
        <is>
          <t>Attiranime</t>
        </is>
      </c>
      <c r="H630" s="29" t="inlineStr">
        <is>
          <t>권유</t>
        </is>
      </c>
      <c r="I630" s="29" t="inlineStr">
        <is>
          <t>引誘</t>
        </is>
      </c>
      <c r="J630" s="29">
        <f>IFERROR(__xludf.DUMMYFUNCTION("GOOGLETRANSLATE(I630, ""zh_HANT"",""zh_HANS"")"),"引诱")</f>
        <v/>
      </c>
      <c r="K630" s="29">
        <f>F630</f>
        <v/>
      </c>
    </row>
    <row r="631">
      <c r="A631" s="29">
        <f>CONCATENATE("CATEGORY_",UPPER(Pokemon!B611))</f>
        <v/>
      </c>
      <c r="B631" s="29" t="inlineStr">
        <is>
          <t>Tusk</t>
        </is>
      </c>
      <c r="C631" s="29" t="inlineStr">
        <is>
          <t>キバ</t>
        </is>
      </c>
      <c r="D631" s="29" t="inlineStr">
        <is>
          <t>Crocs</t>
        </is>
      </c>
      <c r="E631" s="29" t="inlineStr">
        <is>
          <t>Stoßzahn</t>
        </is>
      </c>
      <c r="F631" s="29" t="inlineStr">
        <is>
          <t>Colmillo</t>
        </is>
      </c>
      <c r="G631" s="29" t="inlineStr">
        <is>
          <t>Zanna</t>
        </is>
      </c>
      <c r="H631" s="29" t="inlineStr">
        <is>
          <t>이빨</t>
        </is>
      </c>
      <c r="I631" s="29" t="inlineStr">
        <is>
          <t>牙</t>
        </is>
      </c>
      <c r="J631" s="29">
        <f>I631</f>
        <v/>
      </c>
      <c r="K631" s="29">
        <f>F631</f>
        <v/>
      </c>
    </row>
    <row r="632">
      <c r="A632" s="29">
        <f>CONCATENATE("CATEGORY_",UPPER(Pokemon!B612))</f>
        <v/>
      </c>
      <c r="B632" s="29" t="inlineStr">
        <is>
          <t>Axe Jaw</t>
        </is>
      </c>
      <c r="C632" s="29" t="inlineStr">
        <is>
          <t>あごオノ</t>
        </is>
      </c>
      <c r="D632" s="29" t="inlineStr">
        <is>
          <t>Hachomenton</t>
        </is>
      </c>
      <c r="E632" s="29" t="inlineStr">
        <is>
          <t>Beilkiefer</t>
        </is>
      </c>
      <c r="F632" s="29" t="inlineStr">
        <is>
          <t>Boca Hacha</t>
        </is>
      </c>
      <c r="G632" s="29" t="inlineStr">
        <is>
          <t>Mascellascia</t>
        </is>
      </c>
      <c r="H632" s="29" t="inlineStr">
        <is>
          <t>도끼턱</t>
        </is>
      </c>
      <c r="I632" s="29" t="inlineStr">
        <is>
          <t>顎斧</t>
        </is>
      </c>
      <c r="J632" s="29">
        <f>IFERROR(__xludf.DUMMYFUNCTION("GOOGLETRANSLATE(I632, ""zh_HANT"",""zh_HANS"")"),"颚斧")</f>
        <v/>
      </c>
      <c r="K632" s="29">
        <f>F632</f>
        <v/>
      </c>
    </row>
    <row r="633">
      <c r="A633" s="29">
        <f>CONCATENATE("CATEGORY_",UPPER(Pokemon!B613))</f>
        <v/>
      </c>
      <c r="B633" s="29">
        <f>B632</f>
        <v/>
      </c>
      <c r="C633" s="29">
        <f>C632</f>
        <v/>
      </c>
      <c r="D633" s="29">
        <f>D632</f>
        <v/>
      </c>
      <c r="E633" s="29">
        <f>E632</f>
        <v/>
      </c>
      <c r="F633" s="29">
        <f>F632</f>
        <v/>
      </c>
      <c r="G633" s="29">
        <f>G632</f>
        <v/>
      </c>
      <c r="H633" s="29">
        <f>H632</f>
        <v/>
      </c>
      <c r="I633" s="29">
        <f>I632</f>
        <v/>
      </c>
      <c r="J633" s="29">
        <f>J632</f>
        <v/>
      </c>
      <c r="K633" s="29">
        <f>F633</f>
        <v/>
      </c>
    </row>
    <row r="634">
      <c r="A634" s="29">
        <f>CONCATENATE("CATEGORY_",UPPER(Pokemon!B614))</f>
        <v/>
      </c>
      <c r="B634" s="29" t="inlineStr">
        <is>
          <t>Chill</t>
        </is>
      </c>
      <c r="C634" s="29" t="inlineStr">
        <is>
          <t>ひょうけつ</t>
        </is>
      </c>
      <c r="D634" s="29" t="inlineStr">
        <is>
          <t>Gelé</t>
        </is>
      </c>
      <c r="E634" s="29" t="inlineStr">
        <is>
          <t>Eisscholle</t>
        </is>
      </c>
      <c r="F634" s="29" t="inlineStr">
        <is>
          <t>Congelación</t>
        </is>
      </c>
      <c r="G634" s="29" t="inlineStr">
        <is>
          <t>Freddo</t>
        </is>
      </c>
      <c r="H634" s="29" t="inlineStr">
        <is>
          <t>빙결</t>
        </is>
      </c>
      <c r="I634" s="29" t="inlineStr">
        <is>
          <t>結冰</t>
        </is>
      </c>
      <c r="J634" s="29">
        <f>IFERROR(__xludf.DUMMYFUNCTION("GOOGLETRANSLATE(I634, ""zh_HANT"",""zh_HANS"")"),"结冰")</f>
        <v/>
      </c>
      <c r="K634" s="29">
        <f>F634</f>
        <v/>
      </c>
    </row>
    <row r="635">
      <c r="A635" s="29">
        <f>CONCATENATE("CATEGORY_",UPPER(Pokemon!B615))</f>
        <v/>
      </c>
      <c r="B635" s="29" t="inlineStr">
        <is>
          <t>Freezing</t>
        </is>
      </c>
      <c r="C635" s="29" t="inlineStr">
        <is>
          <t>とうけつ</t>
        </is>
      </c>
      <c r="D635" s="29" t="inlineStr">
        <is>
          <t>Congelé</t>
        </is>
      </c>
      <c r="E635" s="29" t="inlineStr">
        <is>
          <t>Packeis</t>
        </is>
      </c>
      <c r="F635" s="29" t="inlineStr">
        <is>
          <t>Glaciación</t>
        </is>
      </c>
      <c r="G635" s="29" t="inlineStr">
        <is>
          <t>Glaciale</t>
        </is>
      </c>
      <c r="H635" s="29" t="inlineStr">
        <is>
          <t>동결</t>
        </is>
      </c>
      <c r="I635" s="29" t="inlineStr">
        <is>
          <t>凍結</t>
        </is>
      </c>
      <c r="J635" s="29">
        <f>IFERROR(__xludf.DUMMYFUNCTION("GOOGLETRANSLATE(I635, ""zh_HANT"",""zh_HANS"")"),"冻结")</f>
        <v/>
      </c>
      <c r="K635" s="29">
        <f>F635</f>
        <v/>
      </c>
    </row>
    <row r="636">
      <c r="A636" s="29">
        <f>CONCATENATE("CATEGORY_",UPPER(Pokemon!B616))</f>
        <v/>
      </c>
      <c r="B636" s="29" t="inlineStr">
        <is>
          <t>Crystallizing</t>
        </is>
      </c>
      <c r="C636" s="29" t="inlineStr">
        <is>
          <t>けっしょう</t>
        </is>
      </c>
      <c r="D636" s="29" t="inlineStr">
        <is>
          <t>Cristal</t>
        </is>
      </c>
      <c r="E636" s="29" t="inlineStr">
        <is>
          <t>Kristall</t>
        </is>
      </c>
      <c r="F636" s="29">
        <f>D636</f>
        <v/>
      </c>
      <c r="G636" s="29" t="inlineStr">
        <is>
          <t>Cristallo</t>
        </is>
      </c>
      <c r="H636" s="29" t="inlineStr">
        <is>
          <t>결정</t>
        </is>
      </c>
      <c r="I636" s="29" t="inlineStr">
        <is>
          <t>結晶</t>
        </is>
      </c>
      <c r="J636" s="29">
        <f>IFERROR(__xludf.DUMMYFUNCTION("GOOGLETRANSLATE(I636, ""zh_HANT"",""zh_HANS"")"),"结晶")</f>
        <v/>
      </c>
      <c r="K636" s="29">
        <f>F636</f>
        <v/>
      </c>
    </row>
    <row r="637">
      <c r="A637" s="29">
        <f>CONCATENATE("CATEGORY_",UPPER(Pokemon!B617))</f>
        <v/>
      </c>
      <c r="B637" s="29" t="inlineStr">
        <is>
          <t>Snail</t>
        </is>
      </c>
      <c r="C637" s="29" t="inlineStr">
        <is>
          <t>マイマイ</t>
        </is>
      </c>
      <c r="D637" s="29" t="inlineStr">
        <is>
          <t>Escargot</t>
        </is>
      </c>
      <c r="E637" s="29" t="inlineStr">
        <is>
          <t>Schnecke</t>
        </is>
      </c>
      <c r="F637" s="29" t="inlineStr">
        <is>
          <t>Caracol</t>
        </is>
      </c>
      <c r="G637" s="29" t="inlineStr">
        <is>
          <t>Lumachina</t>
        </is>
      </c>
      <c r="H637" s="29" t="inlineStr">
        <is>
          <t>달팽이</t>
        </is>
      </c>
      <c r="I637" s="29" t="inlineStr">
        <is>
          <t>蝸牛</t>
        </is>
      </c>
      <c r="J637" s="29">
        <f>IFERROR(__xludf.DUMMYFUNCTION("GOOGLETRANSLATE(I637, ""zh_HANT"",""zh_HANS"")"),"蜗牛")</f>
        <v/>
      </c>
      <c r="K637" s="29">
        <f>F637</f>
        <v/>
      </c>
    </row>
    <row r="638">
      <c r="A638" s="29">
        <f>CONCATENATE("CATEGORY_",UPPER(Pokemon!B618))</f>
        <v/>
      </c>
      <c r="B638" s="29" t="inlineStr">
        <is>
          <t>Shell Out</t>
        </is>
      </c>
      <c r="C638" s="29" t="inlineStr">
        <is>
          <t>からぬけ</t>
        </is>
      </c>
      <c r="D638" s="29" t="inlineStr">
        <is>
          <t>Exuviateur</t>
        </is>
      </c>
      <c r="E638" s="29" t="inlineStr">
        <is>
          <t>Entschalung</t>
        </is>
      </c>
      <c r="F638" s="29" t="inlineStr">
        <is>
          <t>Sincaparazón</t>
        </is>
      </c>
      <c r="G638" s="29" t="inlineStr">
        <is>
          <t>Sgusciato</t>
        </is>
      </c>
      <c r="H638" s="29" t="inlineStr">
        <is>
          <t>탈껍질</t>
        </is>
      </c>
      <c r="I638" s="29" t="inlineStr">
        <is>
          <t>脫殼</t>
        </is>
      </c>
      <c r="J638" s="29">
        <f>IFERROR(__xludf.DUMMYFUNCTION("GOOGLETRANSLATE(I638, ""zh_HANT"",""zh_HANS"")"),"脱壳")</f>
        <v/>
      </c>
      <c r="K638" s="29">
        <f>F638</f>
        <v/>
      </c>
    </row>
    <row r="639">
      <c r="A639" s="29">
        <f>CONCATENATE("CATEGORY_",UPPER(Pokemon!B619))</f>
        <v/>
      </c>
      <c r="B639" s="29" t="inlineStr">
        <is>
          <t>Trap</t>
        </is>
      </c>
      <c r="C639" s="29" t="inlineStr">
        <is>
          <t>トラップ</t>
        </is>
      </c>
      <c r="D639" s="29" t="inlineStr">
        <is>
          <t>Piège</t>
        </is>
      </c>
      <c r="E639" s="29" t="inlineStr">
        <is>
          <t>Falle</t>
        </is>
      </c>
      <c r="F639" s="29" t="inlineStr">
        <is>
          <t>Trampa</t>
        </is>
      </c>
      <c r="G639" s="29" t="inlineStr">
        <is>
          <t>Trappola</t>
        </is>
      </c>
      <c r="H639" s="29" t="inlineStr">
        <is>
          <t>트랩</t>
        </is>
      </c>
      <c r="I639" s="29" t="inlineStr">
        <is>
          <t>陷阱</t>
        </is>
      </c>
      <c r="J639" s="29">
        <f>I639</f>
        <v/>
      </c>
      <c r="K639" s="29">
        <f>F639</f>
        <v/>
      </c>
    </row>
    <row r="640">
      <c r="A640" s="29">
        <f>CONCATENATE("CATEGORY_",UPPER(Pokemon!B620))</f>
        <v/>
      </c>
      <c r="B640" s="29" t="inlineStr">
        <is>
          <t>Martial Arts</t>
        </is>
      </c>
      <c r="C640" s="29" t="inlineStr">
        <is>
          <t>ぶじゅつ</t>
        </is>
      </c>
      <c r="D640" s="29" t="inlineStr">
        <is>
          <t>Art Martial</t>
        </is>
      </c>
      <c r="E640" s="29" t="inlineStr">
        <is>
          <t>Kampfkünste</t>
        </is>
      </c>
      <c r="F640" s="29" t="inlineStr">
        <is>
          <t>Arte Marcial</t>
        </is>
      </c>
      <c r="G640" s="29" t="inlineStr">
        <is>
          <t>Marziale</t>
        </is>
      </c>
      <c r="H640" s="29" t="inlineStr">
        <is>
          <t>무술</t>
        </is>
      </c>
      <c r="I640" s="29" t="inlineStr">
        <is>
          <t>武術</t>
        </is>
      </c>
      <c r="J640" s="29">
        <f>IFERROR(__xludf.DUMMYFUNCTION("GOOGLETRANSLATE(I640, ""zh_HANT"",""zh_HANS"")"),"武术")</f>
        <v/>
      </c>
      <c r="K640" s="29">
        <f>F640</f>
        <v/>
      </c>
    </row>
    <row r="641">
      <c r="A641" s="29">
        <f>CONCATENATE("CATEGORY_",UPPER(Pokemon!B621))</f>
        <v/>
      </c>
      <c r="B641" s="29">
        <f>B640</f>
        <v/>
      </c>
      <c r="C641" s="29">
        <f>C640</f>
        <v/>
      </c>
      <c r="D641" s="29">
        <f>D640</f>
        <v/>
      </c>
      <c r="E641" s="29">
        <f>E640</f>
        <v/>
      </c>
      <c r="F641" s="29">
        <f>F640</f>
        <v/>
      </c>
      <c r="G641" s="29">
        <f>G640</f>
        <v/>
      </c>
      <c r="H641" s="29">
        <f>H640</f>
        <v/>
      </c>
      <c r="I641" s="29">
        <f>I640</f>
        <v/>
      </c>
      <c r="J641" s="29">
        <f>J640</f>
        <v/>
      </c>
      <c r="K641" s="29">
        <f>F641</f>
        <v/>
      </c>
    </row>
    <row r="642">
      <c r="A642" s="29">
        <f>CONCATENATE("CATEGORY_",UPPER(Pokemon!B622))</f>
        <v/>
      </c>
      <c r="B642" s="29">
        <f>B458</f>
        <v/>
      </c>
      <c r="C642" s="29">
        <f>C458</f>
        <v/>
      </c>
      <c r="D642" s="29">
        <f>D458</f>
        <v/>
      </c>
      <c r="E642" s="29">
        <f>E458</f>
        <v/>
      </c>
      <c r="F642" s="29">
        <f>F458</f>
        <v/>
      </c>
      <c r="G642" s="29">
        <f>G458</f>
        <v/>
      </c>
      <c r="H642" s="29">
        <f>H458</f>
        <v/>
      </c>
      <c r="I642" s="29">
        <f>I458</f>
        <v/>
      </c>
      <c r="J642" s="29">
        <f>J458</f>
        <v/>
      </c>
      <c r="K642" s="29">
        <f>F642</f>
        <v/>
      </c>
    </row>
    <row r="643">
      <c r="A643" s="29">
        <f>CONCATENATE("CATEGORY_",UPPER(Pokemon!B623))</f>
        <v/>
      </c>
      <c r="B643" s="29" t="inlineStr">
        <is>
          <t>Automation</t>
        </is>
      </c>
      <c r="C643" s="29" t="inlineStr">
        <is>
          <t>ゴーレム</t>
        </is>
      </c>
      <c r="D643" s="29" t="inlineStr">
        <is>
          <t>Golem Ancien</t>
        </is>
      </c>
      <c r="E643" s="29" t="inlineStr">
        <is>
          <t>Urgolem</t>
        </is>
      </c>
      <c r="F643" s="29" t="inlineStr">
        <is>
          <t>Autómata</t>
        </is>
      </c>
      <c r="G643" s="29" t="inlineStr">
        <is>
          <t>Statuanimata</t>
        </is>
      </c>
      <c r="H643" s="29" t="inlineStr">
        <is>
          <t>골렘</t>
        </is>
      </c>
      <c r="I643" s="29" t="inlineStr">
        <is>
          <t>魔像</t>
        </is>
      </c>
      <c r="J643" s="29">
        <f>I643</f>
        <v/>
      </c>
      <c r="K643" s="29">
        <f>F643</f>
        <v/>
      </c>
    </row>
    <row r="644">
      <c r="A644" s="29">
        <f>CONCATENATE("CATEGORY_",UPPER(Pokemon!B624))</f>
        <v/>
      </c>
      <c r="B644" s="29">
        <f>B643</f>
        <v/>
      </c>
      <c r="C644" s="29">
        <f>C643</f>
        <v/>
      </c>
      <c r="D644" s="29">
        <f>D643</f>
        <v/>
      </c>
      <c r="E644" s="29">
        <f>E643</f>
        <v/>
      </c>
      <c r="F644" s="29">
        <f>F643</f>
        <v/>
      </c>
      <c r="G644" s="29">
        <f>G643</f>
        <v/>
      </c>
      <c r="H644" s="29">
        <f>H643</f>
        <v/>
      </c>
      <c r="I644" s="29">
        <f>I643</f>
        <v/>
      </c>
      <c r="J644" s="29">
        <f>J643</f>
        <v/>
      </c>
      <c r="K644" s="29">
        <f>F644</f>
        <v/>
      </c>
    </row>
    <row r="645">
      <c r="A645" s="29">
        <f>CONCATENATE("CATEGORY_",UPPER(Pokemon!B625))</f>
        <v/>
      </c>
      <c r="B645" s="29" t="inlineStr">
        <is>
          <t>Sharp Blade</t>
        </is>
      </c>
      <c r="C645" s="29" t="inlineStr">
        <is>
          <t>はもの</t>
        </is>
      </c>
      <c r="D645" s="29" t="inlineStr">
        <is>
          <t>Coupant</t>
        </is>
      </c>
      <c r="E645" s="29" t="inlineStr">
        <is>
          <t>Stahlklinge</t>
        </is>
      </c>
      <c r="F645" s="29" t="inlineStr">
        <is>
          <t>Tajo</t>
        </is>
      </c>
      <c r="G645" s="29" t="inlineStr">
        <is>
          <t>Lamaffilata</t>
        </is>
      </c>
      <c r="H645" s="29" t="inlineStr">
        <is>
          <t>날붙이</t>
        </is>
      </c>
      <c r="I645" s="29" t="inlineStr">
        <is>
          <t>利器</t>
        </is>
      </c>
      <c r="J645" s="29">
        <f>I645</f>
        <v/>
      </c>
      <c r="K645" s="29">
        <f>F645</f>
        <v/>
      </c>
    </row>
    <row r="646">
      <c r="A646" s="29">
        <f>CONCATENATE("CATEGORY_",UPPER(Pokemon!B626))</f>
        <v/>
      </c>
      <c r="B646" s="29" t="inlineStr">
        <is>
          <t>Sword Blade</t>
        </is>
      </c>
      <c r="C646" s="29" t="inlineStr">
        <is>
          <t>とうじん</t>
        </is>
      </c>
      <c r="D646" s="29" t="inlineStr">
        <is>
          <t>Tranchant</t>
        </is>
      </c>
      <c r="E646" s="29" t="inlineStr">
        <is>
          <t>Schwertklinge</t>
        </is>
      </c>
      <c r="F646" s="29" t="inlineStr">
        <is>
          <t>Filo</t>
        </is>
      </c>
      <c r="G646" s="29" t="inlineStr">
        <is>
          <t>Fildilama</t>
        </is>
      </c>
      <c r="H646" s="29" t="inlineStr">
        <is>
          <t>도인</t>
        </is>
      </c>
      <c r="I646" s="29" t="inlineStr">
        <is>
          <t>刀刃</t>
        </is>
      </c>
      <c r="J646" s="29">
        <f>I646</f>
        <v/>
      </c>
      <c r="K646" s="29">
        <f>F646</f>
        <v/>
      </c>
    </row>
    <row r="647">
      <c r="A647" s="29">
        <f>CONCATENATE("CATEGORY_",UPPER(Pokemon!B627))</f>
        <v/>
      </c>
      <c r="B647" s="29" t="inlineStr">
        <is>
          <t>Bash Buffalo</t>
        </is>
      </c>
      <c r="C647" s="29" t="inlineStr">
        <is>
          <t>ずつきうし</t>
        </is>
      </c>
      <c r="D647" s="29" t="inlineStr">
        <is>
          <t>Coup d'Bœuf</t>
        </is>
      </c>
      <c r="E647" s="29" t="inlineStr">
        <is>
          <t>Kopfstoßrind</t>
        </is>
      </c>
      <c r="F647" s="29" t="inlineStr">
        <is>
          <t>Torocabezazo</t>
        </is>
      </c>
      <c r="G647" s="29" t="inlineStr">
        <is>
          <t>Sfondatoro</t>
        </is>
      </c>
      <c r="H647" s="29" t="inlineStr">
        <is>
          <t>박치기소</t>
        </is>
      </c>
      <c r="I647" s="29" t="inlineStr">
        <is>
          <t>頭錘牛</t>
        </is>
      </c>
      <c r="J647" s="29">
        <f>IFERROR(__xludf.DUMMYFUNCTION("GOOGLETRANSLATE(I647, ""zh_HANT"",""zh_HANS"")"),"头锤牛")</f>
        <v/>
      </c>
      <c r="K647" s="29">
        <f>F647</f>
        <v/>
      </c>
    </row>
    <row r="648">
      <c r="A648" s="29">
        <f>CONCATENATE("CATEGORY_",UPPER(Pokemon!B628))</f>
        <v/>
      </c>
      <c r="B648" s="29" t="inlineStr">
        <is>
          <t>Eaglet</t>
        </is>
      </c>
      <c r="C648" s="29" t="inlineStr">
        <is>
          <t>ヒナわし</t>
        </is>
      </c>
      <c r="D648" s="29" t="inlineStr">
        <is>
          <t>Aiglon</t>
        </is>
      </c>
      <c r="E648" s="29" t="inlineStr">
        <is>
          <t>Adlerküken</t>
        </is>
      </c>
      <c r="F648" s="29" t="inlineStr">
        <is>
          <t>Aguilucho</t>
        </is>
      </c>
      <c r="G648" s="29" t="inlineStr">
        <is>
          <t>Aquilotto</t>
        </is>
      </c>
      <c r="H648" s="29" t="inlineStr">
        <is>
          <t>새끼독수리</t>
        </is>
      </c>
      <c r="I648" s="29" t="inlineStr">
        <is>
          <t>雛鷹</t>
        </is>
      </c>
      <c r="J648" s="29">
        <f>IFERROR(__xludf.DUMMYFUNCTION("GOOGLETRANSLATE(I648, ""zh_HANT"",""zh_HANS"")"),"雏鹰")</f>
        <v/>
      </c>
      <c r="K648" s="29">
        <f>F648</f>
        <v/>
      </c>
    </row>
    <row r="649">
      <c r="A649" s="29">
        <f>CONCATENATE("CATEGORY_",UPPER(Pokemon!B629))</f>
        <v/>
      </c>
      <c r="B649" s="29" t="inlineStr">
        <is>
          <t>Valiant</t>
        </is>
      </c>
      <c r="C649" s="29" t="inlineStr">
        <is>
          <t>ゆうもう</t>
        </is>
      </c>
      <c r="D649" s="29" t="inlineStr">
        <is>
          <t>Vaillant</t>
        </is>
      </c>
      <c r="E649" s="29" t="inlineStr">
        <is>
          <t>Kühnheit</t>
        </is>
      </c>
      <c r="F649" s="29" t="inlineStr">
        <is>
          <t>Aguerrido</t>
        </is>
      </c>
      <c r="G649" s="29" t="inlineStr">
        <is>
          <t>Baldanza</t>
        </is>
      </c>
      <c r="H649" s="29" t="inlineStr">
        <is>
          <t>용맹</t>
        </is>
      </c>
      <c r="I649" s="29" t="inlineStr">
        <is>
          <t>勇猛</t>
        </is>
      </c>
      <c r="J649" s="29">
        <f>I649</f>
        <v/>
      </c>
      <c r="K649" s="29">
        <f>F649</f>
        <v/>
      </c>
    </row>
    <row r="650">
      <c r="A650" s="29">
        <f>CONCATENATE(A649,"-H")</f>
        <v/>
      </c>
      <c r="B650" s="29" t="inlineStr">
        <is>
          <t>Battle Cry</t>
        </is>
      </c>
      <c r="C650" s="29" t="inlineStr">
        <is>
          <t>おたけび</t>
        </is>
      </c>
      <c r="D650" s="29" t="inlineStr">
        <is>
          <t>Cri Guerrier</t>
        </is>
      </c>
      <c r="E650" s="29" t="inlineStr">
        <is>
          <t>Kampfschrei</t>
        </is>
      </c>
      <c r="F650" s="29" t="inlineStr">
        <is>
          <t>Grito Guerra</t>
        </is>
      </c>
      <c r="G650" s="29" t="inlineStr">
        <is>
          <t>Baldogrido</t>
        </is>
      </c>
      <c r="H650" s="29" t="inlineStr">
        <is>
          <t>부르짖기</t>
        </is>
      </c>
      <c r="I650" s="29">
        <f>IFERROR(__xludf.DUMMYFUNCTION("GOOGLETRANSLATE(J650,""zh_HANS"",""zh_HANT"")"),"戰吼")</f>
        <v/>
      </c>
      <c r="J650" s="29" t="inlineStr">
        <is>
          <t>战吼</t>
        </is>
      </c>
      <c r="K650" s="29">
        <f>F650</f>
        <v/>
      </c>
    </row>
    <row r="651">
      <c r="A651" s="29">
        <f>CONCATENATE("CATEGORY_",UPPER(Pokemon!B630))</f>
        <v/>
      </c>
      <c r="B651" s="29" t="inlineStr">
        <is>
          <t>Diapered</t>
        </is>
      </c>
      <c r="C651" s="29" t="inlineStr">
        <is>
          <t>おむつ</t>
        </is>
      </c>
      <c r="D651" s="29" t="inlineStr">
        <is>
          <t>Couche</t>
        </is>
      </c>
      <c r="E651" s="29" t="inlineStr">
        <is>
          <t>Windel</t>
        </is>
      </c>
      <c r="F651" s="29" t="inlineStr">
        <is>
          <t>Pañal</t>
        </is>
      </c>
      <c r="G651" s="29" t="inlineStr">
        <is>
          <t>Pannolino</t>
        </is>
      </c>
      <c r="H651" s="29" t="inlineStr">
        <is>
          <t>기저귀</t>
        </is>
      </c>
      <c r="I651" s="29" t="inlineStr">
        <is>
          <t>尿布</t>
        </is>
      </c>
      <c r="J651" s="29">
        <f>I651</f>
        <v/>
      </c>
      <c r="K651" s="29">
        <f>F651</f>
        <v/>
      </c>
    </row>
    <row r="652">
      <c r="A652" s="29">
        <f>CONCATENATE("CATEGORY_",UPPER(Pokemon!B631))</f>
        <v/>
      </c>
      <c r="B652" s="29" t="inlineStr">
        <is>
          <t>Bone Vulture</t>
        </is>
      </c>
      <c r="C652" s="29" t="inlineStr">
        <is>
          <t>ほねわし</t>
        </is>
      </c>
      <c r="D652" s="29" t="inlineStr">
        <is>
          <t>Vostour</t>
        </is>
      </c>
      <c r="E652" s="29" t="inlineStr">
        <is>
          <t>Knochenadler</t>
        </is>
      </c>
      <c r="F652" s="29" t="inlineStr">
        <is>
          <t>Aguilahueso</t>
        </is>
      </c>
      <c r="G652" s="29" t="inlineStr">
        <is>
          <t>Ossaquila</t>
        </is>
      </c>
      <c r="H652" s="29" t="inlineStr">
        <is>
          <t>뼈독수리</t>
        </is>
      </c>
      <c r="I652" s="29" t="inlineStr">
        <is>
          <t>骨鷹</t>
        </is>
      </c>
      <c r="J652" s="29">
        <f>IFERROR(__xludf.DUMMYFUNCTION("GOOGLETRANSLATE(I652, ""zh_HANT"",""zh_HANS"")"),"骨鹰")</f>
        <v/>
      </c>
      <c r="K652" s="29">
        <f>F652</f>
        <v/>
      </c>
    </row>
    <row r="653">
      <c r="A653" s="29">
        <f>CONCATENATE("CATEGORY_",UPPER(Pokemon!B632))</f>
        <v/>
      </c>
      <c r="B653" s="29" t="inlineStr">
        <is>
          <t>Anteater</t>
        </is>
      </c>
      <c r="C653" s="29" t="inlineStr">
        <is>
          <t>アリクイ</t>
        </is>
      </c>
      <c r="D653" s="29" t="inlineStr">
        <is>
          <t>Tamanoir</t>
        </is>
      </c>
      <c r="E653" s="29" t="inlineStr">
        <is>
          <t>Ameisenbär</t>
        </is>
      </c>
      <c r="F653" s="29" t="inlineStr">
        <is>
          <t>Hormiguero</t>
        </is>
      </c>
      <c r="G653" s="29" t="inlineStr">
        <is>
          <t>Formichiere</t>
        </is>
      </c>
      <c r="H653" s="29" t="inlineStr">
        <is>
          <t>개미핥기</t>
        </is>
      </c>
      <c r="I653" s="29" t="inlineStr">
        <is>
          <t>食蟻獸</t>
        </is>
      </c>
      <c r="J653" s="29">
        <f>IFERROR(__xludf.DUMMYFUNCTION("GOOGLETRANSLATE(I653, ""zh_HANT"",""zh_HANS"")"),"食蚁兽")</f>
        <v/>
      </c>
      <c r="K653" s="29">
        <f>F653</f>
        <v/>
      </c>
    </row>
    <row r="654">
      <c r="A654" s="29">
        <f>CONCATENATE("CATEGORY_",UPPER(Pokemon!B633))</f>
        <v/>
      </c>
      <c r="B654" s="29" t="inlineStr">
        <is>
          <t>Iron Ant</t>
        </is>
      </c>
      <c r="C654" s="29" t="inlineStr">
        <is>
          <t>てつアリ</t>
        </is>
      </c>
      <c r="D654" s="29" t="inlineStr">
        <is>
          <t>Fourmi Dure</t>
        </is>
      </c>
      <c r="E654" s="29" t="inlineStr">
        <is>
          <t>Eisenameise</t>
        </is>
      </c>
      <c r="F654" s="29" t="inlineStr">
        <is>
          <t>Hormigacero</t>
        </is>
      </c>
      <c r="G654" s="29" t="inlineStr">
        <is>
          <t>Ferformica</t>
        </is>
      </c>
      <c r="H654" s="29" t="inlineStr">
        <is>
          <t>철개미</t>
        </is>
      </c>
      <c r="I654" s="29" t="inlineStr">
        <is>
          <t>鐵蟻</t>
        </is>
      </c>
      <c r="J654" s="29">
        <f>IFERROR(__xludf.DUMMYFUNCTION("GOOGLETRANSLATE(I654, ""zh_HANT"",""zh_HANS"")"),"铁蚁")</f>
        <v/>
      </c>
      <c r="K654" s="29">
        <f>F654</f>
        <v/>
      </c>
    </row>
    <row r="655">
      <c r="A655" s="29">
        <f>CONCATENATE("CATEGORY_",UPPER(Pokemon!B634))</f>
        <v/>
      </c>
      <c r="B655" s="29" t="inlineStr">
        <is>
          <t>Irate</t>
        </is>
      </c>
      <c r="C655" s="29" t="inlineStr">
        <is>
          <t>そぼう</t>
        </is>
      </c>
      <c r="D655" s="29" t="inlineStr">
        <is>
          <t>Rude</t>
        </is>
      </c>
      <c r="E655" s="29" t="inlineStr">
        <is>
          <t>Haudrauf</t>
        </is>
      </c>
      <c r="F655" s="29" t="inlineStr">
        <is>
          <t>Tosco</t>
        </is>
      </c>
      <c r="G655" s="29" t="inlineStr">
        <is>
          <t>Impeto</t>
        </is>
      </c>
      <c r="H655" s="29" t="inlineStr">
        <is>
          <t>폭거</t>
        </is>
      </c>
      <c r="I655" s="29" t="inlineStr">
        <is>
          <t>粗魯</t>
        </is>
      </c>
      <c r="J655" s="29">
        <f>IFERROR(__xludf.DUMMYFUNCTION("GOOGLETRANSLATE(I655, ""zh_HANT"",""zh_HANS"")"),"粗鲁")</f>
        <v/>
      </c>
      <c r="K655" s="29">
        <f>F655</f>
        <v/>
      </c>
    </row>
    <row r="656">
      <c r="A656" s="29">
        <f>CONCATENATE("CATEGORY_",UPPER(Pokemon!B635))</f>
        <v/>
      </c>
      <c r="B656" s="29">
        <f>B566</f>
        <v/>
      </c>
      <c r="C656" s="29">
        <f>C566</f>
        <v/>
      </c>
      <c r="D656" s="29">
        <f>D566</f>
        <v/>
      </c>
      <c r="E656" s="29">
        <f>E566</f>
        <v/>
      </c>
      <c r="F656" s="29">
        <f>F566</f>
        <v/>
      </c>
      <c r="G656" s="29">
        <f>G566</f>
        <v/>
      </c>
      <c r="H656" s="29">
        <f>H566</f>
        <v/>
      </c>
      <c r="I656" s="29">
        <f>I566</f>
        <v/>
      </c>
      <c r="J656" s="29">
        <f>J566</f>
        <v/>
      </c>
      <c r="K656" s="29">
        <f>F656</f>
        <v/>
      </c>
    </row>
    <row r="657">
      <c r="A657" s="29">
        <f>CONCATENATE("CATEGORY_",UPPER(Pokemon!B636))</f>
        <v/>
      </c>
      <c r="B657" s="29">
        <f>B333</f>
        <v/>
      </c>
      <c r="C657" s="29">
        <f>C333</f>
        <v/>
      </c>
      <c r="D657" s="29">
        <f>D333</f>
        <v/>
      </c>
      <c r="E657" s="29">
        <f>E333</f>
        <v/>
      </c>
      <c r="F657" s="29">
        <f>F333</f>
        <v/>
      </c>
      <c r="G657" s="29">
        <f>G333</f>
        <v/>
      </c>
      <c r="H657" s="29">
        <f>H333</f>
        <v/>
      </c>
      <c r="I657" s="29">
        <f>I332</f>
        <v/>
      </c>
      <c r="J657" s="29">
        <f>J332</f>
        <v/>
      </c>
      <c r="K657" s="29">
        <f>F657</f>
        <v/>
      </c>
    </row>
    <row r="658">
      <c r="A658" s="29">
        <f>CONCATENATE("CATEGORY_",UPPER(Pokemon!B637))</f>
        <v/>
      </c>
      <c r="B658" s="29" t="inlineStr">
        <is>
          <t>Torch</t>
        </is>
      </c>
      <c r="C658" s="29" t="inlineStr">
        <is>
          <t>たいまつ</t>
        </is>
      </c>
      <c r="D658" s="29" t="inlineStr">
        <is>
          <t>Torche</t>
        </is>
      </c>
      <c r="E658" s="29" t="inlineStr">
        <is>
          <t>Fackel</t>
        </is>
      </c>
      <c r="F658" s="29" t="inlineStr">
        <is>
          <t>Antorcha</t>
        </is>
      </c>
      <c r="G658" s="29" t="inlineStr">
        <is>
          <t>Torcia</t>
        </is>
      </c>
      <c r="H658" s="29" t="inlineStr">
        <is>
          <t>횃불</t>
        </is>
      </c>
      <c r="I658" s="29" t="inlineStr">
        <is>
          <t>火炬</t>
        </is>
      </c>
      <c r="J658" s="29">
        <f>I658</f>
        <v/>
      </c>
      <c r="K658" s="29">
        <f>F658</f>
        <v/>
      </c>
    </row>
    <row r="659">
      <c r="A659" s="29">
        <f>CONCATENATE("CATEGORY_",UPPER(Pokemon!B638))</f>
        <v/>
      </c>
      <c r="B659" s="29">
        <f>B204</f>
        <v/>
      </c>
      <c r="C659" s="29">
        <f>C204</f>
        <v/>
      </c>
      <c r="D659" s="29">
        <f>D204</f>
        <v/>
      </c>
      <c r="E659" s="29">
        <f>E204</f>
        <v/>
      </c>
      <c r="F659" s="29">
        <f>F204</f>
        <v/>
      </c>
      <c r="G659" s="29">
        <f>G204</f>
        <v/>
      </c>
      <c r="H659" s="29">
        <f>H204</f>
        <v/>
      </c>
      <c r="I659" s="29">
        <f>I204</f>
        <v/>
      </c>
      <c r="J659" s="29">
        <f>J204</f>
        <v/>
      </c>
      <c r="K659" s="29">
        <f>F659</f>
        <v/>
      </c>
    </row>
    <row r="660">
      <c r="A660" s="29">
        <f>CONCATENATE("CATEGORY_",UPPER(Pokemon!B639))</f>
        <v/>
      </c>
      <c r="B660" s="29" t="inlineStr">
        <is>
          <t>Iron Will</t>
        </is>
      </c>
      <c r="C660" s="29" t="inlineStr">
        <is>
          <t>てっしん</t>
        </is>
      </c>
      <c r="D660" s="29" t="inlineStr">
        <is>
          <t>Cœur de Fer</t>
        </is>
      </c>
      <c r="E660" s="29" t="inlineStr">
        <is>
          <t>Eisenkern</t>
        </is>
      </c>
      <c r="F660" s="29" t="inlineStr">
        <is>
          <t>Tesón Acero</t>
        </is>
      </c>
      <c r="G660" s="29" t="inlineStr">
        <is>
          <t>Metalcuore</t>
        </is>
      </c>
      <c r="H660" s="29" t="inlineStr">
        <is>
          <t>철심</t>
        </is>
      </c>
      <c r="I660" s="29" t="inlineStr">
        <is>
          <t>鐵心</t>
        </is>
      </c>
      <c r="J660" s="29">
        <f>IFERROR(__xludf.DUMMYFUNCTION("GOOGLETRANSLATE(I660, ""zh_HANT"",""zh_HANS"")"),"铁心")</f>
        <v/>
      </c>
      <c r="K660" s="29">
        <f>F660</f>
        <v/>
      </c>
    </row>
    <row r="661">
      <c r="A661" s="29">
        <f>CONCATENATE("CATEGORY_",UPPER(Pokemon!B640))</f>
        <v/>
      </c>
      <c r="B661" s="29" t="inlineStr">
        <is>
          <t>Cavern</t>
        </is>
      </c>
      <c r="C661" s="29" t="inlineStr">
        <is>
          <t>がんくつ</t>
        </is>
      </c>
      <c r="D661" s="29" t="inlineStr">
        <is>
          <t>Grotte</t>
        </is>
      </c>
      <c r="E661" s="29" t="inlineStr">
        <is>
          <t>Felsenhöhle</t>
        </is>
      </c>
      <c r="F661" s="29" t="inlineStr">
        <is>
          <t>Gruta</t>
        </is>
      </c>
      <c r="G661" s="29">
        <f>CONCATENATE(B661,"a")</f>
        <v/>
      </c>
      <c r="H661" s="29" t="inlineStr">
        <is>
          <t>암굴</t>
        </is>
      </c>
      <c r="I661" s="29" t="inlineStr">
        <is>
          <t>岩窟</t>
        </is>
      </c>
      <c r="J661" s="29">
        <f>I661</f>
        <v/>
      </c>
      <c r="K661" s="29">
        <f>F661</f>
        <v/>
      </c>
    </row>
    <row r="662">
      <c r="A662" s="29">
        <f>CONCATENATE("CATEGORY_",UPPER(Pokemon!B641))</f>
        <v/>
      </c>
      <c r="B662" s="29" t="inlineStr">
        <is>
          <t>Grassland</t>
        </is>
      </c>
      <c r="C662" s="29" t="inlineStr">
        <is>
          <t>そうげん</t>
        </is>
      </c>
      <c r="D662" s="29" t="inlineStr">
        <is>
          <t>Plaine Verte</t>
        </is>
      </c>
      <c r="E662" s="29" t="inlineStr">
        <is>
          <t>Wiese</t>
        </is>
      </c>
      <c r="F662" s="29" t="inlineStr">
        <is>
          <t>Prado</t>
        </is>
      </c>
      <c r="G662" s="29" t="inlineStr">
        <is>
          <t>Prateria</t>
        </is>
      </c>
      <c r="H662" s="29" t="inlineStr">
        <is>
          <t>초원</t>
        </is>
      </c>
      <c r="I662" s="29" t="inlineStr">
        <is>
          <t>草原</t>
        </is>
      </c>
      <c r="J662" s="29">
        <f>I662</f>
        <v/>
      </c>
      <c r="K662" s="29">
        <f>F662</f>
        <v/>
      </c>
    </row>
    <row r="663">
      <c r="A663" s="29">
        <f>CONCATENATE("CATEGORY_",UPPER(Pokemon!B642))</f>
        <v/>
      </c>
      <c r="B663" s="29" t="inlineStr">
        <is>
          <t>Cyclone</t>
        </is>
      </c>
      <c r="C663" s="29" t="inlineStr">
        <is>
          <t>せんぷう</t>
        </is>
      </c>
      <c r="D663" s="29" t="inlineStr">
        <is>
          <t>Tornade</t>
        </is>
      </c>
      <c r="E663" s="29" t="inlineStr">
        <is>
          <t>Wirbelsturm</t>
        </is>
      </c>
      <c r="F663" s="29" t="inlineStr">
        <is>
          <t>Torbellino</t>
        </is>
      </c>
      <c r="G663" s="29" t="inlineStr">
        <is>
          <t>Turbinio</t>
        </is>
      </c>
      <c r="H663" s="29" t="inlineStr">
        <is>
          <t>선풍</t>
        </is>
      </c>
      <c r="I663" s="29" t="inlineStr">
        <is>
          <t>旋風</t>
        </is>
      </c>
      <c r="J663" s="29">
        <f>IFERROR(__xludf.DUMMYFUNCTION("GOOGLETRANSLATE(I663, ""zh_HANT"",""zh_HANS"")"),"旋风")</f>
        <v/>
      </c>
      <c r="K663" s="29">
        <f>F663</f>
        <v/>
      </c>
    </row>
    <row r="664">
      <c r="A664" s="29">
        <f>CONCATENATE("CATEGORY_",UPPER(Pokemon!B643))</f>
        <v/>
      </c>
      <c r="B664" s="29">
        <f>Moves!B551</f>
        <v/>
      </c>
      <c r="C664" s="29" t="inlineStr">
        <is>
          <t>らいげき</t>
        </is>
      </c>
      <c r="D664" s="29" t="inlineStr">
        <is>
          <t>Foudroyeur</t>
        </is>
      </c>
      <c r="E664" s="29" t="inlineStr">
        <is>
          <t>Torpedo</t>
        </is>
      </c>
      <c r="F664" s="29" t="inlineStr">
        <is>
          <t>Centella</t>
        </is>
      </c>
      <c r="G664" s="29" t="inlineStr">
        <is>
          <t>Fulminante</t>
        </is>
      </c>
      <c r="H664" s="29" t="inlineStr">
        <is>
          <t>뇌격</t>
        </is>
      </c>
      <c r="I664" s="29" t="inlineStr">
        <is>
          <t>雷擊</t>
        </is>
      </c>
      <c r="J664" s="29">
        <f>IFERROR(__xludf.DUMMYFUNCTION("GOOGLETRANSLATE(I664, ""zh_HANT"",""zh_HANS"")"),"雷击")</f>
        <v/>
      </c>
      <c r="K664" s="29">
        <f>F664</f>
        <v/>
      </c>
    </row>
    <row r="665">
      <c r="A665" s="29">
        <f>CONCATENATE("CATEGORY_",UPPER(Pokemon!B644))</f>
        <v/>
      </c>
      <c r="B665" s="29" t="inlineStr">
        <is>
          <t>Vast White</t>
        </is>
      </c>
      <c r="C665" s="29" t="inlineStr">
        <is>
          <t>はくよう</t>
        </is>
      </c>
      <c r="D665" s="29" t="inlineStr">
        <is>
          <t>Blanc Réel</t>
        </is>
      </c>
      <c r="E665" s="29" t="inlineStr">
        <is>
          <t>Wahres Weiß</t>
        </is>
      </c>
      <c r="F665" s="29" t="inlineStr">
        <is>
          <t>Blanco Veraz</t>
        </is>
      </c>
      <c r="G665" s="29" t="inlineStr">
        <is>
          <t>Bianco Verità</t>
        </is>
      </c>
      <c r="H665" s="29" t="inlineStr">
        <is>
          <t>백양</t>
        </is>
      </c>
      <c r="I665" s="29" t="inlineStr">
        <is>
          <t>白陽</t>
        </is>
      </c>
      <c r="J665" s="29">
        <f>IFERROR(__xludf.DUMMYFUNCTION("GOOGLETRANSLATE(I665, ""zh_HANT"",""zh_HANS"")"),"白阳")</f>
        <v/>
      </c>
      <c r="K665" s="29">
        <f>F665</f>
        <v/>
      </c>
    </row>
    <row r="666">
      <c r="A666" s="29">
        <f>CONCATENATE("CATEGORY_",UPPER(Pokemon!B645))</f>
        <v/>
      </c>
      <c r="B666" s="29" t="inlineStr">
        <is>
          <t>Deep Black</t>
        </is>
      </c>
      <c r="C666" s="29" t="inlineStr">
        <is>
          <t>くこいん</t>
        </is>
      </c>
      <c r="D666" s="29" t="inlineStr">
        <is>
          <t>Noir Idéal</t>
        </is>
      </c>
      <c r="E666" s="29" t="inlineStr">
        <is>
          <t>Reines Schwarz</t>
        </is>
      </c>
      <c r="F666" s="29" t="inlineStr">
        <is>
          <t>Negro Puro</t>
        </is>
      </c>
      <c r="G666" s="29" t="inlineStr">
        <is>
          <t>Nero Ideale</t>
        </is>
      </c>
      <c r="H666" s="29" t="inlineStr">
        <is>
          <t>흑음</t>
        </is>
      </c>
      <c r="I666" s="29" t="inlineStr">
        <is>
          <t>黑陰</t>
        </is>
      </c>
      <c r="J666" s="29">
        <f>IFERROR(__xludf.DUMMYFUNCTION("GOOGLETRANSLATE(I666, ""zh_HANT"",""zh_HANS"")"),"黑阴")</f>
        <v/>
      </c>
      <c r="K666" s="29">
        <f>F666</f>
        <v/>
      </c>
    </row>
    <row r="667">
      <c r="A667" s="29">
        <f>CONCATENATE("CATEGORY_",UPPER(Pokemon!B646))</f>
        <v/>
      </c>
      <c r="B667" s="29" t="inlineStr">
        <is>
          <t>Abundance</t>
        </is>
      </c>
      <c r="C667" s="29" t="inlineStr">
        <is>
          <t>ほうじょう</t>
        </is>
      </c>
      <c r="D667" s="29" t="inlineStr">
        <is>
          <t>Fertilité</t>
        </is>
      </c>
      <c r="E667" s="29" t="inlineStr">
        <is>
          <t>Reichtum</t>
        </is>
      </c>
      <c r="F667" s="29" t="inlineStr">
        <is>
          <t>Fertilidad</t>
        </is>
      </c>
      <c r="G667" s="29" t="inlineStr">
        <is>
          <t>Fertilità</t>
        </is>
      </c>
      <c r="H667" s="29" t="inlineStr">
        <is>
          <t>풍요</t>
        </is>
      </c>
      <c r="I667" s="29" t="inlineStr">
        <is>
          <t>豐饒</t>
        </is>
      </c>
      <c r="J667" s="29">
        <f>IFERROR(__xludf.DUMMYFUNCTION("GOOGLETRANSLATE(I667, ""zh_HANT"",""zh_HANS"")"),"丰饶")</f>
        <v/>
      </c>
      <c r="K667" s="29">
        <f>F667</f>
        <v/>
      </c>
    </row>
    <row r="668">
      <c r="A668" s="29">
        <f>CONCATENATE("CATEGORY_",UPPER(Pokemon!B647))</f>
        <v/>
      </c>
      <c r="B668" s="29" t="inlineStr">
        <is>
          <t>Boundary</t>
        </is>
      </c>
      <c r="C668" s="29" t="inlineStr">
        <is>
          <t>きょうかい</t>
        </is>
      </c>
      <c r="D668" s="29" t="inlineStr">
        <is>
          <t>Frontière</t>
        </is>
      </c>
      <c r="E668" s="29" t="inlineStr">
        <is>
          <t>Schwelle</t>
        </is>
      </c>
      <c r="F668" s="29" t="inlineStr">
        <is>
          <t>Frontera</t>
        </is>
      </c>
      <c r="G668" s="29" t="inlineStr">
        <is>
          <t>Confine</t>
        </is>
      </c>
      <c r="H668" s="29" t="inlineStr">
        <is>
          <t>경계</t>
        </is>
      </c>
      <c r="I668" s="29" t="inlineStr">
        <is>
          <t>境界</t>
        </is>
      </c>
      <c r="J668" s="29">
        <f>I668</f>
        <v/>
      </c>
      <c r="K668" s="29">
        <f>F668</f>
        <v/>
      </c>
    </row>
    <row r="669">
      <c r="A669" s="29">
        <f>CONCATENATE("CATEGORY_",UPPER(Pokemon!B648))</f>
        <v/>
      </c>
      <c r="B669" s="29" t="inlineStr">
        <is>
          <t>Colt</t>
        </is>
      </c>
      <c r="C669" s="29" t="inlineStr">
        <is>
          <t>わかごま</t>
        </is>
      </c>
      <c r="D669" s="29" t="inlineStr">
        <is>
          <t>Poulain</t>
        </is>
      </c>
      <c r="E669" s="29" t="inlineStr">
        <is>
          <t>Fohlen</t>
        </is>
      </c>
      <c r="F669" s="29" t="inlineStr">
        <is>
          <t>Potro</t>
        </is>
      </c>
      <c r="G669" s="29" t="inlineStr">
        <is>
          <t>Puledro</t>
        </is>
      </c>
      <c r="H669" s="29" t="inlineStr">
        <is>
          <t>망아지</t>
        </is>
      </c>
      <c r="I669" s="29" t="inlineStr">
        <is>
          <t>幼馬</t>
        </is>
      </c>
      <c r="J669" s="29">
        <f>IFERROR(__xludf.DUMMYFUNCTION("GOOGLETRANSLATE(I669, ""zh_HANT"",""zh_HANS"")"),"幼马")</f>
        <v/>
      </c>
      <c r="K669" s="29">
        <f>F669</f>
        <v/>
      </c>
    </row>
    <row r="670">
      <c r="A670" s="29">
        <f>CONCATENATE("CATEGORY_",UPPER(Pokemon!B649))</f>
        <v/>
      </c>
      <c r="B670" s="29" t="inlineStr">
        <is>
          <t>Melody</t>
        </is>
      </c>
      <c r="C670" s="29" t="inlineStr">
        <is>
          <t>せんりつ</t>
        </is>
      </c>
      <c r="D670" s="29" t="inlineStr">
        <is>
          <t>Mélodie</t>
        </is>
      </c>
      <c r="E670" s="29" t="inlineStr">
        <is>
          <t>Melodie</t>
        </is>
      </c>
      <c r="F670" s="29" t="inlineStr">
        <is>
          <t>Melodía</t>
        </is>
      </c>
      <c r="G670" s="29" t="inlineStr">
        <is>
          <t>Melodia</t>
        </is>
      </c>
      <c r="H670" s="29" t="inlineStr">
        <is>
          <t>선율</t>
        </is>
      </c>
      <c r="I670" s="29" t="inlineStr">
        <is>
          <t>旋律</t>
        </is>
      </c>
      <c r="J670" s="29">
        <f>I670</f>
        <v/>
      </c>
      <c r="K670" s="29">
        <f>F670</f>
        <v/>
      </c>
    </row>
    <row r="671">
      <c r="A671" s="29">
        <f>CONCATENATE("CATEGORY_",UPPER(Pokemon!B650))</f>
        <v/>
      </c>
      <c r="B671" s="29" t="inlineStr">
        <is>
          <t>Paleozoic</t>
        </is>
      </c>
      <c r="C671" s="29" t="inlineStr">
        <is>
          <t>こせいだい</t>
        </is>
      </c>
      <c r="D671" s="29" t="inlineStr">
        <is>
          <t>Paléozoïque</t>
        </is>
      </c>
      <c r="E671" s="29" t="inlineStr">
        <is>
          <t>Paläozoikum</t>
        </is>
      </c>
      <c r="F671" s="29">
        <f>CONCATENATE(B671,"o")</f>
        <v/>
      </c>
      <c r="G671" s="29">
        <f>F671</f>
        <v/>
      </c>
      <c r="H671" s="29" t="inlineStr">
        <is>
          <t>고생대</t>
        </is>
      </c>
      <c r="I671" s="29" t="inlineStr">
        <is>
          <t>古生代</t>
        </is>
      </c>
      <c r="J671" s="29">
        <f>I671</f>
        <v/>
      </c>
      <c r="K671" s="29">
        <f>F671</f>
        <v/>
      </c>
    </row>
    <row r="672">
      <c r="A672" s="29">
        <f>CONCATENATE("CATEGORY_",UPPER(Pokemon!B651))</f>
        <v/>
      </c>
      <c r="B672" s="29" t="inlineStr">
        <is>
          <t>Spiny Nut</t>
        </is>
      </c>
      <c r="C672" s="29" t="inlineStr">
        <is>
          <t>いがぐり</t>
        </is>
      </c>
      <c r="D672" s="29" t="inlineStr">
        <is>
          <t>Bogue</t>
        </is>
      </c>
      <c r="E672" s="29" t="inlineStr">
        <is>
          <t>Stachelkopf</t>
        </is>
      </c>
      <c r="F672" s="29" t="inlineStr">
        <is>
          <t>Erizo</t>
        </is>
      </c>
      <c r="G672" s="29" t="inlineStr">
        <is>
          <t>Castanriccio</t>
        </is>
      </c>
      <c r="H672" s="29" t="inlineStr">
        <is>
          <t>밤송이</t>
        </is>
      </c>
      <c r="I672" s="29" t="inlineStr">
        <is>
          <t>刺栗</t>
        </is>
      </c>
      <c r="J672" s="29">
        <f>I672</f>
        <v/>
      </c>
      <c r="K672" s="29">
        <f>F672</f>
        <v/>
      </c>
    </row>
    <row r="673">
      <c r="A673" s="29">
        <f>CONCATENATE("CATEGORY_",UPPER(Pokemon!B652))</f>
        <v/>
      </c>
      <c r="B673" s="29" t="inlineStr">
        <is>
          <t>Spiny Armor</t>
        </is>
      </c>
      <c r="C673" s="29" t="inlineStr">
        <is>
          <t>とげよろい</t>
        </is>
      </c>
      <c r="D673" s="29" t="inlineStr">
        <is>
          <t>Épinarmure</t>
        </is>
      </c>
      <c r="E673" s="29" t="inlineStr">
        <is>
          <t>Spitzpanzer</t>
        </is>
      </c>
      <c r="F673" s="29" t="inlineStr">
        <is>
          <t>Corazaespín</t>
        </is>
      </c>
      <c r="G673" s="29" t="inlineStr">
        <is>
          <t>Spincorazza</t>
        </is>
      </c>
      <c r="H673" s="29" t="inlineStr">
        <is>
          <t>가시갑옷</t>
        </is>
      </c>
      <c r="I673" s="29" t="inlineStr">
        <is>
          <t>刺鎧</t>
        </is>
      </c>
      <c r="J673" s="29">
        <f>IFERROR(__xludf.DUMMYFUNCTION("GOOGLETRANSLATE(I673, ""zh_HANT"",""zh_HANS"")"),"刺铠")</f>
        <v/>
      </c>
      <c r="K673" s="29">
        <f>F673</f>
        <v/>
      </c>
    </row>
    <row r="674">
      <c r="A674" s="29">
        <f>CONCATENATE("CATEGORY_",UPPER(Pokemon!B653))</f>
        <v/>
      </c>
      <c r="B674" s="29">
        <f>B673</f>
        <v/>
      </c>
      <c r="C674" s="29">
        <f>C673</f>
        <v/>
      </c>
      <c r="D674" s="29">
        <f>D673</f>
        <v/>
      </c>
      <c r="E674" s="29">
        <f>E673</f>
        <v/>
      </c>
      <c r="F674" s="29">
        <f>F673</f>
        <v/>
      </c>
      <c r="G674" s="29">
        <f>G673</f>
        <v/>
      </c>
      <c r="H674" s="29">
        <f>H673</f>
        <v/>
      </c>
      <c r="I674" s="29">
        <f>I673</f>
        <v/>
      </c>
      <c r="J674" s="29">
        <f>J673</f>
        <v/>
      </c>
      <c r="K674" s="29">
        <f>F674</f>
        <v/>
      </c>
    </row>
    <row r="675">
      <c r="A675" s="29">
        <f>CONCATENATE("CATEGORY_",UPPER(Pokemon!B654))</f>
        <v/>
      </c>
      <c r="B675" s="29">
        <f>B38</f>
        <v/>
      </c>
      <c r="C675" s="29" t="inlineStr">
        <is>
          <t>キツネ</t>
        </is>
      </c>
      <c r="D675" s="29">
        <f>D38</f>
        <v/>
      </c>
      <c r="E675" s="29">
        <f>E38</f>
        <v/>
      </c>
      <c r="F675" s="29">
        <f>F38</f>
        <v/>
      </c>
      <c r="G675" s="29">
        <f>G38</f>
        <v/>
      </c>
      <c r="H675" s="29">
        <f>H38</f>
        <v/>
      </c>
      <c r="I675" s="29">
        <f>I38</f>
        <v/>
      </c>
      <c r="J675" s="29">
        <f>J38</f>
        <v/>
      </c>
      <c r="K675" s="29">
        <f>F675</f>
        <v/>
      </c>
    </row>
    <row r="676">
      <c r="A676" s="29">
        <f>CONCATENATE("CATEGORY_",UPPER(Pokemon!B655))</f>
        <v/>
      </c>
      <c r="B676" s="29">
        <f>B38</f>
        <v/>
      </c>
      <c r="C676" s="29">
        <f>C675</f>
        <v/>
      </c>
      <c r="D676" s="29">
        <f>D38</f>
        <v/>
      </c>
      <c r="E676" s="29">
        <f>E38</f>
        <v/>
      </c>
      <c r="F676" s="29">
        <f>F38</f>
        <v/>
      </c>
      <c r="G676" s="29">
        <f>G38</f>
        <v/>
      </c>
      <c r="H676" s="29">
        <f>H38</f>
        <v/>
      </c>
      <c r="I676" s="29">
        <f>I38</f>
        <v/>
      </c>
      <c r="J676" s="29">
        <f>J38</f>
        <v/>
      </c>
      <c r="K676" s="29">
        <f>F676</f>
        <v/>
      </c>
    </row>
    <row r="677">
      <c r="A677" s="29">
        <f>CONCATENATE("CATEGORY_",UPPER(Pokemon!B656))</f>
        <v/>
      </c>
      <c r="B677" s="29">
        <f>B38</f>
        <v/>
      </c>
      <c r="C677" s="29">
        <f>C675</f>
        <v/>
      </c>
      <c r="D677" s="29">
        <f>D38</f>
        <v/>
      </c>
      <c r="E677" s="29">
        <f>E38</f>
        <v/>
      </c>
      <c r="F677" s="29">
        <f>F38</f>
        <v/>
      </c>
      <c r="G677" s="29">
        <f>G38</f>
        <v/>
      </c>
      <c r="H677" s="29">
        <f>H38</f>
        <v/>
      </c>
      <c r="I677" s="29">
        <f>I38</f>
        <v/>
      </c>
      <c r="J677" s="29">
        <f>J38</f>
        <v/>
      </c>
      <c r="K677" s="29">
        <f>F677</f>
        <v/>
      </c>
    </row>
    <row r="678">
      <c r="A678" s="29">
        <f>CONCATENATE("CATEGORY_",UPPER(Pokemon!B657))</f>
        <v/>
      </c>
      <c r="B678" s="29" t="inlineStr">
        <is>
          <t>Bubble Frog</t>
        </is>
      </c>
      <c r="C678" s="29" t="inlineStr">
        <is>
          <t>あわがえる</t>
        </is>
      </c>
      <c r="D678" s="29" t="inlineStr">
        <is>
          <t>Crapobulle</t>
        </is>
      </c>
      <c r="E678" s="29" t="inlineStr">
        <is>
          <t>Blubbfrosch</t>
        </is>
      </c>
      <c r="F678" s="29" t="inlineStr">
        <is>
          <t>Burburrana</t>
        </is>
      </c>
      <c r="G678" s="29" t="inlineStr">
        <is>
          <t>Schiumorana</t>
        </is>
      </c>
      <c r="H678" s="29" t="inlineStr">
        <is>
          <t>거품개구리</t>
        </is>
      </c>
      <c r="I678" s="29" t="inlineStr">
        <is>
          <t>泡蛙</t>
        </is>
      </c>
      <c r="J678" s="29">
        <f>I678</f>
        <v/>
      </c>
      <c r="K678" s="29">
        <f>F678</f>
        <v/>
      </c>
    </row>
    <row r="679">
      <c r="A679" s="29">
        <f>CONCATENATE("CATEGORY_",UPPER(Pokemon!B658))</f>
        <v/>
      </c>
      <c r="B679" s="29">
        <f>B678</f>
        <v/>
      </c>
      <c r="C679" s="29">
        <f>C678</f>
        <v/>
      </c>
      <c r="D679" s="29">
        <f>D678</f>
        <v/>
      </c>
      <c r="E679" s="29">
        <f>E678</f>
        <v/>
      </c>
      <c r="F679" s="29">
        <f>F678</f>
        <v/>
      </c>
      <c r="G679" s="29">
        <f>G678</f>
        <v/>
      </c>
      <c r="H679" s="29">
        <f>H678</f>
        <v/>
      </c>
      <c r="I679" s="29">
        <f>I678</f>
        <v/>
      </c>
      <c r="J679" s="29">
        <f>J678</f>
        <v/>
      </c>
      <c r="K679" s="29">
        <f>F679</f>
        <v/>
      </c>
    </row>
    <row r="680">
      <c r="A680" s="29">
        <f>CONCATENATE("CATEGORY_",UPPER(Pokemon!B659))</f>
        <v/>
      </c>
      <c r="B680" s="29">
        <f>B305</f>
        <v/>
      </c>
      <c r="C680" s="29">
        <f>C305</f>
        <v/>
      </c>
      <c r="D680" s="29">
        <f>D305</f>
        <v/>
      </c>
      <c r="E680" s="29">
        <f>E305</f>
        <v/>
      </c>
      <c r="F680" s="29">
        <f>F305</f>
        <v/>
      </c>
      <c r="G680" s="29">
        <f>G305</f>
        <v/>
      </c>
      <c r="H680" s="29">
        <f>H305</f>
        <v/>
      </c>
      <c r="I680" s="29">
        <f>I305</f>
        <v/>
      </c>
      <c r="J680" s="29">
        <f>J305</f>
        <v/>
      </c>
      <c r="K680" s="29">
        <f>F680</f>
        <v/>
      </c>
    </row>
    <row r="681">
      <c r="A681" s="29">
        <f>CONCATENATE("CATEGORY_",UPPER(Pokemon!B660))</f>
        <v/>
      </c>
      <c r="B681" s="29" t="inlineStr">
        <is>
          <t>Digging</t>
        </is>
      </c>
      <c r="C681" s="29" t="inlineStr">
        <is>
          <t>あなほり</t>
        </is>
      </c>
      <c r="D681" s="29" t="inlineStr">
        <is>
          <t>Fouisseur</t>
        </is>
      </c>
      <c r="E681" s="29" t="inlineStr">
        <is>
          <t>Baugräber</t>
        </is>
      </c>
      <c r="F681" s="29" t="inlineStr">
        <is>
          <t>Excavador</t>
        </is>
      </c>
      <c r="G681" s="29" t="inlineStr">
        <is>
          <t>Scavabuche</t>
        </is>
      </c>
      <c r="H681" s="29" t="inlineStr">
        <is>
          <t>땅구멍파기</t>
        </is>
      </c>
      <c r="I681" s="29" t="inlineStr">
        <is>
          <t>挖洞</t>
        </is>
      </c>
      <c r="J681" s="29">
        <f>I681</f>
        <v/>
      </c>
      <c r="K681" s="29">
        <f>F681</f>
        <v/>
      </c>
    </row>
    <row r="682">
      <c r="A682" s="29">
        <f>CONCATENATE("CATEGORY_",UPPER(Pokemon!B661))</f>
        <v/>
      </c>
      <c r="B682" s="29">
        <f>B681</f>
        <v/>
      </c>
      <c r="C682" s="29">
        <f>C681</f>
        <v/>
      </c>
      <c r="D682" s="29">
        <f>D681</f>
        <v/>
      </c>
      <c r="E682" s="29">
        <f>E681</f>
        <v/>
      </c>
      <c r="F682" s="29">
        <f>F681</f>
        <v/>
      </c>
      <c r="G682" s="29">
        <f>G681</f>
        <v/>
      </c>
      <c r="H682" s="29">
        <f>H681</f>
        <v/>
      </c>
      <c r="I682" s="29">
        <f>I681</f>
        <v/>
      </c>
      <c r="J682" s="29">
        <f>J681</f>
        <v/>
      </c>
      <c r="K682" s="29">
        <f>F682</f>
        <v/>
      </c>
    </row>
    <row r="683">
      <c r="A683" s="29">
        <f>CONCATENATE("CATEGORY_",UPPER(Pokemon!B662))</f>
        <v/>
      </c>
      <c r="B683" s="29" t="inlineStr">
        <is>
          <t>Tiny Robin</t>
        </is>
      </c>
      <c r="C683" s="29" t="inlineStr">
        <is>
          <t>コマドリ</t>
        </is>
      </c>
      <c r="D683" s="29" t="inlineStr">
        <is>
          <t>Rougegorge</t>
        </is>
      </c>
      <c r="E683" s="29" t="inlineStr">
        <is>
          <t>Rotkehlchen</t>
        </is>
      </c>
      <c r="F683" s="29" t="inlineStr">
        <is>
          <t>Petirrojo</t>
        </is>
      </c>
      <c r="G683" s="29" t="inlineStr">
        <is>
          <t>Pettirosso</t>
        </is>
      </c>
      <c r="H683" s="29" t="inlineStr">
        <is>
          <t>울새</t>
        </is>
      </c>
      <c r="I683" s="29" t="inlineStr">
        <is>
          <t>知更鳥</t>
        </is>
      </c>
      <c r="J683" s="29">
        <f>IFERROR(__xludf.DUMMYFUNCTION("GOOGLETRANSLATE(I683, ""zh_HANT"",""zh_HANS"")"),"知更鸟")</f>
        <v/>
      </c>
      <c r="K683" s="29">
        <f>F683</f>
        <v/>
      </c>
    </row>
    <row r="684">
      <c r="A684" s="29">
        <f>CONCATENATE("CATEGORY_",UPPER(Pokemon!B663))</f>
        <v/>
      </c>
      <c r="B684" s="29">
        <f>B529</f>
        <v/>
      </c>
      <c r="C684" s="29">
        <f>C529</f>
        <v/>
      </c>
      <c r="D684" s="29">
        <f>D529</f>
        <v/>
      </c>
      <c r="E684" s="29">
        <f>E529</f>
        <v/>
      </c>
      <c r="F684" s="29">
        <f>F529</f>
        <v/>
      </c>
      <c r="G684" s="29">
        <f>G529</f>
        <v/>
      </c>
      <c r="H684" s="29">
        <f>H529</f>
        <v/>
      </c>
      <c r="I684" s="29">
        <f>I529</f>
        <v/>
      </c>
      <c r="J684" s="29">
        <f>J529</f>
        <v/>
      </c>
      <c r="K684" s="29">
        <f>F684</f>
        <v/>
      </c>
    </row>
    <row r="685">
      <c r="A685" s="29">
        <f>CONCATENATE("CATEGORY_",UPPER(Pokemon!B664))</f>
        <v/>
      </c>
      <c r="B685" s="29" t="inlineStr">
        <is>
          <t>Scorching</t>
        </is>
      </c>
      <c r="C685" s="29" t="inlineStr">
        <is>
          <t>れっか</t>
        </is>
      </c>
      <c r="D685" s="29" t="inlineStr">
        <is>
          <t>Fournaise</t>
        </is>
      </c>
      <c r="E685" s="29" t="inlineStr">
        <is>
          <t>Stichflamme</t>
        </is>
      </c>
      <c r="F685" s="29" t="inlineStr">
        <is>
          <t>Flamígero</t>
        </is>
      </c>
      <c r="G685" s="29" t="inlineStr">
        <is>
          <t>Ardifiamma</t>
        </is>
      </c>
      <c r="H685" s="29" t="inlineStr">
        <is>
          <t>열화</t>
        </is>
      </c>
      <c r="I685" s="29" t="inlineStr">
        <is>
          <t>烈火</t>
        </is>
      </c>
      <c r="J685" s="29">
        <f>I685</f>
        <v/>
      </c>
      <c r="K685" s="29">
        <f>F685</f>
        <v/>
      </c>
    </row>
    <row r="686">
      <c r="A686" s="29">
        <f>CONCATENATE("CATEGORY_",UPPER(Pokemon!B665))</f>
        <v/>
      </c>
      <c r="B686" s="29" t="inlineStr">
        <is>
          <t>Scatterdust</t>
        </is>
      </c>
      <c r="C686" s="29" t="inlineStr">
        <is>
          <t>こなふき</t>
        </is>
      </c>
      <c r="D686" s="29" t="inlineStr">
        <is>
          <t>Exhalécaille</t>
        </is>
      </c>
      <c r="E686" s="29" t="inlineStr">
        <is>
          <t>Puderinsekt</t>
        </is>
      </c>
      <c r="F686" s="29" t="inlineStr">
        <is>
          <t>Tiraescamas</t>
        </is>
      </c>
      <c r="G686" s="29" t="inlineStr">
        <is>
          <t>Tirascaglie</t>
        </is>
      </c>
      <c r="H686" s="29" t="inlineStr">
        <is>
          <t>가루뿜기</t>
        </is>
      </c>
      <c r="I686" s="29" t="inlineStr">
        <is>
          <t>噴粉</t>
        </is>
      </c>
      <c r="J686" s="29">
        <f>IFERROR(__xludf.DUMMYFUNCTION("GOOGLETRANSLATE(I686, ""zh_HANT"",""zh_HANS"")"),"喷粉")</f>
        <v/>
      </c>
      <c r="K686" s="29">
        <f>F686</f>
        <v/>
      </c>
    </row>
    <row r="687">
      <c r="A687" s="29">
        <f>CONCATENATE("CATEGORY_",UPPER(Pokemon!B666))</f>
        <v/>
      </c>
      <c r="B687" s="29">
        <f>B686</f>
        <v/>
      </c>
      <c r="C687" s="29">
        <f>C686</f>
        <v/>
      </c>
      <c r="D687" s="29">
        <f>D686</f>
        <v/>
      </c>
      <c r="E687" s="29">
        <f>E686</f>
        <v/>
      </c>
      <c r="F687" s="29">
        <f>F686</f>
        <v/>
      </c>
      <c r="G687" s="29">
        <f>G686</f>
        <v/>
      </c>
      <c r="H687" s="29">
        <f>H686</f>
        <v/>
      </c>
      <c r="I687" s="29">
        <f>I686</f>
        <v/>
      </c>
      <c r="J687" s="29">
        <f>J686</f>
        <v/>
      </c>
      <c r="K687" s="29">
        <f>F687</f>
        <v/>
      </c>
    </row>
    <row r="688">
      <c r="A688" s="29">
        <f>CONCATENATE("CATEGORY_",UPPER(Pokemon!B667))</f>
        <v/>
      </c>
      <c r="B688" s="29" t="inlineStr">
        <is>
          <t>Scale</t>
        </is>
      </c>
      <c r="C688" s="29" t="inlineStr">
        <is>
          <t>りんぷん</t>
        </is>
      </c>
      <c r="D688" s="29" t="inlineStr">
        <is>
          <t>Lépidécaille</t>
        </is>
      </c>
      <c r="E688" s="29" t="inlineStr">
        <is>
          <t>Flügelstaub</t>
        </is>
      </c>
      <c r="F688" s="29" t="inlineStr">
        <is>
          <t>Escamaposa</t>
        </is>
      </c>
      <c r="G688" s="29" t="inlineStr">
        <is>
          <t>Farfascaglia</t>
        </is>
      </c>
      <c r="H688" s="29" t="inlineStr">
        <is>
          <t>인분</t>
        </is>
      </c>
      <c r="I688" s="29" t="inlineStr">
        <is>
          <t>鱗粉</t>
        </is>
      </c>
      <c r="J688" s="29">
        <f>IFERROR(__xludf.DUMMYFUNCTION("GOOGLETRANSLATE(I688, ""zh_HANT"",""zh_HANS"")"),"鳞粉")</f>
        <v/>
      </c>
      <c r="K688" s="29">
        <f>F688</f>
        <v/>
      </c>
    </row>
    <row r="689">
      <c r="A689" s="29">
        <f>CONCATENATE("CATEGORY_",UPPER(Pokemon!B668))</f>
        <v/>
      </c>
      <c r="B689" s="29" t="inlineStr">
        <is>
          <t>Lion Cub</t>
        </is>
      </c>
      <c r="C689" s="29" t="inlineStr">
        <is>
          <t>わかしし</t>
        </is>
      </c>
      <c r="D689" s="29" t="inlineStr">
        <is>
          <t>Lionceau</t>
        </is>
      </c>
      <c r="E689" s="29" t="inlineStr">
        <is>
          <t>Junglöwe</t>
        </is>
      </c>
      <c r="F689" s="29" t="inlineStr">
        <is>
          <t>Leoncito</t>
        </is>
      </c>
      <c r="G689" s="29" t="inlineStr">
        <is>
          <t>Leoncino</t>
        </is>
      </c>
      <c r="H689" s="29" t="inlineStr">
        <is>
          <t>어린사자</t>
        </is>
      </c>
      <c r="I689" s="29" t="inlineStr">
        <is>
          <t>幼獅</t>
        </is>
      </c>
      <c r="J689" s="29">
        <f>IFERROR(__xludf.DUMMYFUNCTION("GOOGLETRANSLATE(I689, ""zh_HANT"",""zh_HANS"")"),"幼狮")</f>
        <v/>
      </c>
      <c r="K689" s="29">
        <f>F689</f>
        <v/>
      </c>
    </row>
    <row r="690">
      <c r="A690" s="29">
        <f>CONCATENATE("CATEGORY_",UPPER(Pokemon!B669))</f>
        <v/>
      </c>
      <c r="B690" s="29">
        <f>B212</f>
        <v/>
      </c>
      <c r="C690" s="29">
        <f>C212</f>
        <v/>
      </c>
      <c r="D690" s="29">
        <f>D212</f>
        <v/>
      </c>
      <c r="E690" s="29">
        <f>E212</f>
        <v/>
      </c>
      <c r="F690" s="29">
        <f>F212</f>
        <v/>
      </c>
      <c r="G690" s="29">
        <f>G212</f>
        <v/>
      </c>
      <c r="H690" s="29">
        <f>H212</f>
        <v/>
      </c>
      <c r="I690" s="29">
        <f>I212</f>
        <v/>
      </c>
      <c r="J690" s="29">
        <f>J212</f>
        <v/>
      </c>
      <c r="K690" s="29">
        <f>F690</f>
        <v/>
      </c>
    </row>
    <row r="691">
      <c r="A691" s="29">
        <f>CONCATENATE("CATEGORY_",UPPER(Pokemon!B670))</f>
        <v/>
      </c>
      <c r="B691" s="29" t="inlineStr">
        <is>
          <t>Single Bloom</t>
        </is>
      </c>
      <c r="C691" s="29" t="inlineStr">
        <is>
          <t>いちりん</t>
        </is>
      </c>
      <c r="D691" s="29" t="inlineStr">
        <is>
          <t>Uniflore</t>
        </is>
      </c>
      <c r="E691" s="29" t="inlineStr">
        <is>
          <t>Einblütler</t>
        </is>
      </c>
      <c r="F691" s="29" t="inlineStr">
        <is>
          <t>Monoflor</t>
        </is>
      </c>
      <c r="G691" s="29" t="inlineStr">
        <is>
          <t>Monofiore</t>
        </is>
      </c>
      <c r="H691" s="29" t="inlineStr">
        <is>
          <t>한송이</t>
        </is>
      </c>
      <c r="I691" s="29" t="inlineStr">
        <is>
          <t>單朵</t>
        </is>
      </c>
      <c r="J691" s="29">
        <f>IFERROR(__xludf.DUMMYFUNCTION("GOOGLETRANSLATE(I691, ""zh_HANT"",""zh_HANS"")"),"单朵")</f>
        <v/>
      </c>
      <c r="K691" s="29">
        <f>F691</f>
        <v/>
      </c>
    </row>
    <row r="692">
      <c r="A692" s="29">
        <f>CONCATENATE("CATEGORY_",UPPER(Pokemon!B671))</f>
        <v/>
      </c>
      <c r="B692" s="29">
        <f>B691</f>
        <v/>
      </c>
      <c r="C692" s="29">
        <f>C691</f>
        <v/>
      </c>
      <c r="D692" s="29">
        <f>D691</f>
        <v/>
      </c>
      <c r="E692" s="29">
        <f>E691</f>
        <v/>
      </c>
      <c r="F692" s="29">
        <f>F691</f>
        <v/>
      </c>
      <c r="G692" s="29">
        <f>G691</f>
        <v/>
      </c>
      <c r="H692" s="29">
        <f>H691</f>
        <v/>
      </c>
      <c r="I692" s="29">
        <f>I691</f>
        <v/>
      </c>
      <c r="J692" s="29">
        <f>J691</f>
        <v/>
      </c>
      <c r="K692" s="29">
        <f>F692</f>
        <v/>
      </c>
    </row>
    <row r="693">
      <c r="A693" s="29">
        <f>CONCATENATE("CATEGORY_",UPPER(Pokemon!B672))</f>
        <v/>
      </c>
      <c r="B693" s="29" t="inlineStr">
        <is>
          <t>Garden</t>
        </is>
      </c>
      <c r="C693" s="29" t="inlineStr">
        <is>
          <t>ガーデン</t>
        </is>
      </c>
      <c r="D693" s="29" t="inlineStr">
        <is>
          <t>Jardin</t>
        </is>
      </c>
      <c r="E693" s="29" t="inlineStr">
        <is>
          <t>Garten</t>
        </is>
      </c>
      <c r="F693" s="29">
        <f>F691</f>
        <v/>
      </c>
      <c r="G693" s="29" t="inlineStr">
        <is>
          <t>Giardino</t>
        </is>
      </c>
      <c r="H693" s="29" t="inlineStr">
        <is>
          <t>가든</t>
        </is>
      </c>
      <c r="I693" s="29" t="inlineStr">
        <is>
          <t>花園</t>
        </is>
      </c>
      <c r="J693" s="29">
        <f>IFERROR(__xludf.DUMMYFUNCTION("GOOGLETRANSLATE(I693, ""zh_HANT"",""zh_HANS"")"),"花园")</f>
        <v/>
      </c>
      <c r="K693" s="29">
        <f>F693</f>
        <v/>
      </c>
    </row>
    <row r="694">
      <c r="A694" s="29">
        <f>CONCATENATE("CATEGORY_",UPPER(Pokemon!B673))</f>
        <v/>
      </c>
      <c r="B694" s="29" t="inlineStr">
        <is>
          <t>Mount</t>
        </is>
      </c>
      <c r="C694" s="29" t="inlineStr">
        <is>
          <t>ライド</t>
        </is>
      </c>
      <c r="D694" s="29" t="inlineStr">
        <is>
          <t>Monture</t>
        </is>
      </c>
      <c r="E694" s="29" t="inlineStr">
        <is>
          <t>Ritt</t>
        </is>
      </c>
      <c r="F694" s="29" t="inlineStr">
        <is>
          <t>Montura</t>
        </is>
      </c>
      <c r="G694" s="29" t="inlineStr">
        <is>
          <t>Cavalcatura</t>
        </is>
      </c>
      <c r="H694" s="29" t="inlineStr">
        <is>
          <t>라이드</t>
        </is>
      </c>
      <c r="I694" s="29" t="inlineStr">
        <is>
          <t>坐騎</t>
        </is>
      </c>
      <c r="J694" s="29">
        <f>IFERROR(__xludf.DUMMYFUNCTION("GOOGLETRANSLATE(I694, ""zh_HANT"",""zh_HANS"")"),"坐骑")</f>
        <v/>
      </c>
      <c r="K694" s="29">
        <f>F694</f>
        <v/>
      </c>
    </row>
    <row r="695">
      <c r="A695" s="29">
        <f>CONCATENATE("CATEGORY_",UPPER(Pokemon!B674))</f>
        <v/>
      </c>
      <c r="B695" s="29">
        <f>B694</f>
        <v/>
      </c>
      <c r="C695" s="29">
        <f>C694</f>
        <v/>
      </c>
      <c r="D695" s="29">
        <f>D694</f>
        <v/>
      </c>
      <c r="E695" s="29">
        <f>E694</f>
        <v/>
      </c>
      <c r="F695" s="29">
        <f>F694</f>
        <v/>
      </c>
      <c r="G695" s="29">
        <f>G694</f>
        <v/>
      </c>
      <c r="H695" s="29">
        <f>H694</f>
        <v/>
      </c>
      <c r="I695" s="29">
        <f>I694</f>
        <v/>
      </c>
      <c r="J695" s="29">
        <f>J694</f>
        <v/>
      </c>
      <c r="K695" s="29">
        <f>F695</f>
        <v/>
      </c>
    </row>
    <row r="696">
      <c r="A696" s="29">
        <f>CONCATENATE("CATEGORY_",UPPER(Pokemon!B675))</f>
        <v/>
      </c>
      <c r="B696" s="29">
        <f>B405</f>
        <v/>
      </c>
      <c r="C696" s="29">
        <f>C405</f>
        <v/>
      </c>
      <c r="D696" s="29">
        <f>D405</f>
        <v/>
      </c>
      <c r="E696" s="29">
        <f>E405</f>
        <v/>
      </c>
      <c r="F696" s="29">
        <f>F405</f>
        <v/>
      </c>
      <c r="G696" s="29">
        <f>G405</f>
        <v/>
      </c>
      <c r="H696" s="29">
        <f>H405</f>
        <v/>
      </c>
      <c r="I696" s="29">
        <f>I405</f>
        <v/>
      </c>
      <c r="J696" s="29">
        <f>J405</f>
        <v/>
      </c>
      <c r="K696" s="29">
        <f>F696</f>
        <v/>
      </c>
    </row>
    <row r="697">
      <c r="A697" s="29">
        <f>CONCATENATE("CATEGORY_",UPPER(Pokemon!B676))</f>
        <v/>
      </c>
      <c r="B697" s="29" t="inlineStr">
        <is>
          <t>Daunting</t>
        </is>
      </c>
      <c r="C697" s="29" t="inlineStr">
        <is>
          <t>こわもて</t>
        </is>
      </c>
      <c r="D697" s="29" t="inlineStr">
        <is>
          <t>Patibulaire</t>
        </is>
      </c>
      <c r="E697" s="29" t="inlineStr">
        <is>
          <t>Gaunerblick</t>
        </is>
      </c>
      <c r="F697" s="29" t="inlineStr">
        <is>
          <t>Rostro Fiero</t>
        </is>
      </c>
      <c r="G697" s="29" t="inlineStr">
        <is>
          <t>Occhiotruce</t>
        </is>
      </c>
      <c r="H697" s="29" t="inlineStr">
        <is>
          <t xml:space="preserve">무서운얼굴 </t>
        </is>
      </c>
      <c r="I697" s="29" t="inlineStr">
        <is>
          <t>惡顏</t>
        </is>
      </c>
      <c r="J697" s="29">
        <f>IFERROR(__xludf.DUMMYFUNCTION("GOOGLETRANSLATE(I697, ""zh_HANT"",""zh_HANS"")"),"恶颜")</f>
        <v/>
      </c>
      <c r="K697" s="29">
        <f>F697</f>
        <v/>
      </c>
    </row>
    <row r="698">
      <c r="A698" s="29">
        <f>CONCATENATE("CATEGORY_",UPPER(Pokemon!B677))</f>
        <v/>
      </c>
      <c r="B698" s="29" t="inlineStr">
        <is>
          <t>Poodle</t>
        </is>
      </c>
      <c r="C698" s="29" t="inlineStr">
        <is>
          <t>プードル</t>
        </is>
      </c>
      <c r="D698" s="29" t="inlineStr">
        <is>
          <t>Caniche</t>
        </is>
      </c>
      <c r="E698" s="29" t="inlineStr">
        <is>
          <t>Pudel</t>
        </is>
      </c>
      <c r="F698" s="29">
        <f>D698</f>
        <v/>
      </c>
      <c r="G698" s="29" t="inlineStr">
        <is>
          <t>Barboncino</t>
        </is>
      </c>
      <c r="H698" s="29" t="inlineStr">
        <is>
          <t>푸들</t>
        </is>
      </c>
      <c r="I698" s="29" t="inlineStr">
        <is>
          <t>貴賓犬</t>
        </is>
      </c>
      <c r="J698" s="29">
        <f>IFERROR(__xludf.DUMMYFUNCTION("GOOGLETRANSLATE(I698, ""zh_HANT"",""zh_HANS"")"),"贵宾犬")</f>
        <v/>
      </c>
      <c r="K698" s="29">
        <f>F698</f>
        <v/>
      </c>
    </row>
    <row r="699">
      <c r="A699" s="29">
        <f>CONCATENATE("CATEGORY_",UPPER(Pokemon!B678))</f>
        <v/>
      </c>
      <c r="B699" s="29" t="inlineStr">
        <is>
          <t>Restraint</t>
        </is>
      </c>
      <c r="C699" s="29" t="inlineStr">
        <is>
          <t>じせい</t>
        </is>
      </c>
      <c r="D699" s="29" t="inlineStr">
        <is>
          <t>Retrnue</t>
        </is>
      </c>
      <c r="E699" s="29" t="inlineStr">
        <is>
          <t>Zügelung</t>
        </is>
      </c>
      <c r="F699" s="29" t="inlineStr">
        <is>
          <t>Moderación</t>
        </is>
      </c>
      <c r="G699" s="29" t="inlineStr">
        <is>
          <t>Moderazione</t>
        </is>
      </c>
      <c r="H699" s="29" t="inlineStr">
        <is>
          <t>자제</t>
        </is>
      </c>
      <c r="I699" s="29" t="inlineStr">
        <is>
          <t>自制</t>
        </is>
      </c>
      <c r="J699" s="29">
        <f>I699</f>
        <v/>
      </c>
      <c r="K699" s="29">
        <f>F699</f>
        <v/>
      </c>
    </row>
    <row r="700">
      <c r="A700" s="29">
        <f>CONCATENATE("CATEGORY_",UPPER(Pokemon!B679))</f>
        <v/>
      </c>
      <c r="B700" s="29" t="inlineStr">
        <is>
          <t>Constraint</t>
        </is>
      </c>
      <c r="C700" s="29" t="inlineStr">
        <is>
          <t>よくせい</t>
        </is>
      </c>
      <c r="D700" s="29" t="inlineStr">
        <is>
          <t>SelfContrôle</t>
        </is>
      </c>
      <c r="E700" s="29" t="inlineStr">
        <is>
          <t>Fassung</t>
        </is>
      </c>
      <c r="F700" s="29" t="inlineStr">
        <is>
          <t>Autocontrol</t>
        </is>
      </c>
      <c r="G700" s="29" t="inlineStr">
        <is>
          <t>Temperanza</t>
        </is>
      </c>
      <c r="H700" s="29" t="inlineStr">
        <is>
          <t>억제</t>
        </is>
      </c>
      <c r="I700" s="29" t="inlineStr">
        <is>
          <t>抑制</t>
        </is>
      </c>
      <c r="J700" s="29">
        <f>I700</f>
        <v/>
      </c>
      <c r="K700" s="29">
        <f>F700</f>
        <v/>
      </c>
    </row>
    <row r="701">
      <c r="A701" s="29">
        <f>CONCATENATE(A700,"-M")</f>
        <v/>
      </c>
      <c r="B701" s="29" t="inlineStr">
        <is>
          <t>Second Sight</t>
        </is>
      </c>
      <c r="C701" s="29" t="inlineStr">
        <is>
          <t>せんりがん</t>
        </is>
      </c>
      <c r="D701" s="29" t="inlineStr">
        <is>
          <t>Clairvoyant</t>
        </is>
      </c>
      <c r="E701" s="29" t="inlineStr">
        <is>
          <t>Hellseher</t>
        </is>
      </c>
      <c r="F701" s="29" t="inlineStr">
        <is>
          <t>Clarividente</t>
        </is>
      </c>
      <c r="G701" s="29" t="inlineStr">
        <is>
          <t>Veggente</t>
        </is>
      </c>
      <c r="H701" s="29" t="inlineStr">
        <is>
          <t>천리안</t>
        </is>
      </c>
      <c r="I701" s="29" t="inlineStr">
        <is>
          <t>千里眼</t>
        </is>
      </c>
      <c r="J701" s="29">
        <f>I701</f>
        <v/>
      </c>
      <c r="K701" s="29">
        <f>F701</f>
        <v/>
      </c>
    </row>
    <row r="702">
      <c r="A702" s="29">
        <f>CONCATENATE("CATEGORY_",UPPER(Pokemon!B680))</f>
        <v/>
      </c>
      <c r="B702" s="29" t="inlineStr">
        <is>
          <t>Sword</t>
        </is>
      </c>
      <c r="C702" s="29" t="inlineStr">
        <is>
          <t>とうけん</t>
        </is>
      </c>
      <c r="D702" s="29" t="inlineStr">
        <is>
          <t>Glaive</t>
        </is>
      </c>
      <c r="E702" s="29" t="inlineStr">
        <is>
          <t>Klingenkraft</t>
        </is>
      </c>
      <c r="F702" s="29" t="inlineStr">
        <is>
          <t>Tizona</t>
        </is>
      </c>
      <c r="G702" s="29" t="inlineStr">
        <is>
          <t>Armabianca</t>
        </is>
      </c>
      <c r="H702" s="29" t="inlineStr">
        <is>
          <t>도검</t>
        </is>
      </c>
      <c r="I702" s="29" t="inlineStr">
        <is>
          <t>刀劍</t>
        </is>
      </c>
      <c r="J702" s="29">
        <f>IFERROR(__xludf.DUMMYFUNCTION("GOOGLETRANSLATE(I702, ""zh_HANT"",""zh_HANS"")"),"刀剑")</f>
        <v/>
      </c>
      <c r="K702" s="29">
        <f>F702</f>
        <v/>
      </c>
    </row>
    <row r="703">
      <c r="A703" s="29">
        <f>CONCATENATE("CATEGORY_",UPPER(Pokemon!B681))</f>
        <v/>
      </c>
      <c r="B703" s="29">
        <f>B702</f>
        <v/>
      </c>
      <c r="C703" s="29">
        <f>C702</f>
        <v/>
      </c>
      <c r="D703" s="29">
        <f>D702</f>
        <v/>
      </c>
      <c r="E703" s="29">
        <f>E702</f>
        <v/>
      </c>
      <c r="F703" s="29">
        <f>F702</f>
        <v/>
      </c>
      <c r="G703" s="29">
        <f>G702</f>
        <v/>
      </c>
      <c r="H703" s="29">
        <f>H702</f>
        <v/>
      </c>
      <c r="I703" s="29">
        <f>I702</f>
        <v/>
      </c>
      <c r="J703" s="29">
        <f>J702</f>
        <v/>
      </c>
      <c r="K703" s="29">
        <f>F703</f>
        <v/>
      </c>
    </row>
    <row r="704">
      <c r="A704" s="29">
        <f>CONCATENATE("CATEGORY_",UPPER(Pokemon!B682))</f>
        <v/>
      </c>
      <c r="B704" s="29" t="inlineStr">
        <is>
          <t>Royal Sword</t>
        </is>
      </c>
      <c r="C704" s="29" t="inlineStr">
        <is>
          <t>おうけん</t>
        </is>
      </c>
      <c r="D704" s="29" t="inlineStr">
        <is>
          <t>Noble Lame</t>
        </is>
      </c>
      <c r="E704" s="29" t="inlineStr">
        <is>
          <t>Königsklinge</t>
        </is>
      </c>
      <c r="F704" s="29" t="inlineStr">
        <is>
          <t>Espada Real</t>
        </is>
      </c>
      <c r="G704" s="29" t="inlineStr">
        <is>
          <t>Spadareale</t>
        </is>
      </c>
      <c r="H704" s="29" t="inlineStr">
        <is>
          <t>왕검</t>
        </is>
      </c>
      <c r="I704" s="29" t="inlineStr">
        <is>
          <t>王劍</t>
        </is>
      </c>
      <c r="J704" s="29">
        <f>IFERROR(__xludf.DUMMYFUNCTION("GOOGLETRANSLATE(I704, ""zh_HANT"",""zh_HANS"")"),"王剑")</f>
        <v/>
      </c>
      <c r="K704" s="29">
        <f>F704</f>
        <v/>
      </c>
    </row>
    <row r="705">
      <c r="A705" s="29">
        <f>CONCATENATE("CATEGORY_",UPPER(Pokemon!B683))</f>
        <v/>
      </c>
      <c r="B705" s="29" t="inlineStr">
        <is>
          <t>Perfume</t>
        </is>
      </c>
      <c r="C705" s="29" t="inlineStr">
        <is>
          <t>こうすい</t>
        </is>
      </c>
      <c r="D705" s="29">
        <f>B706</f>
        <v/>
      </c>
      <c r="E705" s="29" t="inlineStr">
        <is>
          <t>Parfüm</t>
        </is>
      </c>
      <c r="F705" s="29" t="inlineStr">
        <is>
          <t>Aroma</t>
        </is>
      </c>
      <c r="G705" s="29" t="inlineStr">
        <is>
          <t>Profumo</t>
        </is>
      </c>
      <c r="H705" s="29" t="inlineStr">
        <is>
          <t>향수</t>
        </is>
      </c>
      <c r="I705" s="29" t="inlineStr">
        <is>
          <t>香水</t>
        </is>
      </c>
      <c r="J705" s="29">
        <f>I705</f>
        <v/>
      </c>
      <c r="K705" s="29">
        <f>F705</f>
        <v/>
      </c>
    </row>
    <row r="706">
      <c r="A706" s="29">
        <f>CONCATENATE("CATEGORY_",UPPER(Pokemon!B684))</f>
        <v/>
      </c>
      <c r="B706" s="29" t="inlineStr">
        <is>
          <t>Fragrance</t>
        </is>
      </c>
      <c r="C706" s="29" t="inlineStr">
        <is>
          <t>ほうこう</t>
        </is>
      </c>
      <c r="D706" s="29" t="inlineStr">
        <is>
          <t>Parfum</t>
        </is>
      </c>
      <c r="E706" s="29" t="inlineStr">
        <is>
          <t>Duft</t>
        </is>
      </c>
      <c r="F706" s="29" t="inlineStr">
        <is>
          <t>Fragancia</t>
        </is>
      </c>
      <c r="G706" s="29" t="inlineStr">
        <is>
          <t>Fragranza</t>
        </is>
      </c>
      <c r="H706" s="29" t="inlineStr">
        <is>
          <t>방향</t>
        </is>
      </c>
      <c r="I706" s="29" t="inlineStr">
        <is>
          <t>芳香</t>
        </is>
      </c>
      <c r="J706" s="29">
        <f>I706</f>
        <v/>
      </c>
      <c r="K706" s="29">
        <f>F706</f>
        <v/>
      </c>
    </row>
    <row r="707">
      <c r="A707" s="29">
        <f>CONCATENATE("CATEGORY_",UPPER(Pokemon!B685))</f>
        <v/>
      </c>
      <c r="B707" s="29" t="inlineStr">
        <is>
          <t>Cotton Candy</t>
        </is>
      </c>
      <c r="C707" s="29" t="inlineStr">
        <is>
          <t>わたあめ</t>
        </is>
      </c>
      <c r="D707" s="29" t="inlineStr">
        <is>
          <t>Confiserie</t>
        </is>
      </c>
      <c r="E707" s="29" t="inlineStr">
        <is>
          <t>Zuckerwatte</t>
        </is>
      </c>
      <c r="F707" s="29" t="inlineStr">
        <is>
          <t>Chuchería</t>
        </is>
      </c>
      <c r="G707" s="29" t="inlineStr">
        <is>
          <t>Zuccherino</t>
        </is>
      </c>
      <c r="H707" s="29" t="inlineStr">
        <is>
          <t>솜사탕</t>
        </is>
      </c>
      <c r="I707" s="29" t="inlineStr">
        <is>
          <t>棉花糖</t>
        </is>
      </c>
      <c r="J707" s="29">
        <f>I707</f>
        <v/>
      </c>
      <c r="K707" s="29">
        <f>F707</f>
        <v/>
      </c>
    </row>
    <row r="708">
      <c r="A708" s="29">
        <f>CONCATENATE("CATEGORY_",UPPER(Pokemon!B686))</f>
        <v/>
      </c>
      <c r="B708" s="29" t="inlineStr">
        <is>
          <t>Meringue</t>
        </is>
      </c>
      <c r="C708" s="29" t="inlineStr">
        <is>
          <t>ホイップ</t>
        </is>
      </c>
      <c r="D708" s="29" t="inlineStr">
        <is>
          <t>Mousseline</t>
        </is>
      </c>
      <c r="E708" s="29" t="inlineStr">
        <is>
          <t>Schlagsahne</t>
        </is>
      </c>
      <c r="F708" s="29" t="inlineStr">
        <is>
          <t>Nata</t>
        </is>
      </c>
      <c r="G708" s="29" t="inlineStr">
        <is>
          <t>Panna</t>
        </is>
      </c>
      <c r="H708" s="29" t="inlineStr">
        <is>
          <t>휩</t>
        </is>
      </c>
      <c r="I708" s="29" t="inlineStr">
        <is>
          <t>泡沫奶油</t>
        </is>
      </c>
      <c r="J708" s="29">
        <f>I708</f>
        <v/>
      </c>
      <c r="K708" s="29">
        <f>F708</f>
        <v/>
      </c>
    </row>
    <row r="709">
      <c r="A709" s="29">
        <f>CONCATENATE("CATEGORY_",UPPER(Pokemon!B687))</f>
        <v/>
      </c>
      <c r="B709" s="29" t="inlineStr">
        <is>
          <t>Revolving</t>
        </is>
      </c>
      <c r="C709" s="29" t="inlineStr">
        <is>
          <t>かいてん</t>
        </is>
      </c>
      <c r="D709" s="29" t="inlineStr">
        <is>
          <t>Rotation</t>
        </is>
      </c>
      <c r="E709" s="29">
        <f>D709</f>
        <v/>
      </c>
      <c r="F709" s="29" t="inlineStr">
        <is>
          <t>Rotación</t>
        </is>
      </c>
      <c r="G709" s="29" t="inlineStr">
        <is>
          <t>Volteggio</t>
        </is>
      </c>
      <c r="H709" s="29" t="inlineStr">
        <is>
          <t>회전</t>
        </is>
      </c>
      <c r="I709" s="29" t="inlineStr">
        <is>
          <t>回轉</t>
        </is>
      </c>
      <c r="J709" s="29">
        <f>IFERROR(__xludf.DUMMYFUNCTION("GOOGLETRANSLATE(I709, ""zh_HANT"",""zh_HANS"")"),"回转")</f>
        <v/>
      </c>
      <c r="K709" s="29">
        <f>F709</f>
        <v/>
      </c>
    </row>
    <row r="710">
      <c r="A710" s="29">
        <f>CONCATENATE("CATEGORY_",UPPER(Pokemon!B688))</f>
        <v/>
      </c>
      <c r="B710" s="29" t="inlineStr">
        <is>
          <t>Overturning</t>
        </is>
      </c>
      <c r="C710" s="29" t="inlineStr">
        <is>
          <t>ぎゃくてん</t>
        </is>
      </c>
      <c r="D710" s="29" t="inlineStr">
        <is>
          <t>Révolution</t>
        </is>
      </c>
      <c r="E710" s="29" t="inlineStr">
        <is>
          <t>Inversion</t>
        </is>
      </c>
      <c r="F710" s="29" t="inlineStr">
        <is>
          <t>Revolución</t>
        </is>
      </c>
      <c r="G710" s="29" t="inlineStr">
        <is>
          <t>Giravolta</t>
        </is>
      </c>
      <c r="H710" s="29" t="inlineStr">
        <is>
          <t>역전</t>
        </is>
      </c>
      <c r="I710" s="29" t="inlineStr">
        <is>
          <t>倒轉</t>
        </is>
      </c>
      <c r="J710" s="29">
        <f>IFERROR(__xludf.DUMMYFUNCTION("GOOGLETRANSLATE(I710, ""zh_HANT"",""zh_HANS"")"),"倒转")</f>
        <v/>
      </c>
      <c r="K710" s="29">
        <f>F710</f>
        <v/>
      </c>
    </row>
    <row r="711">
      <c r="A711" s="29">
        <f>CONCATENATE("CATEGORY_",UPPER(Pokemon!B689))</f>
        <v/>
      </c>
      <c r="B711" s="29" t="inlineStr">
        <is>
          <t>Two-Handed</t>
        </is>
      </c>
      <c r="C711" s="29" t="inlineStr">
        <is>
          <t>ふたて</t>
        </is>
      </c>
      <c r="D711" s="29" t="inlineStr">
        <is>
          <t>Bimane</t>
        </is>
      </c>
      <c r="E711" s="29" t="inlineStr">
        <is>
          <t>Krallenduo</t>
        </is>
      </c>
      <c r="F711" s="29" t="inlineStr">
        <is>
          <t>Dos Manos</t>
        </is>
      </c>
      <c r="G711" s="29" t="inlineStr">
        <is>
          <t>Bimano</t>
        </is>
      </c>
      <c r="H711" s="29" t="inlineStr">
        <is>
          <t>두손</t>
        </is>
      </c>
      <c r="I711" s="29" t="inlineStr">
        <is>
          <t>雙手</t>
        </is>
      </c>
      <c r="J711" s="29">
        <f>IFERROR(__xludf.DUMMYFUNCTION("GOOGLETRANSLATE(I711, ""zh_HANT"",""zh_HANS"")"),"双手")</f>
        <v/>
      </c>
      <c r="K711" s="29">
        <f>F711</f>
        <v/>
      </c>
    </row>
    <row r="712">
      <c r="A712" s="29">
        <f>CONCATENATE("CATEGORY_",UPPER(Pokemon!B690))</f>
        <v/>
      </c>
      <c r="B712" s="29" t="inlineStr">
        <is>
          <t>Collective</t>
        </is>
      </c>
      <c r="C712" s="29" t="inlineStr">
        <is>
          <t>しゅうごう</t>
        </is>
      </c>
      <c r="D712" s="29" t="inlineStr">
        <is>
          <t>Assemblage</t>
        </is>
      </c>
      <c r="E712" s="29" t="inlineStr">
        <is>
          <t>Ballung</t>
        </is>
      </c>
      <c r="F712" s="29" t="inlineStr">
        <is>
          <t>Combinación</t>
        </is>
      </c>
      <c r="G712" s="29" t="inlineStr">
        <is>
          <t>Aggregato</t>
        </is>
      </c>
      <c r="H712" s="29" t="inlineStr">
        <is>
          <t>집합</t>
        </is>
      </c>
      <c r="I712" s="29" t="inlineStr">
        <is>
          <t>集合</t>
        </is>
      </c>
      <c r="J712" s="29">
        <f>I712</f>
        <v/>
      </c>
      <c r="K712" s="29">
        <f>F712</f>
        <v/>
      </c>
    </row>
    <row r="713">
      <c r="A713" s="29">
        <f>CONCATENATE("CATEGORY_",UPPER(Pokemon!B691))</f>
        <v/>
      </c>
      <c r="B713" s="29" t="inlineStr">
        <is>
          <t>Mock Kelp</t>
        </is>
      </c>
      <c r="C713" s="29" t="inlineStr">
        <is>
          <t>クサモドキ</t>
        </is>
      </c>
      <c r="D713" s="29" t="inlineStr">
        <is>
          <t>Simulalgue</t>
        </is>
      </c>
      <c r="E713" s="29" t="inlineStr">
        <is>
          <t>Tangmimikry</t>
        </is>
      </c>
      <c r="F713" s="29" t="inlineStr">
        <is>
          <t>Psudoalga</t>
        </is>
      </c>
      <c r="G713" s="29" t="inlineStr">
        <is>
          <t>Similalga</t>
        </is>
      </c>
      <c r="H713" s="29" t="inlineStr">
        <is>
          <t>풀모방</t>
        </is>
      </c>
      <c r="I713" s="29" t="inlineStr">
        <is>
          <t>似草</t>
        </is>
      </c>
      <c r="J713" s="29">
        <f>I713</f>
        <v/>
      </c>
      <c r="K713" s="29">
        <f>F713</f>
        <v/>
      </c>
    </row>
    <row r="714">
      <c r="A714" s="29">
        <f>CONCATENATE("CATEGORY_",UPPER(Pokemon!B692))</f>
        <v/>
      </c>
      <c r="B714" s="29">
        <f>B713</f>
        <v/>
      </c>
      <c r="C714" s="29">
        <f>C713</f>
        <v/>
      </c>
      <c r="D714" s="29">
        <f>D713</f>
        <v/>
      </c>
      <c r="E714" s="29">
        <f>E713</f>
        <v/>
      </c>
      <c r="F714" s="29">
        <f>F713</f>
        <v/>
      </c>
      <c r="G714" s="29">
        <f>G713</f>
        <v/>
      </c>
      <c r="H714" s="29">
        <f>H713</f>
        <v/>
      </c>
      <c r="I714" s="29">
        <f>I713</f>
        <v/>
      </c>
      <c r="J714" s="29">
        <f>J713</f>
        <v/>
      </c>
      <c r="K714" s="29">
        <f>F714</f>
        <v/>
      </c>
    </row>
    <row r="715">
      <c r="A715" s="29">
        <f>CONCATENATE("CATEGORY_",UPPER(Pokemon!B693))</f>
        <v/>
      </c>
      <c r="B715" s="29">
        <f>Moves!B56</f>
        <v/>
      </c>
      <c r="C715" s="29">
        <f>Moves!C56</f>
        <v/>
      </c>
      <c r="D715" s="29" t="inlineStr">
        <is>
          <t>Lance à Eau</t>
        </is>
      </c>
      <c r="E715" s="29" t="inlineStr">
        <is>
          <t>Aquapistole</t>
        </is>
      </c>
      <c r="F715" s="29" t="inlineStr">
        <is>
          <t>Proyectagua</t>
        </is>
      </c>
      <c r="G715" s="29" t="inlineStr">
        <is>
          <t>Zampillo</t>
        </is>
      </c>
      <c r="H715" s="29">
        <f>Moves!H56</f>
        <v/>
      </c>
      <c r="I715" s="29">
        <f>Moves!I56</f>
        <v/>
      </c>
      <c r="J715" s="29">
        <f>Moves!J56</f>
        <v/>
      </c>
      <c r="K715" s="29">
        <f>F715</f>
        <v/>
      </c>
    </row>
    <row r="716">
      <c r="A716" s="29">
        <f>CONCATENATE("CATEGORY_",UPPER(Pokemon!B694))</f>
        <v/>
      </c>
      <c r="B716" s="29" t="inlineStr">
        <is>
          <t>Howitzer</t>
        </is>
      </c>
      <c r="C716" s="29" t="inlineStr">
        <is>
          <t>ランチャー</t>
        </is>
      </c>
      <c r="D716" s="29" t="inlineStr">
        <is>
          <t>Blaster</t>
        </is>
      </c>
      <c r="E716" s="29" t="inlineStr">
        <is>
          <t>Aquawumme</t>
        </is>
      </c>
      <c r="F716" s="29" t="inlineStr">
        <is>
          <t>Lanzachorro</t>
        </is>
      </c>
      <c r="G716" s="29" t="inlineStr">
        <is>
          <t>Acqualancio</t>
        </is>
      </c>
      <c r="H716" s="29" t="inlineStr">
        <is>
          <t>런처</t>
        </is>
      </c>
      <c r="I716" s="29" t="inlineStr">
        <is>
          <t>發射器</t>
        </is>
      </c>
      <c r="J716" s="29">
        <f>IFERROR(__xludf.DUMMYFUNCTION("GOOGLETRANSLATE(I716, ""zh_HANT"",""zh_HANS"")"),"发射器")</f>
        <v/>
      </c>
      <c r="K716" s="29">
        <f>F716</f>
        <v/>
      </c>
    </row>
    <row r="717">
      <c r="A717" s="29">
        <f>CONCATENATE("CATEGORY_",UPPER(Pokemon!B695))</f>
        <v/>
      </c>
      <c r="B717" s="29" t="inlineStr">
        <is>
          <t>Generator</t>
        </is>
      </c>
      <c r="C717" s="29" t="inlineStr">
        <is>
          <t>はつでん</t>
        </is>
      </c>
      <c r="D717" s="29" t="inlineStr">
        <is>
          <t>Générateur</t>
        </is>
      </c>
      <c r="E717" s="29">
        <f>B717</f>
        <v/>
      </c>
      <c r="F717" s="29" t="inlineStr">
        <is>
          <t>Generador</t>
        </is>
      </c>
      <c r="G717" s="29">
        <f>CONCATENATE(B717,"e")</f>
        <v/>
      </c>
      <c r="H717" s="29" t="inlineStr">
        <is>
          <t>발전</t>
        </is>
      </c>
      <c r="I717" s="29" t="inlineStr">
        <is>
          <t>發電</t>
        </is>
      </c>
      <c r="J717" s="29">
        <f>IFERROR(__xludf.DUMMYFUNCTION("GOOGLETRANSLATE(I717, ""zh_HANT"",""zh_HANS"")"),"发电")</f>
        <v/>
      </c>
      <c r="K717" s="29">
        <f>F717</f>
        <v/>
      </c>
    </row>
    <row r="718">
      <c r="A718" s="29">
        <f>CONCATENATE("CATEGORY_",UPPER(Pokemon!B696))</f>
        <v/>
      </c>
      <c r="B718" s="29">
        <f>B717</f>
        <v/>
      </c>
      <c r="C718" s="29">
        <f>C717</f>
        <v/>
      </c>
      <c r="D718" s="29">
        <f>D717</f>
        <v/>
      </c>
      <c r="E718" s="29">
        <f>E717</f>
        <v/>
      </c>
      <c r="F718" s="29">
        <f>F717</f>
        <v/>
      </c>
      <c r="G718" s="29">
        <f>G717</f>
        <v/>
      </c>
      <c r="H718" s="29">
        <f>H717</f>
        <v/>
      </c>
      <c r="I718" s="29">
        <f>I717</f>
        <v/>
      </c>
      <c r="J718" s="29">
        <f>J717</f>
        <v/>
      </c>
      <c r="K718" s="29">
        <f>F718</f>
        <v/>
      </c>
    </row>
    <row r="719">
      <c r="A719" s="29">
        <f>CONCATENATE("CATEGORY_",UPPER(Pokemon!B697))</f>
        <v/>
      </c>
      <c r="B719" s="29" t="inlineStr">
        <is>
          <t>Royal Heir</t>
        </is>
      </c>
      <c r="C719" s="29" t="inlineStr">
        <is>
          <t>ようくん</t>
        </is>
      </c>
      <c r="D719" s="29" t="inlineStr">
        <is>
          <t>Prince</t>
        </is>
      </c>
      <c r="E719" s="29" t="inlineStr">
        <is>
          <t>Kronprinz</t>
        </is>
      </c>
      <c r="F719" s="29" t="inlineStr">
        <is>
          <t>Heredero</t>
        </is>
      </c>
      <c r="G719" s="29" t="inlineStr">
        <is>
          <t>Principino</t>
        </is>
      </c>
      <c r="H719" s="29" t="inlineStr">
        <is>
          <t>유군</t>
        </is>
      </c>
      <c r="I719" s="29" t="inlineStr">
        <is>
          <t>幼君</t>
        </is>
      </c>
      <c r="J719" s="29">
        <f>I719</f>
        <v/>
      </c>
      <c r="K719" s="29">
        <f>F719</f>
        <v/>
      </c>
    </row>
    <row r="720">
      <c r="A720" s="29">
        <f>CONCATENATE("CATEGORY_",UPPER(Pokemon!B698))</f>
        <v/>
      </c>
      <c r="B720" s="29" t="inlineStr">
        <is>
          <t>Despot</t>
        </is>
      </c>
      <c r="C720" s="29" t="inlineStr">
        <is>
          <t>ぼうくん</t>
        </is>
      </c>
      <c r="D720" s="29" t="inlineStr">
        <is>
          <t>Tyran</t>
        </is>
      </c>
      <c r="E720" s="29">
        <f>CONCATENATE(D720,"n")</f>
        <v/>
      </c>
      <c r="F720" s="29" t="inlineStr">
        <is>
          <t>Tirano</t>
        </is>
      </c>
      <c r="G720" s="29" t="inlineStr">
        <is>
          <t>Tiranno</t>
        </is>
      </c>
      <c r="H720" s="29" t="inlineStr">
        <is>
          <t>폭군</t>
        </is>
      </c>
      <c r="I720" s="29" t="inlineStr">
        <is>
          <t>暴君</t>
        </is>
      </c>
      <c r="J720" s="29">
        <f>I720</f>
        <v/>
      </c>
      <c r="K720" s="29">
        <f>F720</f>
        <v/>
      </c>
    </row>
    <row r="721">
      <c r="A721" s="29">
        <f>CONCATENATE("CATEGORY_",UPPER(Pokemon!B699))</f>
        <v/>
      </c>
      <c r="B721" s="29" t="inlineStr">
        <is>
          <t>Tundra</t>
        </is>
      </c>
      <c r="C721" s="29" t="inlineStr">
        <is>
          <t>ツンドラ</t>
        </is>
      </c>
      <c r="D721" s="29" t="inlineStr">
        <is>
          <t>Toundra</t>
        </is>
      </c>
      <c r="E721" s="29">
        <f>B721</f>
        <v/>
      </c>
      <c r="F721" s="29">
        <f>B721</f>
        <v/>
      </c>
      <c r="G721" s="29">
        <f>B721</f>
        <v/>
      </c>
      <c r="H721" s="29" t="inlineStr">
        <is>
          <t>툰드라</t>
        </is>
      </c>
      <c r="I721" s="29" t="inlineStr">
        <is>
          <t>凍原</t>
        </is>
      </c>
      <c r="J721" s="29">
        <f>IFERROR(__xludf.DUMMYFUNCTION("GOOGLETRANSLATE(I721, ""zh_HANT"",""zh_HANS"")"),"冻原")</f>
        <v/>
      </c>
      <c r="K721" s="29">
        <f>F721</f>
        <v/>
      </c>
    </row>
    <row r="722">
      <c r="A722" s="29">
        <f>CONCATENATE("CATEGORY_",UPPER(Pokemon!B700))</f>
        <v/>
      </c>
      <c r="B722" s="29">
        <f>B721</f>
        <v/>
      </c>
      <c r="C722" s="29">
        <f>C721</f>
        <v/>
      </c>
      <c r="D722" s="29">
        <f>D721</f>
        <v/>
      </c>
      <c r="E722" s="29">
        <f>E721</f>
        <v/>
      </c>
      <c r="F722" s="29">
        <f>F721</f>
        <v/>
      </c>
      <c r="G722" s="29">
        <f>G721</f>
        <v/>
      </c>
      <c r="H722" s="29">
        <f>H721</f>
        <v/>
      </c>
      <c r="I722" s="29">
        <f>I721</f>
        <v/>
      </c>
      <c r="J722" s="29">
        <f>J721</f>
        <v/>
      </c>
      <c r="K722" s="29">
        <f>F722</f>
        <v/>
      </c>
    </row>
    <row r="723">
      <c r="A723" s="29">
        <f>CONCATENATE("CATEGORY_",UPPER(Pokemon!B701))</f>
        <v/>
      </c>
      <c r="B723" s="29" t="inlineStr">
        <is>
          <t>Intertwining</t>
        </is>
      </c>
      <c r="C723" s="29" t="inlineStr">
        <is>
          <t>むすびつき</t>
        </is>
      </c>
      <c r="D723" s="29" t="inlineStr">
        <is>
          <t>Attachant</t>
        </is>
      </c>
      <c r="E723" s="29" t="inlineStr">
        <is>
          <t>Bindung</t>
        </is>
      </c>
      <c r="F723" s="29" t="inlineStr">
        <is>
          <t>Vinculo</t>
        </is>
      </c>
      <c r="G723" s="29" t="inlineStr">
        <is>
          <t>Legame</t>
        </is>
      </c>
      <c r="H723" s="29" t="inlineStr">
        <is>
          <t>연결</t>
        </is>
      </c>
      <c r="I723" s="29" t="inlineStr">
        <is>
          <t>連結</t>
        </is>
      </c>
      <c r="J723" s="29">
        <f>IFERROR(__xludf.DUMMYFUNCTION("GOOGLETRANSLATE(I723, ""zh_HANT"",""zh_HANS"")"),"连结")</f>
        <v/>
      </c>
      <c r="K723" s="29">
        <f>F723</f>
        <v/>
      </c>
    </row>
    <row r="724">
      <c r="A724" s="29">
        <f>CONCATENATE("CATEGORY_",UPPER(Pokemon!B702))</f>
        <v/>
      </c>
      <c r="B724" s="29" t="inlineStr">
        <is>
          <t>Wrestling</t>
        </is>
      </c>
      <c r="C724" s="29" t="inlineStr">
        <is>
          <t>レスリング</t>
        </is>
      </c>
      <c r="D724" s="29" t="inlineStr">
        <is>
          <t>Catcheur</t>
        </is>
      </c>
      <c r="E724" s="29">
        <f>B724</f>
        <v/>
      </c>
      <c r="F724" s="29" t="inlineStr">
        <is>
          <t>Lucha Libre</t>
        </is>
      </c>
      <c r="G724" s="29" t="inlineStr">
        <is>
          <t>Lottalibera</t>
        </is>
      </c>
      <c r="H724" s="29" t="inlineStr">
        <is>
          <t>레슬링</t>
        </is>
      </c>
      <c r="I724" s="29" t="inlineStr">
        <is>
          <t>摔角</t>
        </is>
      </c>
      <c r="J724" s="29">
        <f>I724</f>
        <v/>
      </c>
      <c r="K724" s="29">
        <f>F724</f>
        <v/>
      </c>
    </row>
    <row r="725">
      <c r="A725" s="29">
        <f>CONCATENATE("CATEGORY_",UPPER(Pokemon!B703))</f>
        <v/>
      </c>
      <c r="B725" s="29" t="inlineStr">
        <is>
          <t>Antenna</t>
        </is>
      </c>
      <c r="C725" s="29" t="inlineStr">
        <is>
          <t>アンテナ</t>
        </is>
      </c>
      <c r="D725" s="29" t="inlineStr">
        <is>
          <t>Antenne</t>
        </is>
      </c>
      <c r="E725" s="29">
        <f>CONCATENATE(D725,"n")</f>
        <v/>
      </c>
      <c r="F725" s="29" t="inlineStr">
        <is>
          <t>Antenas</t>
        </is>
      </c>
      <c r="G725" s="29">
        <f>B725</f>
        <v/>
      </c>
      <c r="H725" s="29" t="inlineStr">
        <is>
          <t>안테나</t>
        </is>
      </c>
      <c r="I725" s="29" t="inlineStr">
        <is>
          <t>天線</t>
        </is>
      </c>
      <c r="J725" s="29">
        <f>IFERROR(__xludf.DUMMYFUNCTION("GOOGLETRANSLATE(I725, ""zh_HANT"",""zh_HANS"")"),"天线")</f>
        <v/>
      </c>
      <c r="K725" s="29">
        <f>F725</f>
        <v/>
      </c>
    </row>
    <row r="726">
      <c r="A726" s="29">
        <f>CONCATENATE("CATEGORY_",UPPER(Pokemon!B704))</f>
        <v/>
      </c>
      <c r="B726" s="29" t="inlineStr">
        <is>
          <t>Jewel</t>
        </is>
      </c>
      <c r="C726" s="29" t="inlineStr">
        <is>
          <t>ほうせき</t>
        </is>
      </c>
      <c r="D726" s="29" t="inlineStr">
        <is>
          <t>Joyau</t>
        </is>
      </c>
      <c r="E726" s="29" t="inlineStr">
        <is>
          <t>Edelstein</t>
        </is>
      </c>
      <c r="F726" s="29" t="inlineStr">
        <is>
          <t>Joya</t>
        </is>
      </c>
      <c r="G726" s="29" t="inlineStr">
        <is>
          <t>Gemma</t>
        </is>
      </c>
      <c r="H726" s="29" t="inlineStr">
        <is>
          <t>보석</t>
        </is>
      </c>
      <c r="I726" s="29" t="inlineStr">
        <is>
          <t>寶石</t>
        </is>
      </c>
      <c r="J726" s="29">
        <f>IFERROR(__xludf.DUMMYFUNCTION("GOOGLETRANSLATE(I726, ""zh_HANT"",""zh_HANS"")"),"宝石")</f>
        <v/>
      </c>
      <c r="K726" s="29">
        <f>F726</f>
        <v/>
      </c>
    </row>
    <row r="727">
      <c r="A727" s="29">
        <f>CONCATENATE("CATEGORY_",UPPER(Pokemon!B705))</f>
        <v/>
      </c>
      <c r="B727" s="29" t="inlineStr">
        <is>
          <t>Soft Tissue</t>
        </is>
      </c>
      <c r="C727" s="29" t="inlineStr">
        <is>
          <t>なんたい</t>
        </is>
      </c>
      <c r="D727" s="29" t="inlineStr">
        <is>
          <t>Mollusque</t>
        </is>
      </c>
      <c r="E727" s="29" t="inlineStr">
        <is>
          <t>Schneckedei</t>
        </is>
      </c>
      <c r="F727" s="29" t="inlineStr">
        <is>
          <t>Molusco</t>
        </is>
      </c>
      <c r="G727" s="29" t="inlineStr">
        <is>
          <t>Mollusco</t>
        </is>
      </c>
      <c r="H727" s="29" t="inlineStr">
        <is>
          <t>연체</t>
        </is>
      </c>
      <c r="I727" s="29" t="inlineStr">
        <is>
          <t>軟體生物</t>
        </is>
      </c>
      <c r="J727" s="29">
        <f>IFERROR(__xludf.DUMMYFUNCTION("GOOGLETRANSLATE(I727, ""zh_HANT"",""zh_HANS"")"),"软体生物")</f>
        <v/>
      </c>
      <c r="K727" s="29">
        <f>F727</f>
        <v/>
      </c>
    </row>
    <row r="728">
      <c r="A728" s="29">
        <f>CONCATENATE("CATEGORY_",UPPER(Pokemon!B706))</f>
        <v/>
      </c>
      <c r="B728" s="29">
        <f>B727</f>
        <v/>
      </c>
      <c r="C728" s="29">
        <f>C727</f>
        <v/>
      </c>
      <c r="D728" s="29">
        <f>D727</f>
        <v/>
      </c>
      <c r="E728" s="29">
        <f>E727</f>
        <v/>
      </c>
      <c r="F728" s="29">
        <f>F727</f>
        <v/>
      </c>
      <c r="G728" s="29">
        <f>G727</f>
        <v/>
      </c>
      <c r="H728" s="29">
        <f>H727</f>
        <v/>
      </c>
      <c r="I728" s="29">
        <f>I727</f>
        <v/>
      </c>
      <c r="J728" s="29">
        <f>J727</f>
        <v/>
      </c>
      <c r="K728" s="29">
        <f>F728</f>
        <v/>
      </c>
    </row>
    <row r="729">
      <c r="A729" s="29">
        <f>CONCATENATE(A728,"-H")</f>
        <v/>
      </c>
      <c r="B729" s="29">
        <f>B637</f>
        <v/>
      </c>
      <c r="C729" s="29">
        <f>C637</f>
        <v/>
      </c>
      <c r="D729" s="29">
        <f>D637</f>
        <v/>
      </c>
      <c r="E729" s="29">
        <f>E637</f>
        <v/>
      </c>
      <c r="F729" s="29">
        <f>F637</f>
        <v/>
      </c>
      <c r="G729" s="29">
        <f>G637</f>
        <v/>
      </c>
      <c r="H729" s="29">
        <f>H637</f>
        <v/>
      </c>
      <c r="I729" s="29">
        <f>I637</f>
        <v/>
      </c>
      <c r="J729" s="29">
        <f>J637</f>
        <v/>
      </c>
      <c r="K729" s="29">
        <f>F729</f>
        <v/>
      </c>
    </row>
    <row r="730">
      <c r="A730" s="29">
        <f>CONCATENATE("CATEGORY_",UPPER(Pokemon!B707))</f>
        <v/>
      </c>
      <c r="B730" s="29">
        <f>B122</f>
        <v/>
      </c>
      <c r="C730" s="29">
        <f>C122</f>
        <v/>
      </c>
      <c r="D730" s="29">
        <f>D122</f>
        <v/>
      </c>
      <c r="E730" s="29">
        <f>E122</f>
        <v/>
      </c>
      <c r="F730" s="29">
        <f>F122</f>
        <v/>
      </c>
      <c r="G730" s="29">
        <f>G122</f>
        <v/>
      </c>
      <c r="H730" s="29">
        <f>H122</f>
        <v/>
      </c>
      <c r="I730" s="29">
        <f>I122</f>
        <v/>
      </c>
      <c r="J730" s="29">
        <f>J122</f>
        <v/>
      </c>
      <c r="K730" s="29">
        <f>F730</f>
        <v/>
      </c>
    </row>
    <row r="731">
      <c r="A731" s="29">
        <f>CONCATENATE(A730,"-H")</f>
        <v/>
      </c>
      <c r="B731" s="29" t="inlineStr">
        <is>
          <t>Shell Bunker</t>
        </is>
      </c>
      <c r="C731" s="29" t="inlineStr">
        <is>
          <t>からこもり</t>
        </is>
      </c>
      <c r="D731" s="29" t="inlineStr">
        <is>
          <t>Escamoquille</t>
        </is>
      </c>
      <c r="E731" s="29" t="inlineStr">
        <is>
          <t>Schalrückzugs</t>
        </is>
      </c>
      <c r="F731" s="29" t="inlineStr">
        <is>
          <t>Retracción</t>
        </is>
      </c>
      <c r="G731" s="29" t="inlineStr">
        <is>
          <t>Serraguscio</t>
        </is>
      </c>
      <c r="H731" s="29" t="inlineStr">
        <is>
          <t>껍질숨기</t>
        </is>
      </c>
      <c r="I731" s="29">
        <f>IFERROR(__xludf.DUMMYFUNCTION("GOOGLETRANSLATE(J731,""zh_HANS"",""zh_HANT"")"),"窩殼")</f>
        <v/>
      </c>
      <c r="J731" s="29" t="inlineStr">
        <is>
          <t>窝壳</t>
        </is>
      </c>
      <c r="K731" s="29">
        <f>F731</f>
        <v/>
      </c>
    </row>
    <row r="732">
      <c r="A732" s="29">
        <f>CONCATENATE("CATEGORY_",UPPER(Pokemon!B708))</f>
        <v/>
      </c>
      <c r="B732" s="29" t="inlineStr">
        <is>
          <t>Key Ring</t>
        </is>
      </c>
      <c r="C732" s="29" t="inlineStr">
        <is>
          <t>かぎたば</t>
        </is>
      </c>
      <c r="D732" s="29" t="inlineStr">
        <is>
          <t>Trousseau</t>
        </is>
      </c>
      <c r="E732" s="29" t="inlineStr">
        <is>
          <t>Schlüssel</t>
        </is>
      </c>
      <c r="F732" s="29" t="inlineStr">
        <is>
          <t>Llavero</t>
        </is>
      </c>
      <c r="G732" s="29" t="inlineStr">
        <is>
          <t>Glitch</t>
        </is>
      </c>
      <c r="H732" s="29" t="inlineStr">
        <is>
          <t>열쇠꾸러미</t>
        </is>
      </c>
      <c r="I732" s="29" t="inlineStr">
        <is>
          <t>鑰匙串</t>
        </is>
      </c>
      <c r="J732" s="29">
        <f>IFERROR(__xludf.DUMMYFUNCTION("GOOGLETRANSLATE(I732, ""zh_HANT"",""zh_HANS"")"),"钥匙串")</f>
        <v/>
      </c>
      <c r="K732" s="29">
        <f>F732</f>
        <v/>
      </c>
    </row>
    <row r="733">
      <c r="A733" s="29">
        <f>CONCATENATE("CATEGORY_",UPPER(Pokemon!B709))</f>
        <v/>
      </c>
      <c r="B733" s="29" t="inlineStr">
        <is>
          <t>Stump</t>
        </is>
      </c>
      <c r="C733" s="29" t="inlineStr">
        <is>
          <t>きりかぶ</t>
        </is>
      </c>
      <c r="D733" s="29" t="inlineStr">
        <is>
          <t>Souche</t>
        </is>
      </c>
      <c r="E733" s="29" t="inlineStr">
        <is>
          <t>Baumstumpf</t>
        </is>
      </c>
      <c r="F733" s="29" t="inlineStr">
        <is>
          <t>Tocón</t>
        </is>
      </c>
      <c r="G733" s="29" t="inlineStr">
        <is>
          <t>Ceppo</t>
        </is>
      </c>
      <c r="H733" s="29" t="inlineStr">
        <is>
          <t>그루터기</t>
        </is>
      </c>
      <c r="I733" s="29" t="inlineStr">
        <is>
          <t>樹樁</t>
        </is>
      </c>
      <c r="J733" s="29">
        <f>IFERROR(__xludf.DUMMYFUNCTION("GOOGLETRANSLATE(I733, ""zh_HANT"",""zh_HANS"")"),"树桩")</f>
        <v/>
      </c>
      <c r="K733" s="29">
        <f>F733</f>
        <v/>
      </c>
    </row>
    <row r="734">
      <c r="A734" s="29">
        <f>CONCATENATE("CATEGORY_",UPPER(Pokemon!B710))</f>
        <v/>
      </c>
      <c r="B734" s="29" t="inlineStr">
        <is>
          <t>Elder Tree</t>
        </is>
      </c>
      <c r="C734" s="29" t="inlineStr">
        <is>
          <t>ろうぼく</t>
        </is>
      </c>
      <c r="D734" s="29" t="inlineStr">
        <is>
          <t>Vieillarbre</t>
        </is>
      </c>
      <c r="E734" s="29" t="inlineStr">
        <is>
          <t>Urgehölz</t>
        </is>
      </c>
      <c r="F734" s="29" t="inlineStr">
        <is>
          <t>Árbol Viejo</t>
        </is>
      </c>
      <c r="G734" s="29" t="inlineStr">
        <is>
          <t>Alberantico</t>
        </is>
      </c>
      <c r="H734" s="29" t="inlineStr">
        <is>
          <t>고목</t>
        </is>
      </c>
      <c r="I734" s="29" t="inlineStr">
        <is>
          <t>老樹</t>
        </is>
      </c>
      <c r="J734" s="29">
        <f>IFERROR(__xludf.DUMMYFUNCTION("GOOGLETRANSLATE(I734, ""zh_HANT"",""zh_HANS"")"),"老树")</f>
        <v/>
      </c>
      <c r="K734" s="29">
        <f>F734</f>
        <v/>
      </c>
    </row>
    <row r="735">
      <c r="A735" s="29">
        <f>CONCATENATE("CATEGORY_",UPPER(Pokemon!B711))</f>
        <v/>
      </c>
      <c r="B735" s="29" t="inlineStr">
        <is>
          <t>Pumpkin</t>
        </is>
      </c>
      <c r="C735" s="29" t="inlineStr">
        <is>
          <t>かぼちゃ</t>
        </is>
      </c>
      <c r="D735" s="29" t="inlineStr">
        <is>
          <t>Citrouille</t>
        </is>
      </c>
      <c r="E735" s="29" t="inlineStr">
        <is>
          <t>Kürbis</t>
        </is>
      </c>
      <c r="F735" s="29" t="inlineStr">
        <is>
          <t>Calabaza</t>
        </is>
      </c>
      <c r="G735" s="29" t="inlineStr">
        <is>
          <t>Zucca</t>
        </is>
      </c>
      <c r="H735" s="29" t="inlineStr">
        <is>
          <t>호박</t>
        </is>
      </c>
      <c r="I735" s="29" t="inlineStr">
        <is>
          <t>南瓜</t>
        </is>
      </c>
      <c r="J735" s="29">
        <f>I735</f>
        <v/>
      </c>
      <c r="K735" s="29">
        <f>F735</f>
        <v/>
      </c>
    </row>
    <row r="736">
      <c r="A736" s="29">
        <f>CONCATENATE("CATEGORY_",UPPER(Pokemon!B712))</f>
        <v/>
      </c>
      <c r="B736" s="29">
        <f>B735</f>
        <v/>
      </c>
      <c r="C736" s="29">
        <f>C735</f>
        <v/>
      </c>
      <c r="D736" s="29">
        <f>D735</f>
        <v/>
      </c>
      <c r="E736" s="29">
        <f>E735</f>
        <v/>
      </c>
      <c r="F736" s="29">
        <f>F735</f>
        <v/>
      </c>
      <c r="G736" s="29">
        <f>G735</f>
        <v/>
      </c>
      <c r="H736" s="29">
        <f>H735</f>
        <v/>
      </c>
      <c r="I736" s="29">
        <f>I735</f>
        <v/>
      </c>
      <c r="J736" s="29">
        <f>J735</f>
        <v/>
      </c>
      <c r="K736" s="29">
        <f>F736</f>
        <v/>
      </c>
    </row>
    <row r="737">
      <c r="A737" s="29">
        <f>CONCATENATE("CATEGORY_",UPPER(Pokemon!B713))</f>
        <v/>
      </c>
      <c r="B737" s="29" t="inlineStr">
        <is>
          <t>Ice Chunk</t>
        </is>
      </c>
      <c r="C737" s="29" t="inlineStr">
        <is>
          <t>ひょうかい</t>
        </is>
      </c>
      <c r="D737" s="29" t="inlineStr">
        <is>
          <t>Glaçon</t>
        </is>
      </c>
      <c r="E737" s="29" t="inlineStr">
        <is>
          <t>Eisklumpen</t>
        </is>
      </c>
      <c r="F737" s="29" t="inlineStr">
        <is>
          <t>Témpano</t>
        </is>
      </c>
      <c r="G737" s="29" t="inlineStr">
        <is>
          <t>Ghiacciolo</t>
        </is>
      </c>
      <c r="H737" s="29" t="inlineStr">
        <is>
          <t>얼음덩이</t>
        </is>
      </c>
      <c r="I737" s="29" t="inlineStr">
        <is>
          <t>冰塊</t>
        </is>
      </c>
      <c r="J737" s="29">
        <f>IFERROR(__xludf.DUMMYFUNCTION("GOOGLETRANSLATE(I737, ""zh_HANT"",""zh_HANS"")"),"冰块")</f>
        <v/>
      </c>
      <c r="K737" s="29">
        <f>F737</f>
        <v/>
      </c>
    </row>
    <row r="738">
      <c r="A738" s="29">
        <f>CONCATENATE("CATEGORY_",UPPER(Pokemon!B714))</f>
        <v/>
      </c>
      <c r="B738" s="29">
        <f>B392</f>
        <v/>
      </c>
      <c r="C738" s="29">
        <f>C392</f>
        <v/>
      </c>
      <c r="D738" s="29">
        <f>D392</f>
        <v/>
      </c>
      <c r="E738" s="29">
        <f>E392</f>
        <v/>
      </c>
      <c r="F738" s="29">
        <f>F392</f>
        <v/>
      </c>
      <c r="G738" s="29">
        <f>G392</f>
        <v/>
      </c>
      <c r="H738" s="29">
        <f>H392</f>
        <v/>
      </c>
      <c r="I738" s="29">
        <f>I392</f>
        <v/>
      </c>
      <c r="J738" s="29">
        <f>J392</f>
        <v/>
      </c>
      <c r="K738" s="29">
        <f>F738</f>
        <v/>
      </c>
    </row>
    <row r="739">
      <c r="A739" s="29">
        <f>CONCATENATE("CATEGORY_",UPPER(Pokemon!B715))</f>
        <v/>
      </c>
      <c r="B739" s="29" t="inlineStr">
        <is>
          <t>Sound Wave</t>
        </is>
      </c>
      <c r="C739" s="29" t="inlineStr">
        <is>
          <t>おんぱ</t>
        </is>
      </c>
      <c r="D739" s="29" t="inlineStr">
        <is>
          <t>Ondes</t>
        </is>
      </c>
      <c r="E739" s="29" t="inlineStr">
        <is>
          <t>Schallwellen</t>
        </is>
      </c>
      <c r="F739" s="29" t="inlineStr">
        <is>
          <t>Onda Sónica</t>
        </is>
      </c>
      <c r="G739" s="29" t="inlineStr">
        <is>
          <t>Ondasonora</t>
        </is>
      </c>
      <c r="H739" s="29" t="inlineStr">
        <is>
          <t>음파</t>
        </is>
      </c>
      <c r="I739" s="29" t="inlineStr">
        <is>
          <t>音波</t>
        </is>
      </c>
      <c r="J739" s="29">
        <f>I739</f>
        <v/>
      </c>
      <c r="K739" s="29">
        <f>F739</f>
        <v/>
      </c>
    </row>
    <row r="740">
      <c r="A740" s="29">
        <f>CONCATENATE("CATEGORY_",UPPER(Pokemon!B716))</f>
        <v/>
      </c>
      <c r="B740" s="29">
        <f>B739</f>
        <v/>
      </c>
      <c r="C740" s="29">
        <f>C739</f>
        <v/>
      </c>
      <c r="D740" s="29">
        <f>D739</f>
        <v/>
      </c>
      <c r="E740" s="29">
        <f>E739</f>
        <v/>
      </c>
      <c r="F740" s="29">
        <f>F739</f>
        <v/>
      </c>
      <c r="G740" s="29">
        <f>G739</f>
        <v/>
      </c>
      <c r="H740" s="29">
        <f>H739</f>
        <v/>
      </c>
      <c r="I740" s="29">
        <f>I739</f>
        <v/>
      </c>
      <c r="J740" s="29">
        <f>J739</f>
        <v/>
      </c>
      <c r="K740" s="29">
        <f>F740</f>
        <v/>
      </c>
    </row>
    <row r="741">
      <c r="A741" s="29">
        <f>CONCATENATE("CATEGORY_",UPPER(Pokemon!B717))</f>
        <v/>
      </c>
      <c r="B741" s="29" t="inlineStr">
        <is>
          <t>Life</t>
        </is>
      </c>
      <c r="C741" s="29" t="inlineStr">
        <is>
          <t>せいめい</t>
        </is>
      </c>
      <c r="D741" s="29" t="inlineStr">
        <is>
          <t>Existence</t>
        </is>
      </c>
      <c r="E741" s="29" t="inlineStr">
        <is>
          <t>Leben</t>
        </is>
      </c>
      <c r="F741" s="29" t="inlineStr">
        <is>
          <t>Creación</t>
        </is>
      </c>
      <c r="G741" s="29" t="inlineStr">
        <is>
          <t>Creazione</t>
        </is>
      </c>
      <c r="H741" s="29" t="inlineStr">
        <is>
          <t>생명</t>
        </is>
      </c>
      <c r="I741" s="29" t="inlineStr">
        <is>
          <t>生命</t>
        </is>
      </c>
      <c r="J741" s="29">
        <f>I741</f>
        <v/>
      </c>
      <c r="K741" s="29">
        <f>F741</f>
        <v/>
      </c>
    </row>
    <row r="742">
      <c r="A742" s="29">
        <f>CONCATENATE("CATEGORY_",UPPER(Pokemon!B718))</f>
        <v/>
      </c>
      <c r="B742" s="29" t="inlineStr">
        <is>
          <t>Destruction</t>
        </is>
      </c>
      <c r="C742" s="29" t="inlineStr">
        <is>
          <t>はかい</t>
        </is>
      </c>
      <c r="D742" s="29" t="inlineStr">
        <is>
          <t>Annihilation</t>
        </is>
      </c>
      <c r="E742" s="29" t="inlineStr">
        <is>
          <t>Zerstörung</t>
        </is>
      </c>
      <c r="F742" s="29" t="inlineStr">
        <is>
          <t>Destrucción</t>
        </is>
      </c>
      <c r="G742" s="29" t="inlineStr">
        <is>
          <t>Distruzione</t>
        </is>
      </c>
      <c r="H742" s="29" t="inlineStr">
        <is>
          <t>파괴</t>
        </is>
      </c>
      <c r="I742" s="29" t="inlineStr">
        <is>
          <t>破壞</t>
        </is>
      </c>
      <c r="J742" s="29">
        <f>IFERROR(__xludf.DUMMYFUNCTION("GOOGLETRANSLATE(I742, ""zh_HANT"",""zh_HANS"")"),"破坏")</f>
        <v/>
      </c>
      <c r="K742" s="29">
        <f>F742</f>
        <v/>
      </c>
    </row>
    <row r="743">
      <c r="A743" s="29">
        <f>CONCATENATE("CATEGORY_",UPPER(Pokemon!B719))</f>
        <v/>
      </c>
      <c r="B743" s="29" t="inlineStr">
        <is>
          <t>Order</t>
        </is>
      </c>
      <c r="C743" s="29" t="inlineStr">
        <is>
          <t>ちつじょ</t>
        </is>
      </c>
      <c r="D743" s="29" t="inlineStr">
        <is>
          <t>Équilibre</t>
        </is>
      </c>
      <c r="E743" s="29" t="inlineStr">
        <is>
          <t>Ordnung</t>
        </is>
      </c>
      <c r="F743" s="29" t="inlineStr">
        <is>
          <t>Equilibro</t>
        </is>
      </c>
      <c r="G743" s="29">
        <f>F743</f>
        <v/>
      </c>
      <c r="H743" s="29" t="inlineStr">
        <is>
          <t>질서</t>
        </is>
      </c>
      <c r="I743" s="29" t="inlineStr">
        <is>
          <t>秩序</t>
        </is>
      </c>
      <c r="J743" s="29">
        <f>I743</f>
        <v/>
      </c>
      <c r="K743" s="29">
        <f>F743</f>
        <v/>
      </c>
    </row>
    <row r="744">
      <c r="A744" s="29">
        <f>CONCATENATE("CATEGORY_",UPPER(Pokemon!B720))</f>
        <v/>
      </c>
      <c r="B744" s="29">
        <f>B726</f>
        <v/>
      </c>
      <c r="C744" s="29">
        <f>C726</f>
        <v/>
      </c>
      <c r="D744" s="29">
        <f>D726</f>
        <v/>
      </c>
      <c r="E744" s="29">
        <f>E726</f>
        <v/>
      </c>
      <c r="F744" s="29">
        <f>F726</f>
        <v/>
      </c>
      <c r="G744" s="29">
        <f>G726</f>
        <v/>
      </c>
      <c r="H744" s="29">
        <f>H726</f>
        <v/>
      </c>
      <c r="I744" s="29">
        <f>I726</f>
        <v/>
      </c>
      <c r="J744" s="29">
        <f>J726</f>
        <v/>
      </c>
      <c r="K744" s="29">
        <f>F744</f>
        <v/>
      </c>
    </row>
    <row r="745">
      <c r="A745" s="29">
        <f>CONCATENATE("CATEGORY_",UPPER(Pokemon!B721))</f>
        <v/>
      </c>
      <c r="B745" s="29" t="inlineStr">
        <is>
          <t>Mischief</t>
        </is>
      </c>
      <c r="C745" s="29" t="inlineStr">
        <is>
          <t>いたずら</t>
        </is>
      </c>
      <c r="D745" s="29" t="inlineStr">
        <is>
          <t>Chenapan</t>
        </is>
      </c>
      <c r="E745" s="29" t="inlineStr">
        <is>
          <t>Schabernack</t>
        </is>
      </c>
      <c r="F745" s="29" t="inlineStr">
        <is>
          <t>Travesura</t>
        </is>
      </c>
      <c r="G745" s="29" t="inlineStr">
        <is>
          <t>Birba</t>
        </is>
      </c>
      <c r="H745" s="29" t="inlineStr">
        <is>
          <t>장난</t>
        </is>
      </c>
      <c r="I745" s="29" t="inlineStr">
        <is>
          <t>頑童</t>
        </is>
      </c>
      <c r="J745" s="29">
        <f>IFERROR(__xludf.DUMMYFUNCTION("GOOGLETRANSLATE(I745, ""zh_HANT"",""zh_HANS"")"),"顽童")</f>
        <v/>
      </c>
      <c r="K745" s="29">
        <f>F745</f>
        <v/>
      </c>
    </row>
    <row r="746">
      <c r="A746" s="29">
        <f>CONCATENATE(A745,"-U")</f>
        <v/>
      </c>
      <c r="B746" s="29" t="inlineStr">
        <is>
          <t>Djinn</t>
        </is>
      </c>
      <c r="C746" s="29" t="inlineStr">
        <is>
          <t>まじん</t>
        </is>
      </c>
      <c r="D746" s="29">
        <f>B746</f>
        <v/>
      </c>
      <c r="E746" s="29" t="inlineStr">
        <is>
          <t>Plagegeist</t>
        </is>
      </c>
      <c r="F746" s="29">
        <f>CONCATENATE(G746," Burlón")</f>
        <v/>
      </c>
      <c r="G746" s="29" t="inlineStr">
        <is>
          <t>Genio</t>
        </is>
      </c>
      <c r="H746" s="29" t="inlineStr">
        <is>
          <t>마신</t>
        </is>
      </c>
      <c r="I746" s="29" t="inlineStr">
        <is>
          <t>魔神</t>
        </is>
      </c>
      <c r="J746" s="29">
        <f>I746</f>
        <v/>
      </c>
      <c r="K746" s="29">
        <f>F746</f>
        <v/>
      </c>
    </row>
    <row r="747">
      <c r="A747" s="29">
        <f>CONCATENATE("CATEGORY_",UPPER(Pokemon!B722))</f>
        <v/>
      </c>
      <c r="B747" s="29" t="inlineStr">
        <is>
          <t>Steam</t>
        </is>
      </c>
      <c r="C747" s="29" t="inlineStr">
        <is>
          <t>スチーム</t>
        </is>
      </c>
      <c r="D747" s="29" t="inlineStr">
        <is>
          <t>Vapeur</t>
        </is>
      </c>
      <c r="E747" s="29" t="inlineStr">
        <is>
          <t>Dampf</t>
        </is>
      </c>
      <c r="F747" s="29" t="inlineStr">
        <is>
          <t>Vapor</t>
        </is>
      </c>
      <c r="G747" s="29">
        <f>CONCATENATE(F747,"e")</f>
        <v/>
      </c>
      <c r="H747" s="29" t="inlineStr">
        <is>
          <t>스팀</t>
        </is>
      </c>
      <c r="I747" s="29" t="inlineStr">
        <is>
          <t>蒸汽</t>
        </is>
      </c>
      <c r="J747" s="29">
        <f>I747</f>
        <v/>
      </c>
      <c r="K747" s="29">
        <f>F747</f>
        <v/>
      </c>
    </row>
    <row r="748">
      <c r="A748" s="29">
        <f>CONCATENATE("CATEGORY_",UPPER(Pokemon!B723))</f>
        <v/>
      </c>
      <c r="B748" s="29" t="inlineStr">
        <is>
          <t>Grass Quill</t>
        </is>
      </c>
      <c r="C748" s="29" t="inlineStr">
        <is>
          <t>くさばね</t>
        </is>
      </c>
      <c r="D748" s="29" t="inlineStr">
        <is>
          <t>Plumefeuille</t>
        </is>
      </c>
      <c r="E748" s="29" t="inlineStr">
        <is>
          <t>Laubflügel</t>
        </is>
      </c>
      <c r="F748" s="29" t="inlineStr">
        <is>
          <t>Pluma Hoja</t>
        </is>
      </c>
      <c r="G748" s="29" t="inlineStr">
        <is>
          <t>Aliderba</t>
        </is>
      </c>
      <c r="H748" s="29" t="inlineStr">
        <is>
          <t>풀깃</t>
        </is>
      </c>
      <c r="I748" s="29" t="inlineStr">
        <is>
          <t>草羽</t>
        </is>
      </c>
      <c r="J748" s="29">
        <f>I748</f>
        <v/>
      </c>
      <c r="K748" s="29">
        <f>F748</f>
        <v/>
      </c>
    </row>
    <row r="749">
      <c r="A749" s="29">
        <f>CONCATENATE("CATEGORY_",UPPER(Pokemon!B724))</f>
        <v/>
      </c>
      <c r="B749" s="29" t="inlineStr">
        <is>
          <t>Blade Quill</t>
        </is>
      </c>
      <c r="C749" s="29" t="inlineStr">
        <is>
          <t>はばね</t>
        </is>
      </c>
      <c r="D749" s="29" t="inlineStr">
        <is>
          <t>Plum'acérée</t>
        </is>
      </c>
      <c r="E749" s="29" t="inlineStr">
        <is>
          <t>Flügelklinge</t>
        </is>
      </c>
      <c r="F749" s="29" t="inlineStr">
        <is>
          <t>Pluma Filo</t>
        </is>
      </c>
      <c r="G749" s="29" t="inlineStr">
        <is>
          <t>Piumaffilata</t>
        </is>
      </c>
      <c r="H749" s="29" t="inlineStr">
        <is>
          <t>칼날깃</t>
        </is>
      </c>
      <c r="I749" s="29" t="inlineStr">
        <is>
          <t>刃羽</t>
        </is>
      </c>
      <c r="J749" s="29">
        <f>I749</f>
        <v/>
      </c>
      <c r="K749" s="29">
        <f>F749</f>
        <v/>
      </c>
    </row>
    <row r="750">
      <c r="A750" s="29">
        <f>CONCATENATE("CATEGORY_",UPPER(Pokemon!B725))</f>
        <v/>
      </c>
      <c r="B750" s="29" t="inlineStr">
        <is>
          <t>Arrow Quill</t>
        </is>
      </c>
      <c r="C750" s="29" t="inlineStr">
        <is>
          <t>やばね</t>
        </is>
      </c>
      <c r="D750" s="29" t="inlineStr">
        <is>
          <t>Plumeflèche</t>
        </is>
      </c>
      <c r="E750" s="29" t="inlineStr">
        <is>
          <t>Pfeilflügel</t>
        </is>
      </c>
      <c r="F750" s="29" t="inlineStr">
        <is>
          <t>Pluma Flecha</t>
        </is>
      </c>
      <c r="G750" s="29" t="inlineStr">
        <is>
          <t>Alifreccia</t>
        </is>
      </c>
      <c r="H750" s="29" t="inlineStr">
        <is>
          <t>화살깃</t>
        </is>
      </c>
      <c r="I750" s="29" t="inlineStr">
        <is>
          <t>箭羽</t>
        </is>
      </c>
      <c r="J750" s="29">
        <f>I750</f>
        <v/>
      </c>
      <c r="K750" s="29">
        <f>F750</f>
        <v/>
      </c>
    </row>
    <row r="751">
      <c r="A751" s="29">
        <f>CONCATENATE("CATEGORY_",UPPER(Pokemon!B726))</f>
        <v/>
      </c>
      <c r="B751" s="29" t="inlineStr">
        <is>
          <t>Fire Cat</t>
        </is>
      </c>
      <c r="C751" s="29" t="inlineStr">
        <is>
          <t>ひねこ</t>
        </is>
      </c>
      <c r="D751" s="29" t="inlineStr">
        <is>
          <t>Chat Feu</t>
        </is>
      </c>
      <c r="E751" s="29" t="inlineStr">
        <is>
          <t>Feuerkatze</t>
        </is>
      </c>
      <c r="F751" s="29" t="inlineStr">
        <is>
          <t>Gato Fuego</t>
        </is>
      </c>
      <c r="G751" s="29" t="inlineStr">
        <is>
          <t>Pirofelino</t>
        </is>
      </c>
      <c r="H751" s="29" t="inlineStr">
        <is>
          <t>불고양이</t>
        </is>
      </c>
      <c r="I751" s="29" t="inlineStr">
        <is>
          <t>火貓</t>
        </is>
      </c>
      <c r="J751" s="29">
        <f>IFERROR(__xludf.DUMMYFUNCTION("GOOGLETRANSLATE(I751, ""zh_HANT"",""zh_HANS"")"),"火猫")</f>
        <v/>
      </c>
      <c r="K751" s="29">
        <f>F751</f>
        <v/>
      </c>
    </row>
    <row r="752">
      <c r="A752" s="29">
        <f>CONCATENATE("CATEGORY_",UPPER(Pokemon!B727))</f>
        <v/>
      </c>
      <c r="B752" s="29">
        <f>B751</f>
        <v/>
      </c>
      <c r="C752" s="29">
        <f>C751</f>
        <v/>
      </c>
      <c r="D752" s="29">
        <f>D751</f>
        <v/>
      </c>
      <c r="E752" s="29">
        <f>E751</f>
        <v/>
      </c>
      <c r="F752" s="29">
        <f>F751</f>
        <v/>
      </c>
      <c r="G752" s="29">
        <f>G751</f>
        <v/>
      </c>
      <c r="H752" s="29">
        <f>H751</f>
        <v/>
      </c>
      <c r="I752" s="29">
        <f>I751</f>
        <v/>
      </c>
      <c r="J752" s="29">
        <f>J751</f>
        <v/>
      </c>
      <c r="K752" s="29">
        <f>F752</f>
        <v/>
      </c>
    </row>
    <row r="753">
      <c r="A753" s="29">
        <f>CONCATENATE("CATEGORY_",UPPER(Pokemon!B728))</f>
        <v/>
      </c>
      <c r="B753" s="29" t="inlineStr">
        <is>
          <t>Heel</t>
        </is>
      </c>
      <c r="C753" s="29" t="inlineStr">
        <is>
          <t>ヒール</t>
        </is>
      </c>
      <c r="D753" s="29" t="inlineStr">
        <is>
          <t>Catcheur</t>
        </is>
      </c>
      <c r="E753" s="29" t="inlineStr">
        <is>
          <t>Fiesling</t>
        </is>
      </c>
      <c r="F753" s="29" t="inlineStr">
        <is>
          <t>Rudo</t>
        </is>
      </c>
      <c r="G753" s="29" t="inlineStr">
        <is>
          <t>Colpibassi</t>
        </is>
      </c>
      <c r="H753" s="29" t="inlineStr">
        <is>
          <t>힐</t>
        </is>
      </c>
      <c r="I753" s="29" t="inlineStr">
        <is>
          <t>反派</t>
        </is>
      </c>
      <c r="J753" s="29">
        <f>I753</f>
        <v/>
      </c>
      <c r="K753" s="29">
        <f>F753</f>
        <v/>
      </c>
    </row>
    <row r="754">
      <c r="A754" s="29">
        <f>CONCATENATE("CATEGORY_",UPPER(Pokemon!B729))</f>
        <v/>
      </c>
      <c r="B754" s="29">
        <f>B90</f>
        <v/>
      </c>
      <c r="C754" s="29">
        <f>C90</f>
        <v/>
      </c>
      <c r="D754" s="29">
        <f>D90</f>
        <v/>
      </c>
      <c r="E754" s="29">
        <f>E90</f>
        <v/>
      </c>
      <c r="F754" s="29">
        <f>F90</f>
        <v/>
      </c>
      <c r="G754" s="29">
        <f>G90</f>
        <v/>
      </c>
      <c r="H754" s="29">
        <f>H90</f>
        <v/>
      </c>
      <c r="I754" s="29">
        <f>I90</f>
        <v/>
      </c>
      <c r="J754" s="29">
        <f>J90</f>
        <v/>
      </c>
      <c r="K754" s="29">
        <f>F754</f>
        <v/>
      </c>
    </row>
    <row r="755">
      <c r="A755" s="29">
        <f>CONCATENATE("CATEGORY_",UPPER(Pokemon!B730))</f>
        <v/>
      </c>
      <c r="B755" s="29" t="inlineStr">
        <is>
          <t>Pop Star</t>
        </is>
      </c>
      <c r="C755" s="29" t="inlineStr">
        <is>
          <t>アイドル</t>
        </is>
      </c>
      <c r="D755" s="29" t="inlineStr">
        <is>
          <t>Starlette</t>
        </is>
      </c>
      <c r="E755" s="29" t="inlineStr">
        <is>
          <t>Popsternchen</t>
        </is>
      </c>
      <c r="F755" s="29" t="inlineStr">
        <is>
          <t>Fama</t>
        </is>
      </c>
      <c r="G755" s="29">
        <f>B755</f>
        <v/>
      </c>
      <c r="H755" s="29" t="inlineStr">
        <is>
          <t>아이돌</t>
        </is>
      </c>
      <c r="I755" s="29" t="inlineStr">
        <is>
          <t>偶像</t>
        </is>
      </c>
      <c r="J755" s="29">
        <f>I755</f>
        <v/>
      </c>
      <c r="K755" s="29">
        <f>F755</f>
        <v/>
      </c>
    </row>
    <row r="756">
      <c r="A756" s="29">
        <f>CONCATENATE("CATEGORY_",UPPER(Pokemon!B731))</f>
        <v/>
      </c>
      <c r="B756" s="29" t="inlineStr">
        <is>
          <t>Soloist</t>
        </is>
      </c>
      <c r="C756" s="29" t="inlineStr">
        <is>
          <t>ソリスト</t>
        </is>
      </c>
      <c r="D756" s="29">
        <f>CONCATENATE(E756,"e")</f>
        <v/>
      </c>
      <c r="E756" s="29" t="inlineStr">
        <is>
          <t>Solist</t>
        </is>
      </c>
      <c r="F756" s="29">
        <f>CONCATENATE(E756,"a")</f>
        <v/>
      </c>
      <c r="G756" s="29">
        <f>F756</f>
        <v/>
      </c>
      <c r="H756" s="29" t="inlineStr">
        <is>
          <t>솔리스트</t>
        </is>
      </c>
      <c r="I756" s="29" t="inlineStr">
        <is>
          <t>獨唱者</t>
        </is>
      </c>
      <c r="J756" s="29">
        <f>IFERROR(__xludf.DUMMYFUNCTION("GOOGLETRANSLATE(I756, ""zh_HANT"",""zh_HANS"")"),"独唱者")</f>
        <v/>
      </c>
      <c r="K756" s="29">
        <f>F756</f>
        <v/>
      </c>
    </row>
    <row r="757">
      <c r="A757" s="29">
        <f>CONCATENATE("CATEGORY_",UPPER(Pokemon!B732))</f>
        <v/>
      </c>
      <c r="B757" s="29" t="inlineStr">
        <is>
          <t>Woodpecker</t>
        </is>
      </c>
      <c r="C757" s="29" t="inlineStr">
        <is>
          <t>きつつき</t>
        </is>
      </c>
      <c r="D757" s="29" t="inlineStr">
        <is>
          <t>Pivert</t>
        </is>
      </c>
      <c r="E757" s="29" t="inlineStr">
        <is>
          <t>Specht</t>
        </is>
      </c>
      <c r="F757" s="29" t="inlineStr">
        <is>
          <t>Carpintero</t>
        </is>
      </c>
      <c r="G757" s="29" t="inlineStr">
        <is>
          <t>Picchio</t>
        </is>
      </c>
      <c r="H757" s="29" t="inlineStr">
        <is>
          <t>딱따구리</t>
        </is>
      </c>
      <c r="I757" s="29" t="inlineStr">
        <is>
          <t>啄木鳥</t>
        </is>
      </c>
      <c r="J757" s="29">
        <f>IFERROR(__xludf.DUMMYFUNCTION("GOOGLETRANSLATE(I757, ""zh_HANT"",""zh_HANS"")"),"啄木鸟")</f>
        <v/>
      </c>
      <c r="K757" s="29">
        <f>F757</f>
        <v/>
      </c>
    </row>
    <row r="758">
      <c r="A758" s="29">
        <f>CONCATENATE("CATEGORY_",UPPER(Pokemon!B733))</f>
        <v/>
      </c>
      <c r="B758" s="29" t="inlineStr">
        <is>
          <t>Bungle Beak</t>
        </is>
      </c>
      <c r="C758" s="29" t="inlineStr">
        <is>
          <t>ラッパぐち</t>
        </is>
      </c>
      <c r="D758" s="29" t="inlineStr">
        <is>
          <t>Bec Clairon</t>
        </is>
      </c>
      <c r="E758" s="29" t="inlineStr">
        <is>
          <t>Trompete</t>
        </is>
      </c>
      <c r="F758" s="29" t="inlineStr">
        <is>
          <t>Trompeta</t>
        </is>
      </c>
      <c r="G758" s="29" t="inlineStr">
        <is>
          <t>Trombecco</t>
        </is>
      </c>
      <c r="H758" s="29" t="inlineStr">
        <is>
          <t>나팔입</t>
        </is>
      </c>
      <c r="I758" s="29" t="inlineStr">
        <is>
          <t>喇叭喙</t>
        </is>
      </c>
      <c r="J758" s="29">
        <f>I758</f>
        <v/>
      </c>
      <c r="K758" s="29">
        <f>F758</f>
        <v/>
      </c>
    </row>
    <row r="759">
      <c r="A759" s="29">
        <f>CONCATENATE("CATEGORY_",UPPER(Pokemon!B734))</f>
        <v/>
      </c>
      <c r="B759" s="29" t="inlineStr">
        <is>
          <t>Cannon</t>
        </is>
      </c>
      <c r="C759" s="29" t="inlineStr">
        <is>
          <t>おおづつ</t>
        </is>
      </c>
      <c r="D759" s="29" t="inlineStr">
        <is>
          <t>Canon</t>
        </is>
      </c>
      <c r="E759" s="29" t="inlineStr">
        <is>
          <t>Kanone</t>
        </is>
      </c>
      <c r="F759" s="29" t="inlineStr">
        <is>
          <t>Cañón</t>
        </is>
      </c>
      <c r="G759" s="29">
        <f>CONCATENATE(B759,"e")</f>
        <v/>
      </c>
      <c r="H759" s="29" t="inlineStr">
        <is>
          <t>대포</t>
        </is>
      </c>
      <c r="I759" s="29" t="inlineStr">
        <is>
          <t>銃炮</t>
        </is>
      </c>
      <c r="J759" s="29">
        <f>IFERROR(__xludf.DUMMYFUNCTION("GOOGLETRANSLATE(I759, ""zh_HANT"",""zh_HANS"")"),"铳炮")</f>
        <v/>
      </c>
      <c r="K759" s="29">
        <f>F759</f>
        <v/>
      </c>
    </row>
    <row r="760">
      <c r="A760" s="29">
        <f>CONCATENATE("CATEGORY_",UPPER(Pokemon!B735))</f>
        <v/>
      </c>
      <c r="B760" s="29" t="inlineStr">
        <is>
          <t>Loitering</t>
        </is>
      </c>
      <c r="C760" s="29" t="inlineStr">
        <is>
          <t>うろつき</t>
        </is>
      </c>
      <c r="D760" s="29" t="inlineStr">
        <is>
          <t>Patrouille</t>
        </is>
      </c>
      <c r="E760" s="29">
        <f>D760</f>
        <v/>
      </c>
      <c r="F760" s="29" t="inlineStr">
        <is>
          <t>Patrulla</t>
        </is>
      </c>
      <c r="G760" s="29" t="inlineStr">
        <is>
          <t>Pattuglia</t>
        </is>
      </c>
      <c r="H760" s="29" t="inlineStr">
        <is>
          <t>순회</t>
        </is>
      </c>
      <c r="I760" s="29" t="inlineStr">
        <is>
          <t>巡迴</t>
        </is>
      </c>
      <c r="J760" s="29">
        <f>IFERROR(__xludf.DUMMYFUNCTION("GOOGLETRANSLATE(I760, ""zh_HANT"",""zh_HANS"")"),"巡回")</f>
        <v/>
      </c>
      <c r="K760" s="29">
        <f>F760</f>
        <v/>
      </c>
    </row>
    <row r="761">
      <c r="A761" s="29">
        <f>CONCATENATE("CATEGORY_",UPPER(Pokemon!B736))</f>
        <v/>
      </c>
      <c r="B761" s="29">
        <f>Abilities!B199</f>
        <v/>
      </c>
      <c r="C761" s="29">
        <f>Abilities!C199</f>
        <v/>
      </c>
      <c r="D761" s="29">
        <f>Abilities!D199</f>
        <v/>
      </c>
      <c r="E761" s="29">
        <f>Abilities!E199</f>
        <v/>
      </c>
      <c r="F761" s="29">
        <f>Abilities!F199</f>
        <v/>
      </c>
      <c r="G761" s="29">
        <f>Abilities!G199</f>
        <v/>
      </c>
      <c r="H761" s="29" t="inlineStr">
        <is>
          <t>잠복</t>
        </is>
      </c>
      <c r="I761" s="29">
        <f>Abilities!I199</f>
        <v/>
      </c>
      <c r="J761" s="29">
        <f>Abilities!J199</f>
        <v/>
      </c>
      <c r="K761" s="29">
        <f>F761</f>
        <v/>
      </c>
    </row>
    <row r="762">
      <c r="A762" s="29">
        <f>CONCATENATE("CATEGORY_",UPPER(Pokemon!B737))</f>
        <v/>
      </c>
      <c r="B762" s="29" t="inlineStr">
        <is>
          <t>Larva</t>
        </is>
      </c>
      <c r="C762" s="29" t="inlineStr">
        <is>
          <t>ようちゅう</t>
        </is>
      </c>
      <c r="D762" s="29" t="inlineStr">
        <is>
          <t>Larve</t>
        </is>
      </c>
      <c r="E762" s="29">
        <f>D762</f>
        <v/>
      </c>
      <c r="F762" s="29" t="inlineStr">
        <is>
          <t>Pupa</t>
        </is>
      </c>
      <c r="G762" s="29" t="inlineStr">
        <is>
          <t>Coleolarva</t>
        </is>
      </c>
      <c r="H762" s="29" t="inlineStr">
        <is>
          <t>유충</t>
        </is>
      </c>
      <c r="I762" s="29" t="inlineStr">
        <is>
          <t>幼蟲</t>
        </is>
      </c>
      <c r="J762" s="29">
        <f>IFERROR(__xludf.DUMMYFUNCTION("GOOGLETRANSLATE(I762, ""zh_HANT"",""zh_HANS"")"),"幼虫")</f>
        <v/>
      </c>
      <c r="K762" s="29">
        <f>F762</f>
        <v/>
      </c>
    </row>
    <row r="763">
      <c r="A763" s="29">
        <f>CONCATENATE("CATEGORY_",UPPER(Pokemon!B738))</f>
        <v/>
      </c>
      <c r="B763" s="29">
        <f>Abilities!B218</f>
        <v/>
      </c>
      <c r="C763" s="29">
        <f>Abilities!C218</f>
        <v/>
      </c>
      <c r="D763" s="29">
        <f>Abilities!D218</f>
        <v/>
      </c>
      <c r="E763" s="29">
        <f>Abilities!E218</f>
        <v/>
      </c>
      <c r="F763" s="29">
        <f>Abilities!F218</f>
        <v/>
      </c>
      <c r="G763" s="29">
        <f>Abilities!G218</f>
        <v/>
      </c>
      <c r="H763" s="29">
        <f>Abilities!H218</f>
        <v/>
      </c>
      <c r="I763" s="29">
        <f>Abilities!I218</f>
        <v/>
      </c>
      <c r="J763" s="29">
        <f>Abilities!J218</f>
        <v/>
      </c>
      <c r="K763" s="29">
        <f>F763</f>
        <v/>
      </c>
    </row>
    <row r="764">
      <c r="A764" s="29">
        <f>CONCATENATE("CATEGORY_",UPPER(Pokemon!B739))</f>
        <v/>
      </c>
      <c r="B764" s="29">
        <f>B134</f>
        <v/>
      </c>
      <c r="C764" s="29">
        <f>C134</f>
        <v/>
      </c>
      <c r="D764" s="29">
        <f>D134</f>
        <v/>
      </c>
      <c r="E764" s="29">
        <f>E134</f>
        <v/>
      </c>
      <c r="F764" s="29">
        <f>F134</f>
        <v/>
      </c>
      <c r="G764" s="29">
        <f>G134</f>
        <v/>
      </c>
      <c r="H764" s="29">
        <f>H134</f>
        <v/>
      </c>
      <c r="I764" s="29">
        <f>I134</f>
        <v/>
      </c>
      <c r="J764" s="29">
        <f>J134</f>
        <v/>
      </c>
      <c r="K764" s="29">
        <f>F764</f>
        <v/>
      </c>
    </row>
    <row r="765">
      <c r="A765" s="29">
        <f>CONCATENATE("CATEGORY_",UPPER(Pokemon!B740))</f>
        <v/>
      </c>
      <c r="B765" s="29" t="inlineStr">
        <is>
          <t>Boxing</t>
        </is>
      </c>
      <c r="C765" s="29" t="inlineStr">
        <is>
          <t>けんとう</t>
        </is>
      </c>
      <c r="D765" s="29" t="inlineStr">
        <is>
          <t>Boxeur</t>
        </is>
      </c>
      <c r="E765" s="29" t="inlineStr">
        <is>
          <t>Boxkampf</t>
        </is>
      </c>
      <c r="F765" s="29" t="inlineStr">
        <is>
          <t>Púgil</t>
        </is>
      </c>
      <c r="G765" s="29" t="inlineStr">
        <is>
          <t>Pugile</t>
        </is>
      </c>
      <c r="H765" s="29" t="inlineStr">
        <is>
          <t>권투</t>
        </is>
      </c>
      <c r="I765" s="29" t="inlineStr">
        <is>
          <t>拳鬥</t>
        </is>
      </c>
      <c r="J765" s="29">
        <f>IFERROR(__xludf.DUMMYFUNCTION("GOOGLETRANSLATE(I765, ""zh_HANT"",""zh_HANS"")"),"拳斗")</f>
        <v/>
      </c>
      <c r="K765" s="29">
        <f>F765</f>
        <v/>
      </c>
    </row>
    <row r="766">
      <c r="A766" s="29">
        <f>CONCATENATE("CATEGORY_",UPPER(Pokemon!B741))</f>
        <v/>
      </c>
      <c r="B766" s="29" t="inlineStr">
        <is>
          <t>Woolly Crab</t>
        </is>
      </c>
      <c r="C766" s="29" t="inlineStr">
        <is>
          <t>けがに</t>
        </is>
      </c>
      <c r="D766" s="29" t="inlineStr">
        <is>
          <t>Crabe Velu</t>
        </is>
      </c>
      <c r="E766" s="29" t="inlineStr">
        <is>
          <t>Fellkrabbe</t>
        </is>
      </c>
      <c r="F766" s="29" t="inlineStr">
        <is>
          <t>Cangrejopelo</t>
        </is>
      </c>
      <c r="G766" s="29" t="inlineStr">
        <is>
          <t>Peligranchio</t>
        </is>
      </c>
      <c r="H766" s="29" t="inlineStr">
        <is>
          <t>털게</t>
        </is>
      </c>
      <c r="I766" s="29" t="inlineStr">
        <is>
          <t>毛蟹</t>
        </is>
      </c>
      <c r="J766" s="29">
        <f>I766</f>
        <v/>
      </c>
      <c r="K766" s="29">
        <f>F766</f>
        <v/>
      </c>
    </row>
    <row r="767">
      <c r="A767" s="29">
        <f>CONCATENATE("CATEGORY_",UPPER(Pokemon!B742))</f>
        <v/>
      </c>
      <c r="B767" s="29" t="inlineStr">
        <is>
          <t>Dancing</t>
        </is>
      </c>
      <c r="C767" s="29" t="inlineStr">
        <is>
          <t>ダンス</t>
        </is>
      </c>
      <c r="D767" s="29" t="inlineStr">
        <is>
          <t>Danse</t>
        </is>
      </c>
      <c r="E767" s="29" t="inlineStr">
        <is>
          <t>Tanz</t>
        </is>
      </c>
      <c r="F767" s="29" t="inlineStr">
        <is>
          <t>Danza</t>
        </is>
      </c>
      <c r="G767" s="29">
        <f>F767</f>
        <v/>
      </c>
      <c r="H767" s="29" t="inlineStr">
        <is>
          <t>댄스</t>
        </is>
      </c>
      <c r="I767" s="29" t="inlineStr">
        <is>
          <t>舞蹈</t>
        </is>
      </c>
      <c r="J767" s="29">
        <f>I767</f>
        <v/>
      </c>
      <c r="K767" s="29">
        <f>F767</f>
        <v/>
      </c>
    </row>
    <row r="768">
      <c r="A768" s="29">
        <f>CONCATENATE("CATEGORY_",UPPER(Pokemon!B743))</f>
        <v/>
      </c>
      <c r="B768" s="29" t="inlineStr">
        <is>
          <t>Bee Fly</t>
        </is>
      </c>
      <c r="C768" s="29" t="inlineStr">
        <is>
          <t>ツリアブ</t>
        </is>
      </c>
      <c r="D768" s="29" t="inlineStr">
        <is>
          <t>Bombyle</t>
        </is>
      </c>
      <c r="E768" s="29" t="inlineStr">
        <is>
          <t>Hummelfliege</t>
        </is>
      </c>
      <c r="F768" s="29" t="inlineStr">
        <is>
          <t>Mosca Abeja</t>
        </is>
      </c>
      <c r="G768" s="29" t="inlineStr">
        <is>
          <t>Bombilide</t>
        </is>
      </c>
      <c r="H768" s="29" t="inlineStr">
        <is>
          <t>재니등에</t>
        </is>
      </c>
      <c r="I768" s="29" t="inlineStr">
        <is>
          <t>蜂虻</t>
        </is>
      </c>
      <c r="J768" s="29">
        <f>I768</f>
        <v/>
      </c>
      <c r="K768" s="29">
        <f>F768</f>
        <v/>
      </c>
    </row>
    <row r="769">
      <c r="A769" s="29">
        <f>CONCATENATE("CATEGORY_",UPPER(Pokemon!B744))</f>
        <v/>
      </c>
      <c r="B769" s="29">
        <f>B768</f>
        <v/>
      </c>
      <c r="C769" s="29">
        <f>C768</f>
        <v/>
      </c>
      <c r="D769" s="29">
        <f>D768</f>
        <v/>
      </c>
      <c r="E769" s="29">
        <f>E768</f>
        <v/>
      </c>
      <c r="F769" s="29">
        <f>F768</f>
        <v/>
      </c>
      <c r="G769" s="29">
        <f>G768</f>
        <v/>
      </c>
      <c r="H769" s="29">
        <f>H768</f>
        <v/>
      </c>
      <c r="I769" s="29">
        <f>I768</f>
        <v/>
      </c>
      <c r="J769" s="29">
        <f>J768</f>
        <v/>
      </c>
      <c r="K769" s="29">
        <f>F769</f>
        <v/>
      </c>
    </row>
    <row r="770">
      <c r="A770" s="29">
        <f>CONCATENATE("CATEGORY_",UPPER(Pokemon!B745))</f>
        <v/>
      </c>
      <c r="B770" s="29">
        <f>B59</f>
        <v/>
      </c>
      <c r="C770" s="29">
        <f>C59</f>
        <v/>
      </c>
      <c r="D770" s="29">
        <f>D59</f>
        <v/>
      </c>
      <c r="E770" s="29">
        <f>E59</f>
        <v/>
      </c>
      <c r="F770" s="29">
        <f>F59</f>
        <v/>
      </c>
      <c r="G770" s="29">
        <f>G59</f>
        <v/>
      </c>
      <c r="H770" s="29">
        <f>H59</f>
        <v/>
      </c>
      <c r="I770" s="29">
        <f>I59</f>
        <v/>
      </c>
      <c r="J770" s="29">
        <f>J59</f>
        <v/>
      </c>
      <c r="K770" s="29">
        <f>F770</f>
        <v/>
      </c>
    </row>
    <row r="771">
      <c r="A771" s="29">
        <f>CONCATENATE("CATEGORY_",UPPER(Pokemon!B746))</f>
        <v/>
      </c>
      <c r="B771" s="29" t="inlineStr">
        <is>
          <t>Wolf</t>
        </is>
      </c>
      <c r="C771" s="29" t="inlineStr">
        <is>
          <t>オオカミ</t>
        </is>
      </c>
      <c r="D771" s="29" t="inlineStr">
        <is>
          <t>Loup</t>
        </is>
      </c>
      <c r="E771" s="29">
        <f>B771</f>
        <v/>
      </c>
      <c r="F771" s="29" t="inlineStr">
        <is>
          <t>Lobo</t>
        </is>
      </c>
      <c r="G771" s="29" t="inlineStr">
        <is>
          <t>Lupo</t>
        </is>
      </c>
      <c r="H771" s="29" t="inlineStr">
        <is>
          <t>늑대</t>
        </is>
      </c>
      <c r="I771" s="29" t="inlineStr">
        <is>
          <t>狼</t>
        </is>
      </c>
      <c r="J771" s="29">
        <f>I771</f>
        <v/>
      </c>
      <c r="K771" s="29">
        <f>F771</f>
        <v/>
      </c>
    </row>
    <row r="772">
      <c r="A772" s="29">
        <f>CONCATENATE("CATEGORY_",UPPER(Pokemon!B747))</f>
        <v/>
      </c>
      <c r="B772" s="29" t="inlineStr">
        <is>
          <t>Small Fry</t>
        </is>
      </c>
      <c r="C772" s="29" t="inlineStr">
        <is>
          <t>こざかな</t>
        </is>
      </c>
      <c r="D772" s="29" t="inlineStr">
        <is>
          <t>Minipoisson</t>
        </is>
      </c>
      <c r="E772" s="29" t="inlineStr">
        <is>
          <t>Kleinfisch</t>
        </is>
      </c>
      <c r="F772" s="29" t="inlineStr">
        <is>
          <t>Pececillo</t>
        </is>
      </c>
      <c r="G772" s="29" t="inlineStr">
        <is>
          <t>Pesciolino</t>
        </is>
      </c>
      <c r="H772" s="29" t="inlineStr">
        <is>
          <t>잔물고기</t>
        </is>
      </c>
      <c r="I772" s="29" t="inlineStr">
        <is>
          <t>小魚</t>
        </is>
      </c>
      <c r="J772" s="29">
        <f>IFERROR(__xludf.DUMMYFUNCTION("GOOGLETRANSLATE(I772, ""zh_HANT"",""zh_HANS"")"),"小鱼")</f>
        <v/>
      </c>
      <c r="K772" s="29">
        <f>F772</f>
        <v/>
      </c>
    </row>
    <row r="773">
      <c r="A773" s="29">
        <f>CONCATENATE("CATEGORY_",UPPER(Pokemon!B748))</f>
        <v/>
      </c>
      <c r="B773" s="29" t="inlineStr">
        <is>
          <t>Brutal Star</t>
        </is>
      </c>
      <c r="C773" s="29" t="inlineStr">
        <is>
          <t>ヒトデナシ</t>
        </is>
      </c>
      <c r="D773" s="29" t="inlineStr">
        <is>
          <t>Cruel</t>
        </is>
      </c>
      <c r="E773" s="29" t="inlineStr">
        <is>
          <t>Quäl-Stern</t>
        </is>
      </c>
      <c r="F773" s="29" t="inlineStr">
        <is>
          <t>Estrellatroz</t>
        </is>
      </c>
      <c r="G773" s="29" t="inlineStr">
        <is>
          <t>Stellatroce</t>
        </is>
      </c>
      <c r="H773" s="29" t="inlineStr">
        <is>
          <t>깨비사리</t>
        </is>
      </c>
      <c r="I773" s="29" t="inlineStr">
        <is>
          <t>非星</t>
        </is>
      </c>
      <c r="J773" s="29">
        <f>I773</f>
        <v/>
      </c>
      <c r="K773" s="29">
        <f>F773</f>
        <v/>
      </c>
    </row>
    <row r="774">
      <c r="A774" s="29">
        <f>CONCATENATE("CATEGORY_",UPPER(Pokemon!B749))</f>
        <v/>
      </c>
      <c r="B774" s="29">
        <f>B773</f>
        <v/>
      </c>
      <c r="C774" s="29">
        <f>C773</f>
        <v/>
      </c>
      <c r="D774" s="29">
        <f>D773</f>
        <v/>
      </c>
      <c r="E774" s="29">
        <f>E773</f>
        <v/>
      </c>
      <c r="F774" s="29">
        <f>F773</f>
        <v/>
      </c>
      <c r="G774" s="29">
        <f>G773</f>
        <v/>
      </c>
      <c r="H774" s="29">
        <f>H773</f>
        <v/>
      </c>
      <c r="I774" s="29">
        <f>I773</f>
        <v/>
      </c>
      <c r="J774" s="29">
        <f>J773</f>
        <v/>
      </c>
      <c r="K774" s="29">
        <f>F774</f>
        <v/>
      </c>
    </row>
    <row r="775">
      <c r="A775" s="29">
        <f>CONCATENATE("CATEGORY_",UPPER(Pokemon!B750))</f>
        <v/>
      </c>
      <c r="B775" s="29" t="inlineStr">
        <is>
          <t>Donkey</t>
        </is>
      </c>
      <c r="C775" s="29" t="inlineStr">
        <is>
          <t>うさぎうま</t>
        </is>
      </c>
      <c r="D775" s="29" t="inlineStr">
        <is>
          <t>Âne</t>
        </is>
      </c>
      <c r="E775" s="29" t="inlineStr">
        <is>
          <t>Packesel</t>
        </is>
      </c>
      <c r="F775" s="29" t="inlineStr">
        <is>
          <t>Asno</t>
        </is>
      </c>
      <c r="G775" s="29" t="inlineStr">
        <is>
          <t>Ciuconiglio</t>
        </is>
      </c>
      <c r="H775" s="29" t="inlineStr">
        <is>
          <t>당나귀</t>
        </is>
      </c>
      <c r="I775" s="29" t="inlineStr">
        <is>
          <t>驢</t>
        </is>
      </c>
      <c r="J775" s="29">
        <f>IFERROR(__xludf.DUMMYFUNCTION("GOOGLETRANSLATE(I775, ""zh_HANT"",""zh_HANS"")"),"驴")</f>
        <v/>
      </c>
      <c r="K775" s="29">
        <f>F775</f>
        <v/>
      </c>
    </row>
    <row r="776">
      <c r="A776" s="29">
        <f>CONCATENATE("CATEGORY_",UPPER(Pokemon!B751))</f>
        <v/>
      </c>
      <c r="B776" s="29" t="inlineStr">
        <is>
          <t>Draft Horse</t>
        </is>
      </c>
      <c r="C776" s="29" t="inlineStr">
        <is>
          <t>ばんば</t>
        </is>
      </c>
      <c r="D776" s="29" t="inlineStr">
        <is>
          <t>Cheval Trait</t>
        </is>
      </c>
      <c r="E776" s="29" t="inlineStr">
        <is>
          <t>Zugpferd</t>
        </is>
      </c>
      <c r="F776" s="29" t="inlineStr">
        <is>
          <t>Caballo Tiro</t>
        </is>
      </c>
      <c r="G776" s="29" t="inlineStr">
        <is>
          <t>Fortequino</t>
        </is>
      </c>
      <c r="H776" s="29" t="inlineStr">
        <is>
          <t>만마</t>
        </is>
      </c>
      <c r="I776" s="29" t="inlineStr">
        <is>
          <t>挽馬</t>
        </is>
      </c>
      <c r="J776" s="29">
        <f>IFERROR(__xludf.DUMMYFUNCTION("GOOGLETRANSLATE(I776, ""zh_HANT"",""zh_HANS"")"),"挽马")</f>
        <v/>
      </c>
      <c r="K776" s="29">
        <f>F776</f>
        <v/>
      </c>
    </row>
    <row r="777">
      <c r="A777" s="29">
        <f>CONCATENATE("CATEGORY_",UPPER(Pokemon!B752))</f>
        <v/>
      </c>
      <c r="B777" s="29">
        <f>Abilities!B200</f>
        <v/>
      </c>
      <c r="C777" s="29">
        <f>Abilities!C200</f>
        <v/>
      </c>
      <c r="D777" s="29">
        <f>Abilities!D200</f>
        <v/>
      </c>
      <c r="E777" s="29">
        <f>Abilities!E200</f>
        <v/>
      </c>
      <c r="F777" s="29">
        <f>Abilities!F200</f>
        <v/>
      </c>
      <c r="G777" s="29">
        <f>Abilities!G200</f>
        <v/>
      </c>
      <c r="H777" s="29">
        <f>Abilities!H200</f>
        <v/>
      </c>
      <c r="I777" s="29">
        <f>Abilities!I200</f>
        <v/>
      </c>
      <c r="J777" s="29">
        <f>Abilities!J200</f>
        <v/>
      </c>
      <c r="K777" s="29">
        <f>F777</f>
        <v/>
      </c>
    </row>
    <row r="778">
      <c r="A778" s="29">
        <f>CONCATENATE("CATEGORY_",UPPER(Pokemon!B753))</f>
        <v/>
      </c>
      <c r="B778" s="29">
        <f>B777</f>
        <v/>
      </c>
      <c r="C778" s="29">
        <f>C777</f>
        <v/>
      </c>
      <c r="D778" s="29">
        <f>D777</f>
        <v/>
      </c>
      <c r="E778" s="29">
        <f>E777</f>
        <v/>
      </c>
      <c r="F778" s="29">
        <f>F777</f>
        <v/>
      </c>
      <c r="G778" s="29">
        <f>G777</f>
        <v/>
      </c>
      <c r="H778" s="29">
        <f>H777</f>
        <v/>
      </c>
      <c r="I778" s="29">
        <f>I777</f>
        <v/>
      </c>
      <c r="J778" s="29">
        <f>J777</f>
        <v/>
      </c>
      <c r="K778" s="29">
        <f>F778</f>
        <v/>
      </c>
    </row>
    <row r="779">
      <c r="A779" s="29">
        <f>CONCATENATE("CATEGORY_",UPPER(Pokemon!B754))</f>
        <v/>
      </c>
      <c r="B779" s="29" t="inlineStr">
        <is>
          <t>Sickle Grass</t>
        </is>
      </c>
      <c r="C779" s="29" t="inlineStr">
        <is>
          <t>かまくさ</t>
        </is>
      </c>
      <c r="D779" s="29" t="inlineStr">
        <is>
          <t>Fauch'Herbe</t>
        </is>
      </c>
      <c r="E779" s="29" t="inlineStr">
        <is>
          <t>Grassichel</t>
        </is>
      </c>
      <c r="F779" s="29" t="inlineStr">
        <is>
          <t>Filo Hoja</t>
        </is>
      </c>
      <c r="G779" s="29" t="inlineStr">
        <is>
          <t>Mantiderba</t>
        </is>
      </c>
      <c r="H779" s="29" t="inlineStr">
        <is>
          <t>풀사마귀</t>
        </is>
      </c>
      <c r="I779" s="29" t="inlineStr">
        <is>
          <t>鐮草</t>
        </is>
      </c>
      <c r="J779" s="29">
        <f>IFERROR(__xludf.DUMMYFUNCTION("GOOGLETRANSLATE(I779, ""zh_HANT"",""zh_HANS"")"),"镰草")</f>
        <v/>
      </c>
      <c r="K779" s="29">
        <f>F779</f>
        <v/>
      </c>
    </row>
    <row r="780">
      <c r="A780" s="29">
        <f>CONCATENATE("CATEGORY_",UPPER(Pokemon!B755))</f>
        <v/>
      </c>
      <c r="B780" s="29" t="inlineStr">
        <is>
          <t>Bloom Sickle</t>
        </is>
      </c>
      <c r="C780" s="29" t="inlineStr">
        <is>
          <t>はなかま</t>
        </is>
      </c>
      <c r="D780" s="29" t="inlineStr">
        <is>
          <t>Fauch'Fleur</t>
        </is>
      </c>
      <c r="E780" s="29" t="inlineStr">
        <is>
          <t>Blumensichel</t>
        </is>
      </c>
      <c r="F780" s="29" t="inlineStr">
        <is>
          <t>Filo Flor</t>
        </is>
      </c>
      <c r="G780" s="29" t="inlineStr">
        <is>
          <t>Mantifiore</t>
        </is>
      </c>
      <c r="H780" s="29" t="inlineStr">
        <is>
          <t>꽃사마귀</t>
        </is>
      </c>
      <c r="I780" s="29" t="inlineStr">
        <is>
          <t>花鐮</t>
        </is>
      </c>
      <c r="J780" s="29">
        <f>IFERROR(__xludf.DUMMYFUNCTION("GOOGLETRANSLATE(I780, ""zh_HANT"",""zh_HANS"")"),"花镰")</f>
        <v/>
      </c>
      <c r="K780" s="29">
        <f>F780</f>
        <v/>
      </c>
    </row>
    <row r="781">
      <c r="A781" s="29">
        <f>CONCATENATE("CATEGORY_",UPPER(Pokemon!B756))</f>
        <v/>
      </c>
      <c r="B781" s="29" t="inlineStr">
        <is>
          <t>Illuminating</t>
        </is>
      </c>
      <c r="C781" s="29">
        <f>Abilities!C36</f>
        <v/>
      </c>
      <c r="D781" s="29" t="inlineStr">
        <is>
          <t>Luminescent</t>
        </is>
      </c>
      <c r="E781" s="29" t="inlineStr">
        <is>
          <t>Lumineszenz</t>
        </is>
      </c>
      <c r="F781" s="29" t="inlineStr">
        <is>
          <t>Luminiscente</t>
        </is>
      </c>
      <c r="G781" s="29" t="inlineStr">
        <is>
          <t>Luminescenza</t>
        </is>
      </c>
      <c r="H781" s="29">
        <f>Abilities!H36</f>
        <v/>
      </c>
      <c r="I781" s="29">
        <f>Abilities!I36</f>
        <v/>
      </c>
      <c r="J781" s="29">
        <f>Abilities!J36</f>
        <v/>
      </c>
      <c r="K781" s="29">
        <f>F781</f>
        <v/>
      </c>
    </row>
    <row r="782">
      <c r="A782" s="29">
        <f>CONCATENATE("CATEGORY_",UPPER(Pokemon!B757))</f>
        <v/>
      </c>
      <c r="B782" s="29">
        <f>B781</f>
        <v/>
      </c>
      <c r="C782" s="29">
        <f>C781</f>
        <v/>
      </c>
      <c r="D782" s="29">
        <f>D781</f>
        <v/>
      </c>
      <c r="E782" s="29">
        <f>E781</f>
        <v/>
      </c>
      <c r="F782" s="29">
        <f>F781</f>
        <v/>
      </c>
      <c r="G782" s="29">
        <f>G781</f>
        <v/>
      </c>
      <c r="H782" s="29">
        <f>H781</f>
        <v/>
      </c>
      <c r="I782" s="29">
        <f>I781</f>
        <v/>
      </c>
      <c r="J782" s="29">
        <f>J781</f>
        <v/>
      </c>
      <c r="K782" s="29">
        <f>F782</f>
        <v/>
      </c>
    </row>
    <row r="783">
      <c r="A783" s="29">
        <f>CONCATENATE("CATEGORY_",UPPER(Pokemon!B758))</f>
        <v/>
      </c>
      <c r="B783" s="29" t="inlineStr">
        <is>
          <t>Toxic Lizard</t>
        </is>
      </c>
      <c r="C783" s="29" t="inlineStr">
        <is>
          <t>どくトカゲ</t>
        </is>
      </c>
      <c r="D783" s="29" t="inlineStr">
        <is>
          <t>Toxilézard</t>
        </is>
      </c>
      <c r="E783" s="29" t="inlineStr">
        <is>
          <t>Giftechse</t>
        </is>
      </c>
      <c r="F783" s="29" t="inlineStr">
        <is>
          <t>Lagartoxina</t>
        </is>
      </c>
      <c r="G783" s="29" t="inlineStr">
        <is>
          <t>Lucertossina</t>
        </is>
      </c>
      <c r="H783" s="29" t="inlineStr">
        <is>
          <t>독도마뱀</t>
        </is>
      </c>
      <c r="I783" s="29" t="inlineStr">
        <is>
          <t>毒蜥</t>
        </is>
      </c>
      <c r="J783" s="29">
        <f>I783</f>
        <v/>
      </c>
      <c r="K783" s="29">
        <f>F783</f>
        <v/>
      </c>
    </row>
    <row r="784">
      <c r="A784" s="29">
        <f>CONCATENATE("CATEGORY_",UPPER(Pokemon!B759))</f>
        <v/>
      </c>
      <c r="B784" s="29">
        <f>B783</f>
        <v/>
      </c>
      <c r="C784" s="29">
        <f>C783</f>
        <v/>
      </c>
      <c r="D784" s="29">
        <f>D783</f>
        <v/>
      </c>
      <c r="E784" s="29">
        <f>E783</f>
        <v/>
      </c>
      <c r="F784" s="29">
        <f>F783</f>
        <v/>
      </c>
      <c r="G784" s="29">
        <f>G783</f>
        <v/>
      </c>
      <c r="H784" s="29">
        <f>H783</f>
        <v/>
      </c>
      <c r="I784" s="29">
        <f>I783</f>
        <v/>
      </c>
      <c r="J784" s="29">
        <f>J783</f>
        <v/>
      </c>
      <c r="K784" s="29">
        <f>F784</f>
        <v/>
      </c>
    </row>
    <row r="785">
      <c r="A785" s="29">
        <f>CONCATENATE("CATEGORY_",UPPER(Pokemon!B760))</f>
        <v/>
      </c>
      <c r="B785" s="29" t="inlineStr">
        <is>
          <t>Flailing</t>
        </is>
      </c>
      <c r="C785" s="29" t="inlineStr">
        <is>
          <t>じたばた</t>
        </is>
      </c>
      <c r="D785" s="29" t="inlineStr">
        <is>
          <t>Gigoteur</t>
        </is>
      </c>
      <c r="E785" s="29" t="inlineStr">
        <is>
          <t>Wildfang</t>
        </is>
      </c>
      <c r="F785" s="29" t="inlineStr">
        <is>
          <t>Rabieta</t>
        </is>
      </c>
      <c r="G785" s="29" t="inlineStr">
        <is>
          <t>Bizzoso</t>
        </is>
      </c>
      <c r="H785" s="29" t="inlineStr">
        <is>
          <t>바둥바둥</t>
        </is>
      </c>
      <c r="I785" s="29" t="inlineStr">
        <is>
          <t>抓狂</t>
        </is>
      </c>
      <c r="J785" s="29">
        <f>I785</f>
        <v/>
      </c>
      <c r="K785" s="29">
        <f>F785</f>
        <v/>
      </c>
    </row>
    <row r="786">
      <c r="A786" s="29">
        <f>CONCATENATE("CATEGORY_",UPPER(Pokemon!B761))</f>
        <v/>
      </c>
      <c r="B786" s="29" t="inlineStr">
        <is>
          <t>Strong Arm</t>
        </is>
      </c>
      <c r="C786" s="29" t="inlineStr">
        <is>
          <t>ごうわん</t>
        </is>
      </c>
      <c r="D786" s="29" t="inlineStr">
        <is>
          <t>Biscoteaux</t>
        </is>
      </c>
      <c r="E786" s="29" t="inlineStr">
        <is>
          <t>Kraftarme</t>
        </is>
      </c>
      <c r="F786" s="29" t="inlineStr">
        <is>
          <t>Brazo Fuerte</t>
        </is>
      </c>
      <c r="G786" s="29" t="inlineStr">
        <is>
          <t>Fortebraccio</t>
        </is>
      </c>
      <c r="H786" s="29" t="inlineStr">
        <is>
          <t>강한완력</t>
        </is>
      </c>
      <c r="I786" s="29" t="inlineStr">
        <is>
          <t>強臂</t>
        </is>
      </c>
      <c r="J786" s="29">
        <f>IFERROR(__xludf.DUMMYFUNCTION("GOOGLETRANSLATE(I786, ""zh_HANT"",""zh_HANS"")"),"强臂")</f>
        <v/>
      </c>
      <c r="K786" s="29">
        <f>F786</f>
        <v/>
      </c>
    </row>
    <row r="787">
      <c r="A787" s="29">
        <f>CONCATENATE("CATEGORY_",UPPER(Pokemon!B762))</f>
        <v/>
      </c>
      <c r="B787" s="29">
        <f>B371</f>
        <v/>
      </c>
      <c r="C787" s="29">
        <f>C371</f>
        <v/>
      </c>
      <c r="D787" s="29">
        <f>D371</f>
        <v/>
      </c>
      <c r="E787" s="29">
        <f>E371</f>
        <v/>
      </c>
      <c r="F787" s="29">
        <f>F371</f>
        <v/>
      </c>
      <c r="G787" s="29">
        <f>G371</f>
        <v/>
      </c>
      <c r="H787" s="29">
        <f>H371</f>
        <v/>
      </c>
      <c r="I787" s="29">
        <f>I371</f>
        <v/>
      </c>
      <c r="J787" s="29">
        <f>J371</f>
        <v/>
      </c>
      <c r="K787" s="29">
        <f>F787</f>
        <v/>
      </c>
    </row>
    <row r="788">
      <c r="A788" s="29">
        <f>CONCATENATE("CATEGORY_",UPPER(Pokemon!B763))</f>
        <v/>
      </c>
      <c r="B788" s="29">
        <f>B371</f>
        <v/>
      </c>
      <c r="C788" s="29">
        <f>C371</f>
        <v/>
      </c>
      <c r="D788" s="29">
        <f>D371</f>
        <v/>
      </c>
      <c r="E788" s="29">
        <f>E371</f>
        <v/>
      </c>
      <c r="F788" s="29">
        <f>F371</f>
        <v/>
      </c>
      <c r="G788" s="29">
        <f>G371</f>
        <v/>
      </c>
      <c r="H788" s="29">
        <f>H371</f>
        <v/>
      </c>
      <c r="I788" s="29">
        <f>I371</f>
        <v/>
      </c>
      <c r="J788" s="29">
        <f>J371</f>
        <v/>
      </c>
      <c r="K788" s="29">
        <f>F788</f>
        <v/>
      </c>
    </row>
    <row r="789">
      <c r="A789" s="29">
        <f>CONCATENATE("CATEGORY_",UPPER(Pokemon!B764))</f>
        <v/>
      </c>
      <c r="B789" s="29">
        <f>B371</f>
        <v/>
      </c>
      <c r="C789" s="29">
        <f>C371</f>
        <v/>
      </c>
      <c r="D789" s="29">
        <f>D371</f>
        <v/>
      </c>
      <c r="E789" s="29">
        <f>E371</f>
        <v/>
      </c>
      <c r="F789" s="29">
        <f>F371</f>
        <v/>
      </c>
      <c r="G789" s="29">
        <f>G371</f>
        <v/>
      </c>
      <c r="H789" s="29">
        <f>H371</f>
        <v/>
      </c>
      <c r="I789" s="29">
        <f>I371</f>
        <v/>
      </c>
      <c r="J789" s="29">
        <f>J371</f>
        <v/>
      </c>
      <c r="K789" s="29">
        <f>F789</f>
        <v/>
      </c>
    </row>
    <row r="790">
      <c r="A790" s="29">
        <f>CONCATENATE("CATEGORY_",UPPER(Pokemon!B765))</f>
        <v/>
      </c>
      <c r="B790" s="29" t="inlineStr">
        <is>
          <t>Posy Picker</t>
        </is>
      </c>
      <c r="C790" s="29" t="inlineStr">
        <is>
          <t>はなつみ</t>
        </is>
      </c>
      <c r="D790" s="29" t="inlineStr">
        <is>
          <t>Tressefleur</t>
        </is>
      </c>
      <c r="E790" s="29" t="inlineStr">
        <is>
          <t>Blumenkranz</t>
        </is>
      </c>
      <c r="F790" s="29" t="inlineStr">
        <is>
          <t>Recogeflores</t>
        </is>
      </c>
      <c r="G790" s="29" t="inlineStr">
        <is>
          <t>Ghirlanda</t>
        </is>
      </c>
      <c r="H790" s="29" t="inlineStr">
        <is>
          <t>꽃따기</t>
        </is>
      </c>
      <c r="I790" s="29" t="inlineStr">
        <is>
          <t>摘花</t>
        </is>
      </c>
      <c r="J790" s="29">
        <f>I790</f>
        <v/>
      </c>
      <c r="K790" s="29">
        <f>F790</f>
        <v/>
      </c>
    </row>
    <row r="791">
      <c r="A791" s="29">
        <f>CONCATENATE("CATEGORY_",UPPER(Pokemon!B766))</f>
        <v/>
      </c>
      <c r="B791" s="29" t="inlineStr">
        <is>
          <t>Sage</t>
        </is>
      </c>
      <c r="C791" s="29" t="inlineStr">
        <is>
          <t>けんじゃ</t>
        </is>
      </c>
      <c r="D791" s="29">
        <f>CONCATENATE("Grand ",B791)</f>
        <v/>
      </c>
      <c r="E791" s="29" t="inlineStr">
        <is>
          <t>Weisheit</t>
        </is>
      </c>
      <c r="F791" s="29" t="inlineStr">
        <is>
          <t>Sabio</t>
        </is>
      </c>
      <c r="G791" s="29" t="inlineStr">
        <is>
          <t>Saggio</t>
        </is>
      </c>
      <c r="H791" s="29" t="inlineStr">
        <is>
          <t>현자</t>
        </is>
      </c>
      <c r="I791" s="29" t="inlineStr">
        <is>
          <t>賢者</t>
        </is>
      </c>
      <c r="J791" s="29">
        <f>IFERROR(__xludf.DUMMYFUNCTION("GOOGLETRANSLATE(I791, ""zh_HANT"",""zh_HANS"")"),"贤者")</f>
        <v/>
      </c>
      <c r="K791" s="29">
        <f>F791</f>
        <v/>
      </c>
    </row>
    <row r="792">
      <c r="A792" s="29">
        <f>CONCATENATE("CATEGORY_",UPPER(Pokemon!B767))</f>
        <v/>
      </c>
      <c r="B792" s="29" t="inlineStr">
        <is>
          <t>Teamwork</t>
        </is>
      </c>
      <c r="C792" s="29" t="inlineStr">
        <is>
          <t>れんけい</t>
        </is>
      </c>
      <c r="D792" s="29" t="inlineStr">
        <is>
          <t>Coopération</t>
        </is>
      </c>
      <c r="E792" s="29">
        <f>B792</f>
        <v/>
      </c>
      <c r="F792" s="29" t="inlineStr">
        <is>
          <t>Cooperación</t>
        </is>
      </c>
      <c r="G792" s="29" t="inlineStr">
        <is>
          <t>Giocosquadra</t>
        </is>
      </c>
      <c r="H792" s="29" t="inlineStr">
        <is>
          <t>연게</t>
        </is>
      </c>
      <c r="I792" s="29" t="inlineStr">
        <is>
          <t>配合</t>
        </is>
      </c>
      <c r="J792" s="29">
        <f>I792</f>
        <v/>
      </c>
      <c r="K792" s="29">
        <f>F792</f>
        <v/>
      </c>
    </row>
    <row r="793">
      <c r="A793" s="29">
        <f>CONCATENATE("CATEGORY_",UPPER(Pokemon!B768))</f>
        <v/>
      </c>
      <c r="B793" s="29" t="inlineStr">
        <is>
          <t>Turn Tail</t>
        </is>
      </c>
      <c r="C793" s="29" t="inlineStr">
        <is>
          <t>そうこう</t>
        </is>
      </c>
      <c r="D793" s="29" t="inlineStr">
        <is>
          <t>Cavaleur</t>
        </is>
      </c>
      <c r="E793" s="29" t="inlineStr">
        <is>
          <t>Laufschritt</t>
        </is>
      </c>
      <c r="F793" s="29" t="inlineStr">
        <is>
          <t>Huidizo</t>
        </is>
      </c>
      <c r="G793" s="29" t="inlineStr">
        <is>
          <t>Lestopode</t>
        </is>
      </c>
      <c r="H793" s="29" t="inlineStr">
        <is>
          <t>주행</t>
        </is>
      </c>
      <c r="I793" s="29" t="inlineStr">
        <is>
          <t>疾行</t>
        </is>
      </c>
      <c r="J793" s="29">
        <f>I793</f>
        <v/>
      </c>
      <c r="K793" s="29">
        <f>F793</f>
        <v/>
      </c>
    </row>
    <row r="794">
      <c r="A794" s="29">
        <f>CONCATENATE("CATEGORY_",UPPER(Pokemon!B769))</f>
        <v/>
      </c>
      <c r="B794" s="29" t="inlineStr">
        <is>
          <t>Hard Scale</t>
        </is>
      </c>
      <c r="C794" s="29">
        <f>C793</f>
        <v/>
      </c>
      <c r="D794" s="29" t="inlineStr">
        <is>
          <t>Blindé</t>
        </is>
      </c>
      <c r="E794" s="29" t="inlineStr">
        <is>
          <t>Rüstung</t>
        </is>
      </c>
      <c r="F794" s="29" t="inlineStr">
        <is>
          <t>Blindaje</t>
        </is>
      </c>
      <c r="G794" s="29" t="inlineStr">
        <is>
          <t>Blindato</t>
        </is>
      </c>
      <c r="H794" s="29" t="inlineStr">
        <is>
          <t>장갑</t>
        </is>
      </c>
      <c r="I794" s="29" t="inlineStr">
        <is>
          <t>裝甲</t>
        </is>
      </c>
      <c r="J794" s="29">
        <f>IFERROR(__xludf.DUMMYFUNCTION("GOOGLETRANSLATE(I794, ""zh_HANT"",""zh_HANS"")"),"装甲")</f>
        <v/>
      </c>
      <c r="K794" s="29">
        <f>F794</f>
        <v/>
      </c>
    </row>
    <row r="795">
      <c r="A795" s="29">
        <f>CONCATENATE("CATEGORY_",UPPER(Pokemon!B770))</f>
        <v/>
      </c>
      <c r="B795" s="29" t="inlineStr">
        <is>
          <t>Sand Heap</t>
        </is>
      </c>
      <c r="C795" s="29" t="inlineStr">
        <is>
          <t>すなやま</t>
        </is>
      </c>
      <c r="D795" s="29" t="inlineStr">
        <is>
          <t>Pâtéd'Sable</t>
        </is>
      </c>
      <c r="E795" s="29" t="inlineStr">
        <is>
          <t>Sandhaufen</t>
        </is>
      </c>
      <c r="F795" s="29" t="inlineStr">
        <is>
          <t>Montearena</t>
        </is>
      </c>
      <c r="G795" s="29" t="inlineStr">
        <is>
          <t>Montesabbia</t>
        </is>
      </c>
      <c r="H795" s="29" t="inlineStr">
        <is>
          <t>모래산</t>
        </is>
      </c>
      <c r="I795" s="29" t="inlineStr">
        <is>
          <t>沙丘</t>
        </is>
      </c>
      <c r="J795" s="29">
        <f>I795</f>
        <v/>
      </c>
      <c r="K795" s="29">
        <f>F795</f>
        <v/>
      </c>
    </row>
    <row r="796">
      <c r="A796" s="29">
        <f>CONCATENATE("CATEGORY_",UPPER(Pokemon!B771))</f>
        <v/>
      </c>
      <c r="B796" s="29" t="inlineStr">
        <is>
          <t>Sand Castle</t>
        </is>
      </c>
      <c r="C796" s="29" t="inlineStr">
        <is>
          <t>すなのしろ</t>
        </is>
      </c>
      <c r="D796" s="29" t="inlineStr">
        <is>
          <t>Châtod'Sable</t>
        </is>
      </c>
      <c r="E796" s="29" t="inlineStr">
        <is>
          <t>Sandschloss</t>
        </is>
      </c>
      <c r="F796" s="29" t="inlineStr">
        <is>
          <t>Castiarena</t>
        </is>
      </c>
      <c r="G796" s="29" t="inlineStr">
        <is>
          <t>Castelsabbia</t>
        </is>
      </c>
      <c r="H796" s="29" t="inlineStr">
        <is>
          <t>모래성</t>
        </is>
      </c>
      <c r="I796" s="29" t="inlineStr">
        <is>
          <t>沙堡</t>
        </is>
      </c>
      <c r="J796" s="29">
        <f>I796</f>
        <v/>
      </c>
      <c r="K796" s="29">
        <f>F796</f>
        <v/>
      </c>
    </row>
    <row r="797">
      <c r="A797" s="29">
        <f>CONCATENATE("CATEGORY_",UPPER(Pokemon!B772))</f>
        <v/>
      </c>
      <c r="B797" s="29" t="inlineStr">
        <is>
          <t>Sea Cucumber</t>
        </is>
      </c>
      <c r="C797" s="29" t="inlineStr">
        <is>
          <t>なまこ</t>
        </is>
      </c>
      <c r="D797" s="29" t="inlineStr">
        <is>
          <t>Holothurie</t>
        </is>
      </c>
      <c r="E797" s="29" t="inlineStr">
        <is>
          <t>Seegurke</t>
        </is>
      </c>
      <c r="F797" s="29" t="inlineStr">
        <is>
          <t>Pepino Mar</t>
        </is>
      </c>
      <c r="G797" s="29" t="inlineStr">
        <is>
          <t>Oloturia</t>
        </is>
      </c>
      <c r="H797" s="29" t="inlineStr">
        <is>
          <t>해삼</t>
        </is>
      </c>
      <c r="I797" s="29" t="inlineStr">
        <is>
          <t>海參</t>
        </is>
      </c>
      <c r="J797" s="29">
        <f>IFERROR(__xludf.DUMMYFUNCTION("GOOGLETRANSLATE(I797, ""zh_HANT"",""zh_HANS"")"),"海参")</f>
        <v/>
      </c>
      <c r="K797" s="29">
        <f>F797</f>
        <v/>
      </c>
    </row>
    <row r="798">
      <c r="A798" s="29" t="inlineStr">
        <is>
          <t>CATEGORY_TYPENULL</t>
        </is>
      </c>
      <c r="B798" s="29" t="inlineStr">
        <is>
          <t>Synthetic</t>
        </is>
      </c>
      <c r="C798" s="29" t="inlineStr">
        <is>
          <t>じんこう</t>
        </is>
      </c>
      <c r="D798" s="29" t="inlineStr">
        <is>
          <t>Multigénome</t>
        </is>
      </c>
      <c r="E798" s="29" t="inlineStr">
        <is>
          <t>Modifikation</t>
        </is>
      </c>
      <c r="F798" s="29" t="inlineStr">
        <is>
          <t>Multigénico</t>
        </is>
      </c>
      <c r="G798" s="29" t="inlineStr">
        <is>
          <t>Multigene</t>
        </is>
      </c>
      <c r="H798" s="29" t="inlineStr">
        <is>
          <t>인공</t>
        </is>
      </c>
      <c r="I798" s="29" t="inlineStr">
        <is>
          <t>人工</t>
        </is>
      </c>
      <c r="J798" s="29">
        <f>I798</f>
        <v/>
      </c>
      <c r="K798" s="29">
        <f>F798</f>
        <v/>
      </c>
    </row>
    <row r="799">
      <c r="A799" s="29">
        <f>CONCATENATE("CATEGORY_",UPPER(Pokemon!B774))</f>
        <v/>
      </c>
      <c r="B799" s="29">
        <f>B798</f>
        <v/>
      </c>
      <c r="C799" s="29">
        <f>C798</f>
        <v/>
      </c>
      <c r="D799" s="29">
        <f>D798</f>
        <v/>
      </c>
      <c r="E799" s="29">
        <f>E798</f>
        <v/>
      </c>
      <c r="F799" s="29">
        <f>F798</f>
        <v/>
      </c>
      <c r="G799" s="29">
        <f>G798</f>
        <v/>
      </c>
      <c r="H799" s="29">
        <f>H798</f>
        <v/>
      </c>
      <c r="I799" s="29">
        <f>I798</f>
        <v/>
      </c>
      <c r="J799" s="29">
        <f>J798</f>
        <v/>
      </c>
      <c r="K799" s="29">
        <f>F799</f>
        <v/>
      </c>
    </row>
    <row r="800">
      <c r="A800" s="29">
        <f>CONCATENATE("CATEGORY_",UPPER(Pokemon!B775))</f>
        <v/>
      </c>
      <c r="B800" s="29" t="inlineStr">
        <is>
          <t>Meteor</t>
        </is>
      </c>
      <c r="C800" s="29" t="inlineStr">
        <is>
          <t>ながれぼし</t>
        </is>
      </c>
      <c r="D800" s="29" t="inlineStr">
        <is>
          <t>Météore</t>
        </is>
      </c>
      <c r="E800" s="29">
        <f>B800</f>
        <v/>
      </c>
      <c r="F800" s="29">
        <f>CONCATENATE(B800,"o")</f>
        <v/>
      </c>
      <c r="G800" s="29">
        <f>CONCATENATE(B800,"a")</f>
        <v/>
      </c>
      <c r="H800" s="29" t="inlineStr">
        <is>
          <t>유성</t>
        </is>
      </c>
      <c r="I800" s="29" t="inlineStr">
        <is>
          <t>流星</t>
        </is>
      </c>
      <c r="J800" s="29">
        <f>I800</f>
        <v/>
      </c>
      <c r="K800" s="29">
        <f>F800</f>
        <v/>
      </c>
    </row>
    <row r="801">
      <c r="A801" s="29">
        <f>CONCATENATE("CATEGORY_",UPPER(Pokemon!B776))</f>
        <v/>
      </c>
      <c r="B801" s="29">
        <f>B533</f>
        <v/>
      </c>
      <c r="C801" s="29">
        <f>C533</f>
        <v/>
      </c>
      <c r="D801" s="29">
        <f>D533</f>
        <v/>
      </c>
      <c r="E801" s="29">
        <f>E533</f>
        <v/>
      </c>
      <c r="F801" s="29">
        <f>F533</f>
        <v/>
      </c>
      <c r="G801" s="29">
        <f>G533</f>
        <v/>
      </c>
      <c r="H801" s="29">
        <f>H533</f>
        <v/>
      </c>
      <c r="I801" s="29">
        <f>I533</f>
        <v/>
      </c>
      <c r="J801" s="29">
        <f>J533</f>
        <v/>
      </c>
      <c r="K801" s="29">
        <f>F801</f>
        <v/>
      </c>
    </row>
    <row r="802">
      <c r="A802" s="29">
        <f>CONCATENATE("CATEGORY_",UPPER(Pokemon!B777))</f>
        <v/>
      </c>
      <c r="B802" s="29" t="inlineStr">
        <is>
          <t>Blast Turtle</t>
        </is>
      </c>
      <c r="C802" s="29" t="inlineStr">
        <is>
          <t>ばくはつがめ</t>
        </is>
      </c>
      <c r="D802" s="29" t="inlineStr">
        <is>
          <t>Tortue Boum</t>
        </is>
      </c>
      <c r="E802" s="29" t="inlineStr">
        <is>
          <t>Knallkröte</t>
        </is>
      </c>
      <c r="F802" s="29" t="inlineStr">
        <is>
          <t>Tortugabomba</t>
        </is>
      </c>
      <c r="G802" s="29" t="inlineStr">
        <is>
          <t>Tartabomba</t>
        </is>
      </c>
      <c r="H802" s="29" t="inlineStr">
        <is>
          <t>폭발거북</t>
        </is>
      </c>
      <c r="I802" s="29" t="inlineStr">
        <is>
          <t>爆炸龜</t>
        </is>
      </c>
      <c r="J802" s="29">
        <f>IFERROR(__xludf.DUMMYFUNCTION("GOOGLETRANSLATE(I802, ""zh_HANT"",""zh_HANS"")"),"爆炸龟")</f>
        <v/>
      </c>
      <c r="K802" s="29">
        <f>F802</f>
        <v/>
      </c>
    </row>
    <row r="803">
      <c r="A803" s="29">
        <f>CONCATENATE("CATEGORY_",UPPER(Pokemon!B778))</f>
        <v/>
      </c>
      <c r="B803" s="29" t="inlineStr">
        <is>
          <t>Roly-Poly</t>
        </is>
      </c>
      <c r="C803" s="29" t="inlineStr">
        <is>
          <t>まるまり</t>
        </is>
      </c>
      <c r="D803" s="29" t="inlineStr">
        <is>
          <t>Roulenboule</t>
        </is>
      </c>
      <c r="E803" s="29" t="inlineStr">
        <is>
          <t>Einigler</t>
        </is>
      </c>
      <c r="F803" s="29" t="inlineStr">
        <is>
          <t>Bolita</t>
        </is>
      </c>
      <c r="G803" s="29" t="inlineStr">
        <is>
          <t>Ricciopalla</t>
        </is>
      </c>
      <c r="H803" s="29" t="inlineStr">
        <is>
          <t>동글동글</t>
        </is>
      </c>
      <c r="I803" s="29" t="inlineStr">
        <is>
          <t>蜷縮</t>
        </is>
      </c>
      <c r="J803" s="29">
        <f>IFERROR(__xludf.DUMMYFUNCTION("GOOGLETRANSLATE(I803, ""zh_HANT"",""zh_HANS"")"),"蜷缩")</f>
        <v/>
      </c>
      <c r="K803" s="29">
        <f>F803</f>
        <v/>
      </c>
    </row>
    <row r="804">
      <c r="A804" s="29">
        <f>CONCATENATE("CATEGORY_",UPPER(Pokemon!B779))</f>
        <v/>
      </c>
      <c r="B804" s="29">
        <f>Abilities!B210</f>
        <v/>
      </c>
      <c r="C804" s="29">
        <f>Abilities!C210</f>
        <v/>
      </c>
      <c r="D804" s="29">
        <f>Abilities!D210</f>
        <v/>
      </c>
      <c r="E804" s="29">
        <f>Abilities!E210</f>
        <v/>
      </c>
      <c r="F804" s="29">
        <f>Abilities!F210</f>
        <v/>
      </c>
      <c r="G804" s="29">
        <f>Abilities!G210</f>
        <v/>
      </c>
      <c r="H804" s="29">
        <f>Abilities!H210</f>
        <v/>
      </c>
      <c r="I804" s="29">
        <f>Abilities!I210</f>
        <v/>
      </c>
      <c r="J804" s="29">
        <f>Abilities!J210</f>
        <v/>
      </c>
      <c r="K804" s="29">
        <f>F804</f>
        <v/>
      </c>
    </row>
    <row r="805">
      <c r="A805" s="29">
        <f>CONCATENATE("CATEGORY_",UPPER(Pokemon!B780))</f>
        <v/>
      </c>
      <c r="B805" s="29" t="inlineStr">
        <is>
          <t>Gnash Teeth</t>
        </is>
      </c>
      <c r="C805" s="29" t="inlineStr">
        <is>
          <t>はぎしり</t>
        </is>
      </c>
      <c r="D805" s="29" t="inlineStr">
        <is>
          <t>Grincedent</t>
        </is>
      </c>
      <c r="E805" s="29" t="inlineStr">
        <is>
          <t>Knirschzahn</t>
        </is>
      </c>
      <c r="F805" s="29" t="inlineStr">
        <is>
          <t>Rechinante</t>
        </is>
      </c>
      <c r="G805" s="29" t="inlineStr">
        <is>
          <t>Sfregadenti</t>
        </is>
      </c>
      <c r="H805" s="29" t="inlineStr">
        <is>
          <t>이갈기</t>
        </is>
      </c>
      <c r="I805" s="29" t="inlineStr">
        <is>
          <t>磨牙</t>
        </is>
      </c>
      <c r="J805" s="29">
        <f>I805</f>
        <v/>
      </c>
      <c r="K805" s="29">
        <f>F805</f>
        <v/>
      </c>
    </row>
    <row r="806">
      <c r="A806" s="29">
        <f>CONCATENATE("CATEGORY_",UPPER(Pokemon!B781))</f>
        <v/>
      </c>
      <c r="B806" s="29" t="inlineStr">
        <is>
          <t>Placid</t>
        </is>
      </c>
      <c r="C806" s="29" t="inlineStr">
        <is>
          <t>ゆうゆう</t>
        </is>
      </c>
      <c r="D806" s="29" t="inlineStr">
        <is>
          <t>Nonchalant</t>
        </is>
      </c>
      <c r="E806" s="29" t="inlineStr">
        <is>
          <t>Gelassenheit</t>
        </is>
      </c>
      <c r="F806" s="29" t="inlineStr">
        <is>
          <t>Sosiego</t>
        </is>
      </c>
      <c r="G806" s="29" t="inlineStr">
        <is>
          <t>Tuttacalma</t>
        </is>
      </c>
      <c r="H806" s="29" t="inlineStr">
        <is>
          <t>느긋누긋</t>
        </is>
      </c>
      <c r="I806" s="29" t="inlineStr">
        <is>
          <t>悠遊</t>
        </is>
      </c>
      <c r="J806" s="29">
        <f>I806</f>
        <v/>
      </c>
      <c r="K806" s="29">
        <f>F806</f>
        <v/>
      </c>
    </row>
    <row r="807">
      <c r="A807" s="29">
        <f>CONCATENATE(A806,"-M")</f>
        <v/>
      </c>
      <c r="B807" s="29" t="inlineStr">
        <is>
          <t>Imposing</t>
        </is>
      </c>
      <c r="C807" s="29" t="inlineStr">
        <is>
          <t>どうどう</t>
        </is>
      </c>
      <c r="D807" s="29" t="inlineStr">
        <is>
          <t>Magistral</t>
        </is>
      </c>
      <c r="E807" s="29" t="inlineStr">
        <is>
          <t>Gewaltigkeits</t>
        </is>
      </c>
      <c r="F807" s="29" t="inlineStr">
        <is>
          <t>Solemne</t>
        </is>
      </c>
      <c r="G807" s="29" t="inlineStr">
        <is>
          <t>Tuttofiero</t>
        </is>
      </c>
      <c r="H807" s="29" t="inlineStr">
        <is>
          <t>위풍당당</t>
        </is>
      </c>
      <c r="I807" s="29" t="inlineStr">
        <is>
          <t>堂堂</t>
        </is>
      </c>
      <c r="J807" s="29">
        <f>I807</f>
        <v/>
      </c>
      <c r="K807" s="29">
        <f>F807</f>
        <v/>
      </c>
    </row>
    <row r="808">
      <c r="A808" s="29">
        <f>CONCATENATE("CATEGORY_",UPPER(Pokemon!B782))</f>
        <v/>
      </c>
      <c r="B808" s="29" t="inlineStr">
        <is>
          <t>Sea Creeper</t>
        </is>
      </c>
      <c r="C808" s="29" t="inlineStr">
        <is>
          <t>もくず</t>
        </is>
      </c>
      <c r="D808" s="29" t="inlineStr">
        <is>
          <t>Varech</t>
        </is>
      </c>
      <c r="E808" s="29" t="inlineStr">
        <is>
          <t>Seetang</t>
        </is>
      </c>
      <c r="F808" s="29" t="inlineStr">
        <is>
          <t>Alga Ancla</t>
        </is>
      </c>
      <c r="G808" s="29" t="inlineStr">
        <is>
          <t>Brandellalga</t>
        </is>
      </c>
      <c r="H808" s="29" t="inlineStr">
        <is>
          <t>해초조각</t>
        </is>
      </c>
      <c r="I808" s="29" t="inlineStr">
        <is>
          <t>碎藻</t>
        </is>
      </c>
      <c r="J808" s="29">
        <f>I808</f>
        <v/>
      </c>
      <c r="K808" s="29">
        <f>F808</f>
        <v/>
      </c>
    </row>
    <row r="809">
      <c r="A809" s="29">
        <f>CONCATENATE("CATEGORY_",SUBSTITUTE(UPPER(Pokemon!B783),"-",""))</f>
        <v/>
      </c>
      <c r="B809" s="29" t="inlineStr">
        <is>
          <t>Scaly</t>
        </is>
      </c>
      <c r="C809" s="29" t="inlineStr">
        <is>
          <t>うろこ</t>
        </is>
      </c>
      <c r="D809" s="29" t="inlineStr">
        <is>
          <t>Écailles</t>
        </is>
      </c>
      <c r="E809" s="29" t="inlineStr">
        <is>
          <t>Schuppentier</t>
        </is>
      </c>
      <c r="F809" s="29" t="inlineStr">
        <is>
          <t>Escamas</t>
        </is>
      </c>
      <c r="G809" s="29" t="inlineStr">
        <is>
          <t>Squama</t>
        </is>
      </c>
      <c r="H809" s="29" t="inlineStr">
        <is>
          <t>비늘</t>
        </is>
      </c>
      <c r="I809" s="29" t="inlineStr">
        <is>
          <t>鱗片</t>
        </is>
      </c>
      <c r="J809" s="29">
        <f>IFERROR(__xludf.DUMMYFUNCTION("GOOGLETRANSLATE(I809, ""zh_HANT"",""zh_HANS"")"),"鳞片")</f>
        <v/>
      </c>
      <c r="K809" s="29">
        <f>F809</f>
        <v/>
      </c>
    </row>
    <row r="810">
      <c r="A810" s="29">
        <f>CONCATENATE("CATEGORY_",SUBSTITUTE(UPPER(Pokemon!B784),"-",""))</f>
        <v/>
      </c>
      <c r="B810" s="29">
        <f>B809</f>
        <v/>
      </c>
      <c r="C810" s="29">
        <f>C809</f>
        <v/>
      </c>
      <c r="D810" s="29">
        <f>D809</f>
        <v/>
      </c>
      <c r="E810" s="29">
        <f>E809</f>
        <v/>
      </c>
      <c r="F810" s="29">
        <f>F809</f>
        <v/>
      </c>
      <c r="G810" s="29">
        <f>G809</f>
        <v/>
      </c>
      <c r="H810" s="29">
        <f>H809</f>
        <v/>
      </c>
      <c r="I810" s="29">
        <f>I809</f>
        <v/>
      </c>
      <c r="J810" s="29">
        <f>J809</f>
        <v/>
      </c>
      <c r="K810" s="29">
        <f>F810</f>
        <v/>
      </c>
    </row>
    <row r="811">
      <c r="A811" s="29">
        <f>CONCATENATE("CATEGORY_",SUBSTITUTE(UPPER(Pokemon!B785),"-",""))</f>
        <v/>
      </c>
      <c r="B811" s="29">
        <f>B809</f>
        <v/>
      </c>
      <c r="C811" s="29">
        <f>C809</f>
        <v/>
      </c>
      <c r="D811" s="29">
        <f>D809</f>
        <v/>
      </c>
      <c r="E811" s="29">
        <f>E809</f>
        <v/>
      </c>
      <c r="F811" s="29">
        <f>F809</f>
        <v/>
      </c>
      <c r="G811" s="29">
        <f>G809</f>
        <v/>
      </c>
      <c r="H811" s="29">
        <f>H809</f>
        <v/>
      </c>
      <c r="I811" s="29">
        <f>I809</f>
        <v/>
      </c>
      <c r="J811" s="29">
        <f>J809</f>
        <v/>
      </c>
      <c r="K811" s="29">
        <f>F811</f>
        <v/>
      </c>
    </row>
    <row r="812">
      <c r="A812" s="29">
        <f>CONCATENATE("CATEGORY_",SUBSTITUTE(UPPER(Pokemon!B786)," ",""))</f>
        <v/>
      </c>
      <c r="B812" s="29" t="inlineStr">
        <is>
          <t>Land Spirit</t>
        </is>
      </c>
      <c r="C812" s="29" t="inlineStr">
        <is>
          <t>とちがみ</t>
        </is>
      </c>
      <c r="D812" s="29" t="inlineStr">
        <is>
          <t>Tutélaire</t>
        </is>
      </c>
      <c r="E812" s="29" t="inlineStr">
        <is>
          <t>Schutzpatron</t>
        </is>
      </c>
      <c r="F812" s="29" t="inlineStr">
        <is>
          <t>Dios Nativo</t>
        </is>
      </c>
      <c r="G812" s="29" t="inlineStr">
        <is>
          <t>Nume Locale</t>
        </is>
      </c>
      <c r="H812" s="29" t="inlineStr">
        <is>
          <t>토속신</t>
        </is>
      </c>
      <c r="I812" s="29" t="inlineStr">
        <is>
          <t>土地神</t>
        </is>
      </c>
      <c r="J812" s="29">
        <f>I812</f>
        <v/>
      </c>
      <c r="K812" s="29">
        <f>F812</f>
        <v/>
      </c>
    </row>
    <row r="813">
      <c r="A813" s="29">
        <f>CONCATENATE("CATEGORY_",SUBSTITUTE(UPPER(Pokemon!B787)," ",""))</f>
        <v/>
      </c>
      <c r="B813" s="29">
        <f>B812</f>
        <v/>
      </c>
      <c r="C813" s="29">
        <f>C812</f>
        <v/>
      </c>
      <c r="D813" s="29">
        <f>D812</f>
        <v/>
      </c>
      <c r="E813" s="29">
        <f>E812</f>
        <v/>
      </c>
      <c r="F813" s="29">
        <f>F812</f>
        <v/>
      </c>
      <c r="G813" s="29">
        <f>G812</f>
        <v/>
      </c>
      <c r="H813" s="29">
        <f>H812</f>
        <v/>
      </c>
      <c r="I813" s="29">
        <f>I812</f>
        <v/>
      </c>
      <c r="J813" s="29">
        <f>J812</f>
        <v/>
      </c>
      <c r="K813" s="29">
        <f>F813</f>
        <v/>
      </c>
    </row>
    <row r="814">
      <c r="A814" s="29">
        <f>CONCATENATE("CATEGORY_",SUBSTITUTE(UPPER(Pokemon!B788)," ",""))</f>
        <v/>
      </c>
      <c r="B814" s="29">
        <f>B812</f>
        <v/>
      </c>
      <c r="C814" s="29">
        <f>C812</f>
        <v/>
      </c>
      <c r="D814" s="29">
        <f>D812</f>
        <v/>
      </c>
      <c r="E814" s="29">
        <f>E812</f>
        <v/>
      </c>
      <c r="F814" s="29">
        <f>F812</f>
        <v/>
      </c>
      <c r="G814" s="29">
        <f>G812</f>
        <v/>
      </c>
      <c r="H814" s="29">
        <f>H812</f>
        <v/>
      </c>
      <c r="I814" s="29">
        <f>I812</f>
        <v/>
      </c>
      <c r="J814" s="29">
        <f>J812</f>
        <v/>
      </c>
      <c r="K814" s="29">
        <f>F814</f>
        <v/>
      </c>
    </row>
    <row r="815">
      <c r="A815" s="29">
        <f>CONCATENATE("CATEGORY_",SUBSTITUTE(UPPER(Pokemon!B789)," ",""))</f>
        <v/>
      </c>
      <c r="B815" s="29">
        <f>B812</f>
        <v/>
      </c>
      <c r="C815" s="29">
        <f>C812</f>
        <v/>
      </c>
      <c r="D815" s="29">
        <f>D812</f>
        <v/>
      </c>
      <c r="E815" s="29">
        <f>E812</f>
        <v/>
      </c>
      <c r="F815" s="29">
        <f>F812</f>
        <v/>
      </c>
      <c r="G815" s="29">
        <f>G812</f>
        <v/>
      </c>
      <c r="H815" s="29">
        <f>H812</f>
        <v/>
      </c>
      <c r="I815" s="29">
        <f>I812</f>
        <v/>
      </c>
      <c r="J815" s="29">
        <f>J812</f>
        <v/>
      </c>
      <c r="K815" s="29">
        <f>F815</f>
        <v/>
      </c>
    </row>
    <row r="816">
      <c r="A816" s="29">
        <f>CONCATENATE("CATEGORY_",UPPER(Pokemon!B790))</f>
        <v/>
      </c>
      <c r="B816" s="29" t="inlineStr">
        <is>
          <t>Nebula</t>
        </is>
      </c>
      <c r="C816" s="29" t="inlineStr">
        <is>
          <t>せいうん</t>
        </is>
      </c>
      <c r="D816" s="29" t="inlineStr">
        <is>
          <t>Nébuleuse</t>
        </is>
      </c>
      <c r="E816" s="29">
        <f>B816</f>
        <v/>
      </c>
      <c r="F816" s="29" t="inlineStr">
        <is>
          <t>Nebulosa</t>
        </is>
      </c>
      <c r="G816" s="29">
        <f>F816</f>
        <v/>
      </c>
      <c r="H816" s="29" t="inlineStr">
        <is>
          <t>성운</t>
        </is>
      </c>
      <c r="I816" s="29" t="inlineStr">
        <is>
          <t>星雲</t>
        </is>
      </c>
      <c r="J816" s="29">
        <f>IFERROR(__xludf.DUMMYFUNCTION("GOOGLETRANSLATE(I816, ""zh_HANT"",""zh_HANS"")"),"星云")</f>
        <v/>
      </c>
      <c r="K816" s="29">
        <f>F816</f>
        <v/>
      </c>
    </row>
    <row r="817">
      <c r="A817" s="29">
        <f>CONCATENATE("CATEGORY_",UPPER(Pokemon!B791))</f>
        <v/>
      </c>
      <c r="B817" s="29" t="inlineStr">
        <is>
          <t>Protostar</t>
        </is>
      </c>
      <c r="C817" s="29" t="inlineStr">
        <is>
          <t>げんしせい</t>
        </is>
      </c>
      <c r="D817" s="29" t="inlineStr">
        <is>
          <t>Proto-Étoile</t>
        </is>
      </c>
      <c r="E817" s="29" t="inlineStr">
        <is>
          <t>Urgestirn</t>
        </is>
      </c>
      <c r="F817" s="29" t="inlineStr">
        <is>
          <t>Protostrella</t>
        </is>
      </c>
      <c r="G817" s="29" t="inlineStr">
        <is>
          <t>Protostella</t>
        </is>
      </c>
      <c r="H817" s="29" t="inlineStr">
        <is>
          <t>원시성</t>
        </is>
      </c>
      <c r="I817" s="29" t="inlineStr">
        <is>
          <t>原始星</t>
        </is>
      </c>
      <c r="J817" s="29">
        <f>I817</f>
        <v/>
      </c>
      <c r="K817" s="29">
        <f>F817</f>
        <v/>
      </c>
    </row>
    <row r="818">
      <c r="A818" s="29">
        <f>CONCATENATE("CATEGORY_",UPPER(Pokemon!B792))</f>
        <v/>
      </c>
      <c r="B818" s="29" t="inlineStr">
        <is>
          <t>Sunne</t>
        </is>
      </c>
      <c r="C818" s="29" t="inlineStr">
        <is>
          <t>にちりん</t>
        </is>
      </c>
      <c r="D818" s="29" t="inlineStr">
        <is>
          <t>Halo Solaire</t>
        </is>
      </c>
      <c r="E818" s="29" t="inlineStr">
        <is>
          <t>Sonnenkreis</t>
        </is>
      </c>
      <c r="F818" s="29" t="inlineStr">
        <is>
          <t>Corona Solar</t>
        </is>
      </c>
      <c r="G818" s="29" t="inlineStr">
        <is>
          <t>Solare</t>
        </is>
      </c>
      <c r="H818" s="29" t="inlineStr">
        <is>
          <t>일륜</t>
        </is>
      </c>
      <c r="I818" s="29" t="inlineStr">
        <is>
          <t>日輪</t>
        </is>
      </c>
      <c r="J818" s="29">
        <f>IFERROR(__xludf.DUMMYFUNCTION("GOOGLETRANSLATE(I818, ""zh_HANT"",""zh_HANS"")"),"日轮")</f>
        <v/>
      </c>
      <c r="K818" s="29">
        <f>F818</f>
        <v/>
      </c>
    </row>
    <row r="819">
      <c r="A819" s="29">
        <f>CONCATENATE("CATEGORY_",UPPER(Pokemon!B793))</f>
        <v/>
      </c>
      <c r="B819" s="29" t="inlineStr">
        <is>
          <t>Moone</t>
        </is>
      </c>
      <c r="C819" s="29" t="inlineStr">
        <is>
          <t>がちりん</t>
        </is>
      </c>
      <c r="D819" s="29" t="inlineStr">
        <is>
          <t>Halo Lunaire</t>
        </is>
      </c>
      <c r="E819" s="29" t="inlineStr">
        <is>
          <t>Mondscheibe</t>
        </is>
      </c>
      <c r="F819" s="29" t="inlineStr">
        <is>
          <t>Corona Lunar</t>
        </is>
      </c>
      <c r="G819" s="29" t="inlineStr">
        <is>
          <t>Lunare</t>
        </is>
      </c>
      <c r="H819" s="29" t="inlineStr">
        <is>
          <t>월륜</t>
        </is>
      </c>
      <c r="I819" s="29" t="inlineStr">
        <is>
          <t>月輪</t>
        </is>
      </c>
      <c r="J819" s="29">
        <f>IFERROR(__xludf.DUMMYFUNCTION("GOOGLETRANSLATE(I819, ""zh_HANT"",""zh_HANS"")"),"月轮")</f>
        <v/>
      </c>
      <c r="K819" s="29">
        <f>F819</f>
        <v/>
      </c>
    </row>
    <row r="820">
      <c r="A820" s="29">
        <f>CONCATENATE("CATEGORY_",UPPER(Pokemon!B794))</f>
        <v/>
      </c>
      <c r="B820" s="29" t="inlineStr">
        <is>
          <t>Parasite</t>
        </is>
      </c>
      <c r="C820" s="29" t="inlineStr">
        <is>
          <t>きせい</t>
        </is>
      </c>
      <c r="D820" s="29">
        <f>B820</f>
        <v/>
      </c>
      <c r="E820" s="29" t="inlineStr">
        <is>
          <t>Parasit</t>
        </is>
      </c>
      <c r="F820" s="29" t="inlineStr">
        <is>
          <t>Parásito</t>
        </is>
      </c>
      <c r="G820" s="29" t="inlineStr">
        <is>
          <t>Parassita</t>
        </is>
      </c>
      <c r="H820" s="29" t="inlineStr">
        <is>
          <t>기생</t>
        </is>
      </c>
      <c r="I820" s="29" t="inlineStr">
        <is>
          <t>寄生</t>
        </is>
      </c>
      <c r="J820" s="29">
        <f>I820</f>
        <v/>
      </c>
      <c r="K820" s="29">
        <f>F820</f>
        <v/>
      </c>
    </row>
    <row r="821">
      <c r="A821" s="29">
        <f>CONCATENATE("CATEGORY_",UPPER(Pokemon!B795))</f>
        <v/>
      </c>
      <c r="B821" s="29" t="inlineStr">
        <is>
          <t>Swollen</t>
        </is>
      </c>
      <c r="C821" s="29" t="inlineStr">
        <is>
          <t>ぼうちょう</t>
        </is>
      </c>
      <c r="D821" s="29" t="inlineStr">
        <is>
          <t>Enflé</t>
        </is>
      </c>
      <c r="E821" s="29" t="inlineStr">
        <is>
          <t>Ausdehnung</t>
        </is>
      </c>
      <c r="F821" s="29" t="inlineStr">
        <is>
          <t>Hinchado</t>
        </is>
      </c>
      <c r="G821" s="29" t="inlineStr">
        <is>
          <t>Gonfiacorpo</t>
        </is>
      </c>
      <c r="H821" s="29" t="inlineStr">
        <is>
          <t>팽창</t>
        </is>
      </c>
      <c r="I821" s="29" t="inlineStr">
        <is>
          <t>膨脹</t>
        </is>
      </c>
      <c r="J821" s="29">
        <f>IFERROR(__xludf.DUMMYFUNCTION("GOOGLETRANSLATE(I821, ""zh_HANT"",""zh_HANS"")"),"膨胀")</f>
        <v/>
      </c>
      <c r="K821" s="29">
        <f>F821</f>
        <v/>
      </c>
    </row>
    <row r="822">
      <c r="A822" s="29">
        <f>CONCATENATE("CATEGORY_",UPPER(Pokemon!B796))</f>
        <v/>
      </c>
      <c r="B822" s="29" t="inlineStr">
        <is>
          <t>Lissome</t>
        </is>
      </c>
      <c r="C822" s="29" t="inlineStr">
        <is>
          <t>えんび</t>
        </is>
      </c>
      <c r="D822" s="29" t="inlineStr">
        <is>
          <t>Gracile</t>
        </is>
      </c>
      <c r="E822" s="29" t="inlineStr">
        <is>
          <t>Eleganz</t>
        </is>
      </c>
      <c r="F822" s="29" t="inlineStr">
        <is>
          <t>Elegancia</t>
        </is>
      </c>
      <c r="G822" s="29" t="inlineStr">
        <is>
          <t>Leggiadria</t>
        </is>
      </c>
      <c r="H822" s="29" t="inlineStr">
        <is>
          <t>염미</t>
        </is>
      </c>
      <c r="I822" s="29" t="inlineStr">
        <is>
          <t>美艷</t>
        </is>
      </c>
      <c r="J822" s="29">
        <f>IFERROR(__xludf.DUMMYFUNCTION("GOOGLETRANSLATE(I822, ""zh_HANT"",""zh_HANS"")"),"美艳")</f>
        <v/>
      </c>
      <c r="K822" s="29">
        <f>F822</f>
        <v/>
      </c>
    </row>
    <row r="823">
      <c r="A823" s="29">
        <f>CONCATENATE("CATEGORY_",UPPER(Pokemon!B797))</f>
        <v/>
      </c>
      <c r="B823" s="29" t="inlineStr">
        <is>
          <t>Glowing</t>
        </is>
      </c>
      <c r="C823" s="29" t="inlineStr">
        <is>
          <t>でんしょく</t>
        </is>
      </c>
      <c r="D823" s="29" t="inlineStr">
        <is>
          <t>Luminaire</t>
        </is>
      </c>
      <c r="E823" s="29" t="inlineStr">
        <is>
          <t>Illumination</t>
        </is>
      </c>
      <c r="F823" s="29" t="inlineStr">
        <is>
          <t>Luminaria</t>
        </is>
      </c>
      <c r="G823" s="29">
        <f>F823</f>
        <v/>
      </c>
      <c r="H823" s="29" t="inlineStr">
        <is>
          <t>전기장식</t>
        </is>
      </c>
      <c r="I823" s="29" t="inlineStr">
        <is>
          <t>燈飾</t>
        </is>
      </c>
      <c r="J823" s="29">
        <f>IFERROR(__xludf.DUMMYFUNCTION("GOOGLETRANSLATE(I823, ""zh_HANT"",""zh_HANS"")"),"灯饰")</f>
        <v/>
      </c>
      <c r="K823" s="29">
        <f>F823</f>
        <v/>
      </c>
    </row>
    <row r="824">
      <c r="A824" s="29">
        <f>CONCATENATE("CATEGORY_",UPPER(Pokemon!B798))</f>
        <v/>
      </c>
      <c r="B824" s="29" t="inlineStr">
        <is>
          <t>Launch</t>
        </is>
      </c>
      <c r="C824" s="29" t="inlineStr">
        <is>
          <t>うちあげ</t>
        </is>
      </c>
      <c r="D824" s="29" t="inlineStr">
        <is>
          <t>Décollage</t>
        </is>
      </c>
      <c r="E824" s="29" t="inlineStr">
        <is>
          <t>Raketenstart</t>
        </is>
      </c>
      <c r="F824" s="29" t="inlineStr">
        <is>
          <t>Lanzamiento</t>
        </is>
      </c>
      <c r="G824" s="29" t="inlineStr">
        <is>
          <t>Decollo</t>
        </is>
      </c>
      <c r="H824" s="29" t="inlineStr">
        <is>
          <t>쏴올리기</t>
        </is>
      </c>
      <c r="I824" s="29" t="inlineStr">
        <is>
          <t>發射</t>
        </is>
      </c>
      <c r="J824" s="29">
        <f>IFERROR(__xludf.DUMMYFUNCTION("GOOGLETRANSLATE(I824, ""zh_HANT"",""zh_HANS"")"),"发射")</f>
        <v/>
      </c>
      <c r="K824" s="29">
        <f>F824</f>
        <v/>
      </c>
    </row>
    <row r="825">
      <c r="A825" s="29">
        <f>CONCATENATE("CATEGORY_",UPPER(Pokemon!B799))</f>
        <v/>
      </c>
      <c r="B825" s="29" t="inlineStr">
        <is>
          <t>Drawn Sword</t>
        </is>
      </c>
      <c r="C825" s="29" t="inlineStr">
        <is>
          <t>ばっとう</t>
        </is>
      </c>
      <c r="D825" s="29" t="inlineStr">
        <is>
          <t>Battô</t>
        </is>
      </c>
      <c r="E825" s="29" t="inlineStr">
        <is>
          <t>Schwertkunst</t>
        </is>
      </c>
      <c r="F825" s="29" t="inlineStr">
        <is>
          <t>Desenvaine</t>
        </is>
      </c>
      <c r="G825" s="29" t="inlineStr">
        <is>
          <t>Spadatratta</t>
        </is>
      </c>
      <c r="H825" s="29" t="inlineStr">
        <is>
          <t>발도</t>
        </is>
      </c>
      <c r="I825" s="29" t="inlineStr">
        <is>
          <t>拔刀</t>
        </is>
      </c>
      <c r="J825" s="29">
        <f>I825</f>
        <v/>
      </c>
      <c r="K825" s="29">
        <f>F825</f>
        <v/>
      </c>
    </row>
    <row r="826">
      <c r="A826" s="29">
        <f>CONCATENATE("CATEGORY_",UPPER(Pokemon!B800))</f>
        <v/>
      </c>
      <c r="B826" s="29" t="inlineStr">
        <is>
          <t>Junkivore</t>
        </is>
      </c>
      <c r="C826" s="29" t="inlineStr">
        <is>
          <t>あくじき</t>
        </is>
      </c>
      <c r="D826" s="29" t="inlineStr">
        <is>
          <t>Bizarrovore</t>
        </is>
      </c>
      <c r="E826" s="29" t="inlineStr">
        <is>
          <t>Gaumenfolter</t>
        </is>
      </c>
      <c r="F826" s="29" t="inlineStr">
        <is>
          <t>Tragaldabas</t>
        </is>
      </c>
      <c r="G826" s="29" t="inlineStr">
        <is>
          <t>Divoratutto</t>
        </is>
      </c>
      <c r="H826" s="29" t="inlineStr">
        <is>
          <t>악식성</t>
        </is>
      </c>
      <c r="I826" s="29" t="inlineStr">
        <is>
          <t>異食</t>
        </is>
      </c>
      <c r="J826" s="29">
        <f>IFERROR(__xludf.DUMMYFUNCTION("GOOGLETRANSLATE(I826, ""zh_HANT"",""zh_HANS"")"),"异食")</f>
        <v/>
      </c>
      <c r="K826" s="29">
        <f>F826</f>
        <v/>
      </c>
    </row>
    <row r="827">
      <c r="A827" s="29">
        <f>CONCATENATE("CATEGORY_",UPPER(Pokemon!B801))</f>
        <v/>
      </c>
      <c r="B827" s="29" t="inlineStr">
        <is>
          <t>Prism</t>
        </is>
      </c>
      <c r="C827" s="29" t="inlineStr">
        <is>
          <t>プリズム</t>
        </is>
      </c>
      <c r="D827" s="29">
        <f>CONCATENATE(B827,"e")</f>
        <v/>
      </c>
      <c r="E827" s="29">
        <f>CONCATENATE(B827,"a")</f>
        <v/>
      </c>
      <c r="F827" s="29">
        <f>E827</f>
        <v/>
      </c>
      <c r="G827" s="29">
        <f>E827</f>
        <v/>
      </c>
      <c r="H827" s="29" t="inlineStr">
        <is>
          <t>프리즘</t>
        </is>
      </c>
      <c r="I827" s="29" t="inlineStr">
        <is>
          <t>稜鏡</t>
        </is>
      </c>
      <c r="J827" s="29">
        <f>IFERROR(__xludf.DUMMYFUNCTION("GOOGLETRANSLATE(I827, ""zh_HANT"",""zh_HANS"")"),"稜鏡")</f>
        <v/>
      </c>
      <c r="K827" s="29">
        <f>F827</f>
        <v/>
      </c>
    </row>
    <row r="828">
      <c r="A828" s="29">
        <f>CONCATENATE("CATEGORY_",UPPER(Pokemon!B802))</f>
        <v/>
      </c>
      <c r="B828" s="29" t="inlineStr">
        <is>
          <t>Artificial</t>
        </is>
      </c>
      <c r="C828" s="29" t="inlineStr">
        <is>
          <t>じんぞう</t>
        </is>
      </c>
      <c r="D828" s="29" t="inlineStr">
        <is>
          <t>Artificiel</t>
        </is>
      </c>
      <c r="E828" s="29" t="inlineStr">
        <is>
          <t>Fabrikat</t>
        </is>
      </c>
      <c r="F828" s="29">
        <f>B828</f>
        <v/>
      </c>
      <c r="G828" s="29">
        <f>CONCATENATE(B828,"e")</f>
        <v/>
      </c>
      <c r="H828" s="29" t="inlineStr">
        <is>
          <t>인조</t>
        </is>
      </c>
      <c r="I828" s="29" t="inlineStr">
        <is>
          <t>人造</t>
        </is>
      </c>
      <c r="J828" s="29">
        <f>I828</f>
        <v/>
      </c>
      <c r="K828" s="29">
        <f>F828</f>
        <v/>
      </c>
    </row>
    <row r="829">
      <c r="A829" s="29">
        <f>CONCATENATE("CATEGORY_",UPPER(Pokemon!B803))</f>
        <v/>
      </c>
      <c r="B829" s="29" t="inlineStr">
        <is>
          <t>Gloomdweller</t>
        </is>
      </c>
      <c r="C829" s="29" t="inlineStr">
        <is>
          <t>かげすみ</t>
        </is>
      </c>
      <c r="D829" s="29" t="inlineStr">
        <is>
          <t>Ombrefuge</t>
        </is>
      </c>
      <c r="E829" s="29" t="inlineStr">
        <is>
          <t>Dunkelwesen</t>
        </is>
      </c>
      <c r="F829" s="29" t="inlineStr">
        <is>
          <t>Morasombra</t>
        </is>
      </c>
      <c r="G829" s="29" t="inlineStr">
        <is>
          <t>Vivinombra</t>
        </is>
      </c>
      <c r="H829" s="29" t="inlineStr">
        <is>
          <t>그림자살이</t>
        </is>
      </c>
      <c r="I829" s="29" t="inlineStr">
        <is>
          <t>棲影</t>
        </is>
      </c>
      <c r="J829" s="29">
        <f>IFERROR(__xludf.DUMMYFUNCTION("GOOGLETRANSLATE(I829, ""zh_HANT"",""zh_HANS"")"),"栖影")</f>
        <v/>
      </c>
      <c r="K829" s="29">
        <f>F829</f>
        <v/>
      </c>
    </row>
    <row r="830">
      <c r="A830" s="29">
        <f>CONCATENATE("CATEGORY_",UPPER(Pokemon!B804))</f>
        <v/>
      </c>
      <c r="B830" s="29">
        <f>B30</f>
        <v/>
      </c>
      <c r="C830" s="29">
        <f>C30</f>
        <v/>
      </c>
      <c r="D830" s="29">
        <f>D30</f>
        <v/>
      </c>
      <c r="E830" s="29">
        <f>E30</f>
        <v/>
      </c>
      <c r="F830" s="29">
        <f>F30</f>
        <v/>
      </c>
      <c r="G830" s="29">
        <f>G30</f>
        <v/>
      </c>
      <c r="H830" s="29">
        <f>H30</f>
        <v/>
      </c>
      <c r="I830" s="29">
        <f>I30</f>
        <v/>
      </c>
      <c r="J830" s="29">
        <f>J30</f>
        <v/>
      </c>
      <c r="K830" s="29">
        <f>F830</f>
        <v/>
      </c>
    </row>
    <row r="831">
      <c r="A831" s="29">
        <f>CONCATENATE("CATEGORY_",UPPER(Pokemon!B805))</f>
        <v/>
      </c>
      <c r="B831" s="29">
        <f>B30</f>
        <v/>
      </c>
      <c r="C831" s="29">
        <f>C30</f>
        <v/>
      </c>
      <c r="D831" s="29">
        <f>D30</f>
        <v/>
      </c>
      <c r="E831" s="29">
        <f>E30</f>
        <v/>
      </c>
      <c r="F831" s="29">
        <f>F30</f>
        <v/>
      </c>
      <c r="G831" s="29">
        <f>G30</f>
        <v/>
      </c>
      <c r="H831" s="29">
        <f>H30</f>
        <v/>
      </c>
      <c r="I831" s="29">
        <f>I30</f>
        <v/>
      </c>
      <c r="J831" s="29">
        <f>J30</f>
        <v/>
      </c>
      <c r="K831" s="29">
        <f>F831</f>
        <v/>
      </c>
    </row>
    <row r="832">
      <c r="A832" s="29">
        <f>CONCATENATE("CATEGORY_",UPPER(Pokemon!B806))</f>
        <v/>
      </c>
      <c r="B832" s="29" t="inlineStr">
        <is>
          <t>Rampart</t>
        </is>
      </c>
      <c r="C832" s="29" t="inlineStr">
        <is>
          <t>いしがき</t>
        </is>
      </c>
      <c r="D832" s="29" t="inlineStr">
        <is>
          <t>Muraille</t>
        </is>
      </c>
      <c r="E832" s="29" t="inlineStr">
        <is>
          <t>Steinmauer</t>
        </is>
      </c>
      <c r="F832" s="29" t="inlineStr">
        <is>
          <t>Muro</t>
        </is>
      </c>
      <c r="G832" s="29" t="inlineStr">
        <is>
          <t>Bastione</t>
        </is>
      </c>
      <c r="H832" s="29" t="inlineStr">
        <is>
          <t>돌담</t>
        </is>
      </c>
      <c r="I832" s="29" t="inlineStr">
        <is>
          <t>石牆</t>
        </is>
      </c>
      <c r="J832" s="29">
        <f>IFERROR(__xludf.DUMMYFUNCTION("GOOGLETRANSLATE(I832, ""zh_HANT"",""zh_HANS"")"),"石墙")</f>
        <v/>
      </c>
      <c r="K832" s="29">
        <f>F832</f>
        <v/>
      </c>
    </row>
    <row r="833">
      <c r="A833" s="29">
        <f>CONCATENATE("CATEGORY_",UPPER(Pokemon!B807))</f>
        <v/>
      </c>
      <c r="B833" s="29" t="inlineStr">
        <is>
          <t>Fireworks</t>
        </is>
      </c>
      <c r="C833" s="29" t="inlineStr">
        <is>
          <t>はなび</t>
        </is>
      </c>
      <c r="D833" s="29" t="inlineStr">
        <is>
          <t>Artificier</t>
        </is>
      </c>
      <c r="E833" s="29" t="inlineStr">
        <is>
          <t>Feuerwerk</t>
        </is>
      </c>
      <c r="F833" s="29" t="inlineStr">
        <is>
          <t>Pirotecnia</t>
        </is>
      </c>
      <c r="G833" s="29" t="inlineStr">
        <is>
          <t>Pirotecnico</t>
        </is>
      </c>
      <c r="H833" s="29" t="inlineStr">
        <is>
          <t>불꽃놀이</t>
        </is>
      </c>
      <c r="I833" s="29" t="inlineStr">
        <is>
          <t>煙火</t>
        </is>
      </c>
      <c r="J833" s="29">
        <f>IFERROR(__xludf.DUMMYFUNCTION("GOOGLETRANSLATE(I833, ""zh_HANT"",""zh_HANS"")"),"烟花")</f>
        <v/>
      </c>
      <c r="K833" s="29">
        <f>F833</f>
        <v/>
      </c>
    </row>
    <row r="834">
      <c r="A834" s="29">
        <f>CONCATENATE("CATEGORY_",UPPER(Pokemon!B808))</f>
        <v/>
      </c>
      <c r="B834" s="29" t="inlineStr">
        <is>
          <t>Thunderclap</t>
        </is>
      </c>
      <c r="C834" s="29" t="inlineStr">
        <is>
          <t>じんらい</t>
        </is>
      </c>
      <c r="D834" s="29" t="inlineStr">
        <is>
          <t>Vif Éclair</t>
        </is>
      </c>
      <c r="E834" s="29" t="inlineStr">
        <is>
          <t>Blitzsturm</t>
        </is>
      </c>
      <c r="F834" s="29" t="inlineStr">
        <is>
          <t>Fulgor</t>
        </is>
      </c>
      <c r="G834" s="29" t="inlineStr">
        <is>
          <t>Fulmirapido</t>
        </is>
      </c>
      <c r="H834" s="29" t="inlineStr">
        <is>
          <t>신뢰</t>
        </is>
      </c>
      <c r="I834" s="29" t="inlineStr">
        <is>
          <t>奔雷</t>
        </is>
      </c>
      <c r="J834" s="29">
        <f>I834</f>
        <v/>
      </c>
      <c r="K834" s="29">
        <f>F834</f>
        <v/>
      </c>
    </row>
    <row r="835">
      <c r="A835" s="29">
        <f>CONCATENATE("CATEGORY_",UPPER(Pokemon!B809))</f>
        <v/>
      </c>
      <c r="B835" s="29" t="inlineStr">
        <is>
          <t>Hex Nut</t>
        </is>
      </c>
      <c r="C835" s="29" t="inlineStr">
        <is>
          <t>ナット</t>
        </is>
      </c>
      <c r="D835" s="29" t="inlineStr">
        <is>
          <t>Écrou</t>
        </is>
      </c>
      <c r="E835" s="29" t="inlineStr">
        <is>
          <t>Mutter</t>
        </is>
      </c>
      <c r="F835" s="29" t="inlineStr">
        <is>
          <t>Tuerca</t>
        </is>
      </c>
      <c r="G835" s="29" t="inlineStr">
        <is>
          <t>Bullone</t>
        </is>
      </c>
      <c r="H835" s="29" t="inlineStr">
        <is>
          <t>너트</t>
        </is>
      </c>
      <c r="I835" s="29" t="inlineStr">
        <is>
          <t>螺帽</t>
        </is>
      </c>
      <c r="J835" s="29">
        <f>I835</f>
        <v/>
      </c>
      <c r="K835" s="29">
        <f>F835</f>
        <v/>
      </c>
    </row>
    <row r="836">
      <c r="A836" s="29">
        <f>CONCATENATE("CATEGORY_",UPPER(Pokemon!B810))</f>
        <v/>
      </c>
      <c r="B836" s="29">
        <f>B835</f>
        <v/>
      </c>
      <c r="C836" s="29">
        <f>C835</f>
        <v/>
      </c>
      <c r="D836" s="29">
        <f>D835</f>
        <v/>
      </c>
      <c r="E836" s="29">
        <f>E835</f>
        <v/>
      </c>
      <c r="F836" s="29">
        <f>F835</f>
        <v/>
      </c>
      <c r="G836" s="29">
        <f>G835</f>
        <v/>
      </c>
      <c r="H836" s="29">
        <f>H835</f>
        <v/>
      </c>
      <c r="I836" s="29">
        <f>I835</f>
        <v/>
      </c>
      <c r="J836" s="29">
        <f>J835</f>
        <v/>
      </c>
      <c r="K836" s="29">
        <f>F836</f>
        <v/>
      </c>
    </row>
    <row r="837">
      <c r="A837" s="29">
        <f>CONCATENATE("CATEGORY_",UPPER(Pokemon!B811))</f>
        <v/>
      </c>
      <c r="B837" s="29">
        <f>B404</f>
        <v/>
      </c>
      <c r="C837" s="29">
        <f>C404</f>
        <v/>
      </c>
      <c r="D837" s="29">
        <f>D404</f>
        <v/>
      </c>
      <c r="E837" s="29">
        <f>E404</f>
        <v/>
      </c>
      <c r="F837" s="29">
        <f>F404</f>
        <v/>
      </c>
      <c r="G837" s="29">
        <f>G404</f>
        <v/>
      </c>
      <c r="H837" s="29">
        <f>H404</f>
        <v/>
      </c>
      <c r="I837" s="29">
        <f>I404</f>
        <v/>
      </c>
      <c r="J837" s="29">
        <f>J404</f>
        <v/>
      </c>
      <c r="K837" s="29">
        <f>F837</f>
        <v/>
      </c>
    </row>
    <row r="838">
      <c r="A838" s="29">
        <f>CONCATENATE("CATEGORY_",UPPER(Pokemon!B812))</f>
        <v/>
      </c>
      <c r="B838" s="29" t="inlineStr">
        <is>
          <t>Beat</t>
        </is>
      </c>
      <c r="C838" s="29" t="inlineStr">
        <is>
          <t>ビート</t>
        </is>
      </c>
      <c r="D838" s="29" t="inlineStr">
        <is>
          <t>Percussions</t>
        </is>
      </c>
      <c r="E838" s="29">
        <f>B838</f>
        <v/>
      </c>
      <c r="F838" s="29" t="inlineStr">
        <is>
          <t>Ritmo</t>
        </is>
      </c>
      <c r="G838" s="29">
        <f>F838</f>
        <v/>
      </c>
      <c r="H838" s="29" t="inlineStr">
        <is>
          <t>비트</t>
        </is>
      </c>
      <c r="I838" s="29" t="inlineStr">
        <is>
          <t>節拍</t>
        </is>
      </c>
      <c r="J838" s="29">
        <f>IFERROR(__xludf.DUMMYFUNCTION("GOOGLETRANSLATE(I838, ""zh_HANT"",""zh_HANS"")"),"节拍")</f>
        <v/>
      </c>
      <c r="K838" s="29">
        <f>F838</f>
        <v/>
      </c>
    </row>
    <row r="839">
      <c r="A839" s="29">
        <f>CONCATENATE("CATEGORY_",UPPER(Pokemon!B813))</f>
        <v/>
      </c>
      <c r="B839" s="29" t="inlineStr">
        <is>
          <t>Drummer</t>
        </is>
      </c>
      <c r="C839" s="29" t="inlineStr">
        <is>
          <t>ドラマー</t>
        </is>
      </c>
      <c r="D839" s="29" t="inlineStr">
        <is>
          <t>Batteur</t>
        </is>
      </c>
      <c r="E839" s="29">
        <f>B839</f>
        <v/>
      </c>
      <c r="F839" s="29" t="inlineStr">
        <is>
          <t>Percusión</t>
        </is>
      </c>
      <c r="G839" s="29" t="inlineStr">
        <is>
          <t>Percussione</t>
        </is>
      </c>
      <c r="H839" s="29" t="inlineStr">
        <is>
          <t>드러머</t>
        </is>
      </c>
      <c r="I839" s="29" t="inlineStr">
        <is>
          <t>鼓手</t>
        </is>
      </c>
      <c r="J839" s="29">
        <f>IFERROR(__xludf.DUMMYFUNCTION("GOOGLETRANSLATE(I839, ""zh_HANT"",""zh_HANS"")"),"鼓手")</f>
        <v/>
      </c>
      <c r="K839" s="29">
        <f>F839</f>
        <v/>
      </c>
    </row>
    <row r="840">
      <c r="A840" s="29">
        <f>CONCATENATE("CATEGORY_",UPPER(Pokemon!B814))</f>
        <v/>
      </c>
      <c r="B840" s="29">
        <f>B441</f>
        <v/>
      </c>
      <c r="C840" s="29">
        <f>C441</f>
        <v/>
      </c>
      <c r="D840" s="29">
        <f>D441</f>
        <v/>
      </c>
      <c r="E840" s="29">
        <f>E441</f>
        <v/>
      </c>
      <c r="F840" s="29">
        <f>F441</f>
        <v/>
      </c>
      <c r="G840" s="29">
        <f>G441</f>
        <v/>
      </c>
      <c r="H840" s="29">
        <f>H441</f>
        <v/>
      </c>
      <c r="I840" s="29">
        <f>I441</f>
        <v/>
      </c>
      <c r="J840" s="29">
        <f>J441</f>
        <v/>
      </c>
      <c r="K840" s="29">
        <f>F840</f>
        <v/>
      </c>
    </row>
    <row r="841">
      <c r="A841" s="29">
        <f>CONCATENATE("CATEGORY_",UPPER(Pokemon!B815))</f>
        <v/>
      </c>
      <c r="B841" s="29">
        <f>B441</f>
        <v/>
      </c>
      <c r="C841" s="29">
        <f>C441</f>
        <v/>
      </c>
      <c r="D841" s="29">
        <f>D441</f>
        <v/>
      </c>
      <c r="E841" s="29">
        <f>E441</f>
        <v/>
      </c>
      <c r="F841" s="29">
        <f>F441</f>
        <v/>
      </c>
      <c r="G841" s="29">
        <f>G441</f>
        <v/>
      </c>
      <c r="H841" s="29">
        <f>H441</f>
        <v/>
      </c>
      <c r="I841" s="29">
        <f>I441</f>
        <v/>
      </c>
      <c r="J841" s="29">
        <f>J441</f>
        <v/>
      </c>
      <c r="K841" s="29">
        <f>F841</f>
        <v/>
      </c>
    </row>
    <row r="842">
      <c r="A842" s="29">
        <f>CONCATENATE("CATEGORY_",UPPER(Pokemon!B816))</f>
        <v/>
      </c>
      <c r="B842" s="29" t="inlineStr">
        <is>
          <t>Striker</t>
        </is>
      </c>
      <c r="C842" s="29" t="inlineStr">
        <is>
          <t>ストライカー</t>
        </is>
      </c>
      <c r="D842" s="29" t="inlineStr">
        <is>
          <t>Buteur</t>
        </is>
      </c>
      <c r="E842" s="29" t="inlineStr">
        <is>
          <t>Torschützen</t>
        </is>
      </c>
      <c r="F842" s="29" t="inlineStr">
        <is>
          <t>Delantero</t>
        </is>
      </c>
      <c r="G842" s="29" t="inlineStr">
        <is>
          <t>Cannoniere</t>
        </is>
      </c>
      <c r="H842" s="29" t="inlineStr">
        <is>
          <t>스트라이커</t>
        </is>
      </c>
      <c r="I842" s="29" t="inlineStr">
        <is>
          <t>前鋒</t>
        </is>
      </c>
      <c r="J842" s="29">
        <f>IFERROR(__xludf.DUMMYFUNCTION("GOOGLETRANSLATE(I842, ""zh_HANT"",""zh_HANS"")"),"前锋")</f>
        <v/>
      </c>
      <c r="K842" s="29">
        <f>F842</f>
        <v/>
      </c>
    </row>
    <row r="843">
      <c r="A843" s="29">
        <f>CONCATENATE("CATEGORY_",UPPER(Pokemon!B817))</f>
        <v/>
      </c>
      <c r="B843" s="29" t="inlineStr">
        <is>
          <t>Water Lizard</t>
        </is>
      </c>
      <c r="C843" s="29" t="inlineStr">
        <is>
          <t>みずとがげ</t>
        </is>
      </c>
      <c r="D843" s="29" t="inlineStr">
        <is>
          <t>Lézard'Eau</t>
        </is>
      </c>
      <c r="E843" s="29" t="inlineStr">
        <is>
          <t>Wasserechse</t>
        </is>
      </c>
      <c r="F843" s="29" t="inlineStr">
        <is>
          <t>Acuartija</t>
        </is>
      </c>
      <c r="G843" s="29" t="inlineStr">
        <is>
          <t>Acquacertola</t>
        </is>
      </c>
      <c r="H843" s="29" t="inlineStr">
        <is>
          <t>물도마뱀</t>
        </is>
      </c>
      <c r="I843" s="29" t="inlineStr">
        <is>
          <t>水蜥</t>
        </is>
      </c>
      <c r="J843" s="29">
        <f>I843</f>
        <v/>
      </c>
      <c r="K843" s="29">
        <f>F843</f>
        <v/>
      </c>
    </row>
    <row r="844">
      <c r="A844" s="29">
        <f>CONCATENATE("CATEGORY_",UPPER(Pokemon!B818))</f>
        <v/>
      </c>
      <c r="B844" s="29">
        <f>B843</f>
        <v/>
      </c>
      <c r="C844" s="29">
        <f>C843</f>
        <v/>
      </c>
      <c r="D844" s="29">
        <f>D843</f>
        <v/>
      </c>
      <c r="E844" s="29">
        <f>E843</f>
        <v/>
      </c>
      <c r="F844" s="29">
        <f>F843</f>
        <v/>
      </c>
      <c r="G844" s="29">
        <f>G843</f>
        <v/>
      </c>
      <c r="H844" s="29">
        <f>H843</f>
        <v/>
      </c>
      <c r="I844" s="29">
        <f>I843</f>
        <v/>
      </c>
      <c r="J844" s="29">
        <f>J843</f>
        <v/>
      </c>
      <c r="K844" s="29">
        <f>F844</f>
        <v/>
      </c>
    </row>
    <row r="845">
      <c r="A845" s="29">
        <f>CONCATENATE("CATEGORY_",UPPER(Pokemon!B819))</f>
        <v/>
      </c>
      <c r="B845" s="29" t="inlineStr">
        <is>
          <t>Secret Agent</t>
        </is>
      </c>
      <c r="C845" s="29" t="inlineStr">
        <is>
          <t>エージェント</t>
        </is>
      </c>
      <c r="D845" s="29" t="inlineStr">
        <is>
          <t>Agent Secret</t>
        </is>
      </c>
      <c r="E845" s="29" t="inlineStr">
        <is>
          <t>Geheimagenten</t>
        </is>
      </c>
      <c r="F845" s="29" t="inlineStr">
        <is>
          <t>Agente</t>
        </is>
      </c>
      <c r="G845" s="29">
        <f>F845</f>
        <v/>
      </c>
      <c r="H845" s="29" t="inlineStr">
        <is>
          <t>에이전트</t>
        </is>
      </c>
      <c r="I845" s="29" t="inlineStr">
        <is>
          <t>特工</t>
        </is>
      </c>
      <c r="J845" s="29">
        <f>I845</f>
        <v/>
      </c>
      <c r="K845" s="29">
        <f>F845</f>
        <v/>
      </c>
    </row>
    <row r="846">
      <c r="A846" s="29">
        <f>CONCATENATE("CATEGORY_",UPPER(Pokemon!B820))</f>
        <v/>
      </c>
      <c r="B846" s="29" t="inlineStr">
        <is>
          <t>Cheeky</t>
        </is>
      </c>
      <c r="C846" s="29" t="inlineStr">
        <is>
          <t>ほおばり</t>
        </is>
      </c>
      <c r="D846" s="29" t="inlineStr">
        <is>
          <t>Joufflu</t>
        </is>
      </c>
      <c r="E846" s="29" t="inlineStr">
        <is>
          <t>Raffbacken</t>
        </is>
      </c>
      <c r="F846" s="29" t="inlineStr">
        <is>
          <t>Abazón</t>
        </is>
      </c>
      <c r="G846" s="29" t="inlineStr">
        <is>
          <t>Guancepiene</t>
        </is>
      </c>
      <c r="H846" s="29" t="inlineStr">
        <is>
          <t>볼가득</t>
        </is>
      </c>
      <c r="I846" s="29" t="inlineStr">
        <is>
          <t>貪吃</t>
        </is>
      </c>
      <c r="J846" s="29">
        <f>IFERROR(__xludf.DUMMYFUNCTION("GOOGLETRANSLATE(I846, ""zh_HANT"",""zh_HANS"")"),"贪吃")</f>
        <v/>
      </c>
      <c r="K846" s="29">
        <f>F846</f>
        <v/>
      </c>
    </row>
    <row r="847">
      <c r="A847" s="29">
        <f>CONCATENATE("CATEGORY_",UPPER(Pokemon!B821))</f>
        <v/>
      </c>
      <c r="B847" s="29" t="inlineStr">
        <is>
          <t>Greedy</t>
        </is>
      </c>
      <c r="C847" s="29" t="inlineStr">
        <is>
          <t>よくばり</t>
        </is>
      </c>
      <c r="D847" s="29" t="inlineStr">
        <is>
          <t>Goulu</t>
        </is>
      </c>
      <c r="E847" s="29" t="inlineStr">
        <is>
          <t>Gierschlund</t>
        </is>
      </c>
      <c r="F847" s="29" t="inlineStr">
        <is>
          <t>Avaricia</t>
        </is>
      </c>
      <c r="G847" s="29" t="inlineStr">
        <is>
          <t>Ingordigia</t>
        </is>
      </c>
      <c r="H847" s="29" t="inlineStr">
        <is>
          <t>욕심쟁이</t>
        </is>
      </c>
      <c r="I847" s="29" t="inlineStr">
        <is>
          <t>貪慾</t>
        </is>
      </c>
      <c r="J847" s="29">
        <f>IFERROR(__xludf.DUMMYFUNCTION("GOOGLETRANSLATE(I847, ""zh_HANT"",""zh_HANS"")"),"贪欲")</f>
        <v/>
      </c>
      <c r="K847" s="29">
        <f>F847</f>
        <v/>
      </c>
    </row>
    <row r="848">
      <c r="A848" s="29">
        <f>CONCATENATE("CATEGORY_",UPPER(Pokemon!B822))</f>
        <v/>
      </c>
      <c r="B848" s="29">
        <f>B17</f>
        <v/>
      </c>
      <c r="C848" s="29">
        <f>C17</f>
        <v/>
      </c>
      <c r="D848" s="29">
        <f>D17</f>
        <v/>
      </c>
      <c r="E848" s="29">
        <f>E17</f>
        <v/>
      </c>
      <c r="F848" s="29">
        <f>F17</f>
        <v/>
      </c>
      <c r="G848" s="29">
        <f>G17</f>
        <v/>
      </c>
      <c r="H848" s="29">
        <f>H17</f>
        <v/>
      </c>
      <c r="I848" s="29">
        <f>I17</f>
        <v/>
      </c>
      <c r="J848" s="29">
        <f>J17</f>
        <v/>
      </c>
      <c r="K848" s="29">
        <f>F848</f>
        <v/>
      </c>
    </row>
    <row r="849">
      <c r="A849" s="29">
        <f>CONCATENATE("CATEGORY_",UPPER(Pokemon!B823))</f>
        <v/>
      </c>
      <c r="B849" s="29" t="inlineStr">
        <is>
          <t>Raven</t>
        </is>
      </c>
      <c r="C849" s="29" t="inlineStr">
        <is>
          <t>カラス</t>
        </is>
      </c>
      <c r="D849" s="29" t="inlineStr">
        <is>
          <t>Corbeau</t>
        </is>
      </c>
      <c r="E849" s="29" t="inlineStr">
        <is>
          <t>Krähe</t>
        </is>
      </c>
      <c r="F849" s="29" t="inlineStr">
        <is>
          <t>Cuervo</t>
        </is>
      </c>
      <c r="G849" s="29" t="inlineStr">
        <is>
          <t>Corvo</t>
        </is>
      </c>
      <c r="H849" s="29" t="inlineStr">
        <is>
          <t>까마귀</t>
        </is>
      </c>
      <c r="I849" s="29" t="inlineStr">
        <is>
          <t>烏鴉</t>
        </is>
      </c>
      <c r="J849" s="29">
        <f>IFERROR(__xludf.DUMMYFUNCTION("GOOGLETRANSLATE(I849, ""zh_HANT"",""zh_HANS"")"),"乌鸦")</f>
        <v/>
      </c>
      <c r="K849" s="29">
        <f>F849</f>
        <v/>
      </c>
    </row>
    <row r="850">
      <c r="A850" s="29">
        <f>CONCATENATE("CATEGORY_",UPPER(Pokemon!B824))</f>
        <v/>
      </c>
      <c r="B850" s="29">
        <f>B849</f>
        <v/>
      </c>
      <c r="C850" s="29">
        <f>C849</f>
        <v/>
      </c>
      <c r="D850" s="29">
        <f>D849</f>
        <v/>
      </c>
      <c r="E850" s="29">
        <f>E849</f>
        <v/>
      </c>
      <c r="F850" s="29">
        <f>F849</f>
        <v/>
      </c>
      <c r="G850" s="29">
        <f>G849</f>
        <v/>
      </c>
      <c r="H850" s="29">
        <f>H849</f>
        <v/>
      </c>
      <c r="I850" s="29">
        <f>I849</f>
        <v/>
      </c>
      <c r="J850" s="29">
        <f>J849</f>
        <v/>
      </c>
      <c r="K850" s="29">
        <f>F850</f>
        <v/>
      </c>
    </row>
    <row r="851">
      <c r="A851" s="29">
        <f>CONCATENATE("CATEGORY_",UPPER(Pokemon!B825))</f>
        <v/>
      </c>
      <c r="B851" s="29">
        <f>B762</f>
        <v/>
      </c>
      <c r="C851" s="29">
        <f>C762</f>
        <v/>
      </c>
      <c r="D851" s="29">
        <f>D762</f>
        <v/>
      </c>
      <c r="E851" s="29">
        <f>E762</f>
        <v/>
      </c>
      <c r="F851" s="29">
        <f>F762</f>
        <v/>
      </c>
      <c r="G851" s="29">
        <f>G762</f>
        <v/>
      </c>
      <c r="H851" s="29">
        <f>H762</f>
        <v/>
      </c>
      <c r="I851" s="29">
        <f>I762</f>
        <v/>
      </c>
      <c r="J851" s="29">
        <f>J762</f>
        <v/>
      </c>
      <c r="K851" s="29">
        <f>F851</f>
        <v/>
      </c>
    </row>
    <row r="852">
      <c r="A852" s="29">
        <f>CONCATENATE("CATEGORY_",UPPER(Pokemon!B826))</f>
        <v/>
      </c>
      <c r="B852" s="29" t="inlineStr">
        <is>
          <t>Radome</t>
        </is>
      </c>
      <c r="C852" s="29" t="inlineStr">
        <is>
          <t>レドーム</t>
        </is>
      </c>
      <c r="D852" s="29" t="inlineStr">
        <is>
          <t>Radôme</t>
        </is>
      </c>
      <c r="E852" s="29" t="inlineStr">
        <is>
          <t>Radarkuppel</t>
        </is>
      </c>
      <c r="F852" s="29" t="inlineStr">
        <is>
          <t>Radomo</t>
        </is>
      </c>
      <c r="G852" s="29">
        <f>B852</f>
        <v/>
      </c>
      <c r="H852" s="29" t="inlineStr">
        <is>
          <t>레이돔</t>
        </is>
      </c>
      <c r="I852" s="29" t="inlineStr">
        <is>
          <t>天線罩</t>
        </is>
      </c>
      <c r="J852" s="29">
        <f>IFERROR(__xludf.DUMMYFUNCTION("GOOGLETRANSLATE(I852, ""zh_HANT"",""zh_HANS"")"),"天线罩")</f>
        <v/>
      </c>
      <c r="K852" s="29">
        <f>F852</f>
        <v/>
      </c>
    </row>
    <row r="853">
      <c r="A853" s="29">
        <f>CONCATENATE("CATEGORY_",UPPER(Pokemon!B827))</f>
        <v/>
      </c>
      <c r="B853" s="29" t="inlineStr">
        <is>
          <t>Seven Spot</t>
        </is>
      </c>
      <c r="C853" s="29" t="inlineStr">
        <is>
          <t>ななほし</t>
        </is>
      </c>
      <c r="D853" s="29" t="inlineStr">
        <is>
          <t>Sept Points</t>
        </is>
      </c>
      <c r="E853" s="29" t="inlineStr">
        <is>
          <t>Siebensterne</t>
        </is>
      </c>
      <c r="F853" s="29" t="inlineStr">
        <is>
          <t>Siete Puntos</t>
        </is>
      </c>
      <c r="G853" s="29" t="inlineStr">
        <is>
          <t>Settepunti</t>
        </is>
      </c>
      <c r="H853" s="29" t="inlineStr">
        <is>
          <t>칠성</t>
        </is>
      </c>
      <c r="I853" s="29" t="inlineStr">
        <is>
          <t>七星</t>
        </is>
      </c>
      <c r="J853" s="29">
        <f>I853</f>
        <v/>
      </c>
      <c r="K853" s="29">
        <f>F853</f>
        <v/>
      </c>
    </row>
    <row r="854">
      <c r="A854" s="29">
        <f>CONCATENATE("CATEGORY_",UPPER(Pokemon!B828))</f>
        <v/>
      </c>
      <c r="B854" s="29">
        <f>B38</f>
        <v/>
      </c>
      <c r="C854" s="29">
        <f>C38</f>
        <v/>
      </c>
      <c r="D854" s="29">
        <f>D38</f>
        <v/>
      </c>
      <c r="E854" s="29">
        <f>E38</f>
        <v/>
      </c>
      <c r="F854" s="29">
        <f>F38</f>
        <v/>
      </c>
      <c r="G854" s="29">
        <f>G38</f>
        <v/>
      </c>
      <c r="H854" s="29">
        <f>H38</f>
        <v/>
      </c>
      <c r="I854" s="29">
        <f>I38</f>
        <v/>
      </c>
      <c r="J854" s="29">
        <f>J38</f>
        <v/>
      </c>
      <c r="K854" s="29">
        <f>F854</f>
        <v/>
      </c>
    </row>
    <row r="855">
      <c r="A855" s="29">
        <f>CONCATENATE("CATEGORY_",UPPER(Pokemon!B829))</f>
        <v/>
      </c>
      <c r="B855" s="29">
        <f>B38</f>
        <v/>
      </c>
      <c r="C855" s="29">
        <f>C38</f>
        <v/>
      </c>
      <c r="D855" s="29">
        <f>D38</f>
        <v/>
      </c>
      <c r="E855" s="29">
        <f>E38</f>
        <v/>
      </c>
      <c r="F855" s="29">
        <f>F38</f>
        <v/>
      </c>
      <c r="G855" s="29">
        <f>G38</f>
        <v/>
      </c>
      <c r="H855" s="29">
        <f>H38</f>
        <v/>
      </c>
      <c r="I855" s="29">
        <f>I38</f>
        <v/>
      </c>
      <c r="J855" s="29">
        <f>J38</f>
        <v/>
      </c>
      <c r="K855" s="29">
        <f>F855</f>
        <v/>
      </c>
    </row>
    <row r="856">
      <c r="A856" s="29">
        <f>CONCATENATE("CATEGORY_",UPPER(Pokemon!B830))</f>
        <v/>
      </c>
      <c r="B856" s="29">
        <f>B564</f>
        <v/>
      </c>
      <c r="C856" s="29">
        <f>C564</f>
        <v/>
      </c>
      <c r="D856" s="29">
        <f>D564</f>
        <v/>
      </c>
      <c r="E856" s="29">
        <f>E564</f>
        <v/>
      </c>
      <c r="F856" s="29">
        <f>F564</f>
        <v/>
      </c>
      <c r="G856" s="29">
        <f>G564</f>
        <v/>
      </c>
      <c r="H856" s="29">
        <f>H564</f>
        <v/>
      </c>
      <c r="I856" s="29">
        <f>I564</f>
        <v/>
      </c>
      <c r="J856" s="29">
        <f>J564</f>
        <v/>
      </c>
      <c r="K856" s="29">
        <f>F856</f>
        <v/>
      </c>
    </row>
    <row r="857">
      <c r="A857" s="29">
        <f>CONCATENATE("CATEGORY_",UPPER(Pokemon!B831))</f>
        <v/>
      </c>
      <c r="B857" s="29" t="inlineStr">
        <is>
          <t>Cotton Bloom</t>
        </is>
      </c>
      <c r="C857" s="29" t="inlineStr">
        <is>
          <t>わたかざり</t>
        </is>
      </c>
      <c r="D857" s="29" t="inlineStr">
        <is>
          <t>Chef-Coton</t>
        </is>
      </c>
      <c r="E857" s="29" t="inlineStr">
        <is>
          <t>Baumwollzier</t>
        </is>
      </c>
      <c r="F857" s="29" t="inlineStr">
        <is>
          <t>Adornalgodón</t>
        </is>
      </c>
      <c r="G857" s="29" t="inlineStr">
        <is>
          <t>Cotofronzolo</t>
        </is>
      </c>
      <c r="H857" s="29" t="inlineStr">
        <is>
          <t>솜장식</t>
        </is>
      </c>
      <c r="I857" s="29" t="inlineStr">
        <is>
          <t>棉飾</t>
        </is>
      </c>
      <c r="J857" s="29">
        <f>IFERROR(__xludf.DUMMYFUNCTION("GOOGLETRANSLATE(I857, ""zh_HANT"",""zh_HANS"")"),"棉饰")</f>
        <v/>
      </c>
      <c r="K857" s="29">
        <f>F857</f>
        <v/>
      </c>
    </row>
    <row r="858">
      <c r="A858" s="29">
        <f>CONCATENATE("CATEGORY_",UPPER(Pokemon!B832))</f>
        <v/>
      </c>
      <c r="B858" s="29" t="inlineStr">
        <is>
          <t>Sheep</t>
        </is>
      </c>
      <c r="C858" s="29" t="inlineStr">
        <is>
          <t>ひつじ</t>
        </is>
      </c>
      <c r="D858" s="29" t="inlineStr">
        <is>
          <t>Mouton</t>
        </is>
      </c>
      <c r="E858" s="29" t="inlineStr">
        <is>
          <t>Schaf</t>
        </is>
      </c>
      <c r="F858" s="29" t="inlineStr">
        <is>
          <t>Oveja</t>
        </is>
      </c>
      <c r="G858" s="29" t="inlineStr">
        <is>
          <t>Pecora</t>
        </is>
      </c>
      <c r="H858" s="29" t="inlineStr">
        <is>
          <t>양</t>
        </is>
      </c>
      <c r="I858" s="29" t="inlineStr">
        <is>
          <t>綿羊</t>
        </is>
      </c>
      <c r="J858" s="29">
        <f>IFERROR(__xludf.DUMMYFUNCTION("GOOGLETRANSLATE(I858, ""zh_HANT"",""zh_HANS"")"),"绵羊")</f>
        <v/>
      </c>
      <c r="K858" s="29">
        <f>F858</f>
        <v/>
      </c>
    </row>
    <row r="859">
      <c r="A859" s="29">
        <f>CONCATENATE("CATEGORY_",UPPER(Pokemon!B833))</f>
        <v/>
      </c>
      <c r="B859" s="29">
        <f>B858</f>
        <v/>
      </c>
      <c r="C859" s="29">
        <f>C858</f>
        <v/>
      </c>
      <c r="D859" s="29">
        <f>D858</f>
        <v/>
      </c>
      <c r="E859" s="29">
        <f>E858</f>
        <v/>
      </c>
      <c r="F859" s="29">
        <f>F858</f>
        <v/>
      </c>
      <c r="G859" s="29">
        <f>G858</f>
        <v/>
      </c>
      <c r="H859" s="29">
        <f>H858</f>
        <v/>
      </c>
      <c r="I859" s="29">
        <f>I858</f>
        <v/>
      </c>
      <c r="J859" s="29">
        <f>J858</f>
        <v/>
      </c>
      <c r="K859" s="29">
        <f>F859</f>
        <v/>
      </c>
    </row>
    <row r="860">
      <c r="A860" s="29">
        <f>CONCATENATE("CATEGORY_",UPPER(Pokemon!B834))</f>
        <v/>
      </c>
      <c r="B860" s="29" t="inlineStr">
        <is>
          <t>Snapping</t>
        </is>
      </c>
      <c r="C860" s="29" t="inlineStr">
        <is>
          <t>くりつき</t>
        </is>
      </c>
      <c r="D860" s="29" t="inlineStr">
        <is>
          <t>Mordillage</t>
        </is>
      </c>
      <c r="E860" s="29" t="inlineStr">
        <is>
          <t>Schnapp</t>
        </is>
      </c>
      <c r="F860" s="29" t="inlineStr">
        <is>
          <t>Mordedura</t>
        </is>
      </c>
      <c r="G860" s="29" t="inlineStr">
        <is>
          <t>Mordace</t>
        </is>
      </c>
      <c r="H860" s="29" t="inlineStr">
        <is>
          <t>물고늘어지기</t>
        </is>
      </c>
      <c r="I860" s="29">
        <f>Moves!I45</f>
        <v/>
      </c>
      <c r="J860" s="29">
        <f>Moves!J45</f>
        <v/>
      </c>
      <c r="K860" s="29">
        <f>F860</f>
        <v/>
      </c>
    </row>
    <row r="861">
      <c r="A861" s="29">
        <f>CONCATENATE("CATEGORY_",UPPER(Pokemon!B835))</f>
        <v/>
      </c>
      <c r="B861" s="29">
        <f>Moves!B45</f>
        <v/>
      </c>
      <c r="C861" s="29">
        <f>Moves!C45</f>
        <v/>
      </c>
      <c r="D861" s="29">
        <f>Moves!D45</f>
        <v/>
      </c>
      <c r="E861" s="29">
        <f>Moves!E45</f>
        <v/>
      </c>
      <c r="F861" s="29">
        <f>Moves!F45</f>
        <v/>
      </c>
      <c r="G861" s="29">
        <f>Moves!G45</f>
        <v/>
      </c>
      <c r="H861" s="29" t="inlineStr">
        <is>
          <t>물어뜯기</t>
        </is>
      </c>
      <c r="I861" s="29" t="inlineStr">
        <is>
          <t>緊咬</t>
        </is>
      </c>
      <c r="J861" s="29">
        <f>IFERROR(__xludf.DUMMYFUNCTION("GOOGLETRANSLATE(I861, ""zh_HANT"",""zh_HANS"")"),"紧咬")</f>
        <v/>
      </c>
      <c r="K861" s="29">
        <f>F861</f>
        <v/>
      </c>
    </row>
    <row r="862">
      <c r="A862" s="29">
        <f>CONCATENATE("CATEGORY_",UPPER(Pokemon!B836))</f>
        <v/>
      </c>
      <c r="B862" s="29">
        <f>B59</f>
        <v/>
      </c>
      <c r="C862" s="29">
        <f>C59</f>
        <v/>
      </c>
      <c r="D862" s="29">
        <f>D59</f>
        <v/>
      </c>
      <c r="E862" s="29">
        <f>E59</f>
        <v/>
      </c>
      <c r="F862" s="29">
        <f>F59</f>
        <v/>
      </c>
      <c r="G862" s="29">
        <f>G59</f>
        <v/>
      </c>
      <c r="H862" s="29">
        <f>H59</f>
        <v/>
      </c>
      <c r="I862" s="29">
        <f>I59</f>
        <v/>
      </c>
      <c r="J862" s="29">
        <f>J59</f>
        <v/>
      </c>
      <c r="K862" s="29">
        <f>F862</f>
        <v/>
      </c>
    </row>
    <row r="863">
      <c r="A863" s="29">
        <f>CONCATENATE("CATEGORY_",UPPER(Pokemon!B837))</f>
        <v/>
      </c>
      <c r="B863" s="29" t="inlineStr">
        <is>
          <t>Dog</t>
        </is>
      </c>
      <c r="C863" s="29" t="inlineStr">
        <is>
          <t>いぬ</t>
        </is>
      </c>
      <c r="D863" s="29" t="inlineStr">
        <is>
          <t>Chien</t>
        </is>
      </c>
      <c r="E863" s="29">
        <f>CONCATENATE(E59,"e")</f>
        <v/>
      </c>
      <c r="F863" s="29" t="inlineStr">
        <is>
          <t>Perro</t>
        </is>
      </c>
      <c r="G863" s="29" t="inlineStr">
        <is>
          <t>Cane</t>
        </is>
      </c>
      <c r="H863" s="29" t="inlineStr">
        <is>
          <t>개</t>
        </is>
      </c>
      <c r="I863" s="29" t="inlineStr">
        <is>
          <t>狗</t>
        </is>
      </c>
      <c r="J863" s="29">
        <f>I863</f>
        <v/>
      </c>
      <c r="K863" s="29">
        <f>F863</f>
        <v/>
      </c>
    </row>
    <row r="864">
      <c r="A864" s="29">
        <f>CONCATENATE("CATEGORY_",UPPER(Pokemon!B838))</f>
        <v/>
      </c>
      <c r="B864" s="29">
        <f>B338</f>
        <v/>
      </c>
      <c r="C864" s="29">
        <f>C338</f>
        <v/>
      </c>
      <c r="D864" s="29">
        <f>D338</f>
        <v/>
      </c>
      <c r="E864" s="29">
        <f>E338</f>
        <v/>
      </c>
      <c r="F864" s="29">
        <f>F338</f>
        <v/>
      </c>
      <c r="G864" s="29">
        <f>G338</f>
        <v/>
      </c>
      <c r="H864" s="29">
        <f>H338</f>
        <v/>
      </c>
      <c r="I864" s="29">
        <f>I338</f>
        <v/>
      </c>
      <c r="J864" s="29">
        <f>J338</f>
        <v/>
      </c>
      <c r="K864" s="29">
        <f>F864</f>
        <v/>
      </c>
    </row>
    <row r="865">
      <c r="A865" s="29">
        <f>CONCATENATE("CATEGORY_",UPPER(Pokemon!B839))</f>
        <v/>
      </c>
      <c r="B865" s="29">
        <f>B338</f>
        <v/>
      </c>
      <c r="C865" s="29">
        <f>C338</f>
        <v/>
      </c>
      <c r="D865" s="29">
        <f>D338</f>
        <v/>
      </c>
      <c r="E865" s="29">
        <f>E338</f>
        <v/>
      </c>
      <c r="F865" s="29">
        <f>F338</f>
        <v/>
      </c>
      <c r="G865" s="29">
        <f>G338</f>
        <v/>
      </c>
      <c r="H865" s="29">
        <f>H338</f>
        <v/>
      </c>
      <c r="I865" s="29">
        <f>I338</f>
        <v/>
      </c>
      <c r="J865" s="29">
        <f>J338</f>
        <v/>
      </c>
      <c r="K865" s="29">
        <f>F865</f>
        <v/>
      </c>
    </row>
    <row r="866">
      <c r="A866" s="29">
        <f>CONCATENATE("CATEGORY_",UPPER(Pokemon!B840))</f>
        <v/>
      </c>
      <c r="B866" s="29">
        <f>B338</f>
        <v/>
      </c>
      <c r="C866" s="29">
        <f>C338</f>
        <v/>
      </c>
      <c r="D866" s="29">
        <f>D338</f>
        <v/>
      </c>
      <c r="E866" s="29">
        <f>E338</f>
        <v/>
      </c>
      <c r="F866" s="29">
        <f>F338</f>
        <v/>
      </c>
      <c r="G866" s="29">
        <f>G338</f>
        <v/>
      </c>
      <c r="H866" s="29">
        <f>H338</f>
        <v/>
      </c>
      <c r="I866" s="29">
        <f>I338</f>
        <v/>
      </c>
      <c r="J866" s="29">
        <f>J338</f>
        <v/>
      </c>
      <c r="K866" s="29">
        <f>F866</f>
        <v/>
      </c>
    </row>
    <row r="867">
      <c r="A867" s="29">
        <f>CONCATENATE("CATEGORY_",UPPER(Pokemon!B841))</f>
        <v/>
      </c>
      <c r="B867" s="29" t="inlineStr">
        <is>
          <t>Apple Core</t>
        </is>
      </c>
      <c r="C867" s="29" t="inlineStr">
        <is>
          <t>りんごぐらし</t>
        </is>
      </c>
      <c r="D867" s="29" t="inlineStr">
        <is>
          <t>Nid Pomme</t>
        </is>
      </c>
      <c r="E867" s="29" t="inlineStr">
        <is>
          <t>Apfelhaus</t>
        </is>
      </c>
      <c r="F867" s="29" t="inlineStr">
        <is>
          <t>Manzanido</t>
        </is>
      </c>
      <c r="G867" s="29" t="inlineStr">
        <is>
          <t>Pomicolo</t>
        </is>
      </c>
      <c r="H867" s="29" t="inlineStr">
        <is>
          <t>사과살이</t>
        </is>
      </c>
      <c r="I867" s="29" t="inlineStr">
        <is>
          <t>蘋果居</t>
        </is>
      </c>
      <c r="J867" s="29">
        <f>IFERROR(__xludf.DUMMYFUNCTION("GOOGLETRANSLATE(I867, ""zh_HANT"",""zh_HANS"")"),"苹果居")</f>
        <v/>
      </c>
      <c r="K867" s="29">
        <f>F867</f>
        <v/>
      </c>
    </row>
    <row r="868">
      <c r="A868" s="29">
        <f>CONCATENATE("CATEGORY_",UPPER(Pokemon!B842))</f>
        <v/>
      </c>
      <c r="B868" s="29" t="inlineStr">
        <is>
          <t>Apple Wing</t>
        </is>
      </c>
      <c r="C868" s="29" t="inlineStr">
        <is>
          <t>りんごはね</t>
        </is>
      </c>
      <c r="D868" s="29" t="inlineStr">
        <is>
          <t>Ailes Pomme</t>
        </is>
      </c>
      <c r="E868" s="29" t="inlineStr">
        <is>
          <t>Apfelflügel</t>
        </is>
      </c>
      <c r="F868" s="29" t="inlineStr">
        <is>
          <t>Manzanala</t>
        </is>
      </c>
      <c r="G868" s="29" t="inlineStr">
        <is>
          <t>Pomivolo</t>
        </is>
      </c>
      <c r="H868" s="29" t="inlineStr">
        <is>
          <t>사과날개</t>
        </is>
      </c>
      <c r="I868" s="29" t="inlineStr">
        <is>
          <t>蘋果翅</t>
        </is>
      </c>
      <c r="J868" s="29">
        <f>IFERROR(__xludf.DUMMYFUNCTION("GOOGLETRANSLATE(I868, ""zh_HANT"",""zh_HANS"")"),"苹果翅")</f>
        <v/>
      </c>
      <c r="K868" s="29">
        <f>F868</f>
        <v/>
      </c>
    </row>
    <row r="869">
      <c r="A869" s="29">
        <f>CONCATENATE("CATEGORY_",UPPER(Pokemon!B843))</f>
        <v/>
      </c>
      <c r="B869" s="29" t="inlineStr">
        <is>
          <t>Apple Nectar</t>
        </is>
      </c>
      <c r="C869" s="29" t="inlineStr">
        <is>
          <t>りんごじる</t>
        </is>
      </c>
      <c r="D869" s="29" t="inlineStr">
        <is>
          <t>Jus Pomme</t>
        </is>
      </c>
      <c r="E869" s="29" t="inlineStr">
        <is>
          <t>Apfelnektar</t>
        </is>
      </c>
      <c r="F869" s="29" t="inlineStr">
        <is>
          <t>Manzanéctar</t>
        </is>
      </c>
      <c r="G869" s="29" t="inlineStr">
        <is>
          <t>Pomisucco</t>
        </is>
      </c>
      <c r="H869" s="29" t="inlineStr">
        <is>
          <t>사과즙</t>
        </is>
      </c>
      <c r="I869" s="29" t="inlineStr">
        <is>
          <t>蘋果汁</t>
        </is>
      </c>
      <c r="J869" s="29">
        <f>IFERROR(__xludf.DUMMYFUNCTION("GOOGLETRANSLATE(I869, ""zh_HANT"",""zh_HANS"")"),"苹果汁")</f>
        <v/>
      </c>
      <c r="K869" s="29">
        <f>F869</f>
        <v/>
      </c>
    </row>
    <row r="870">
      <c r="A870" s="29">
        <f>CONCATENATE("CATEGORY_",UPPER(Pokemon!B844))</f>
        <v/>
      </c>
      <c r="B870" s="29" t="inlineStr">
        <is>
          <t>Sand Snake</t>
        </is>
      </c>
      <c r="C870" s="29" t="inlineStr">
        <is>
          <t>すなへび</t>
        </is>
      </c>
      <c r="D870" s="29" t="inlineStr">
        <is>
          <t>Serpensable</t>
        </is>
      </c>
      <c r="E870" s="29" t="inlineStr">
        <is>
          <t>Sandschlangen</t>
        </is>
      </c>
      <c r="F870" s="29" t="inlineStr">
        <is>
          <t>Serp. Arena</t>
        </is>
      </c>
      <c r="G870" s="29" t="inlineStr">
        <is>
          <t>Sabbiaserpe</t>
        </is>
      </c>
      <c r="H870" s="29" t="inlineStr">
        <is>
          <t>모래뱀</t>
        </is>
      </c>
      <c r="I870" s="29" t="inlineStr">
        <is>
          <t>沙蛇</t>
        </is>
      </c>
      <c r="J870" s="29">
        <f>I870</f>
        <v/>
      </c>
      <c r="K870" s="29">
        <f>F870</f>
        <v/>
      </c>
    </row>
    <row r="871">
      <c r="A871" s="29">
        <f>CONCATENATE("CATEGORY_",UPPER(Pokemon!B845))</f>
        <v/>
      </c>
      <c r="B871" s="29">
        <f>B870</f>
        <v/>
      </c>
      <c r="C871" s="29">
        <f>C870</f>
        <v/>
      </c>
      <c r="D871" s="29">
        <f>D870</f>
        <v/>
      </c>
      <c r="E871" s="29">
        <f>E870</f>
        <v/>
      </c>
      <c r="F871" s="29">
        <f>F870</f>
        <v/>
      </c>
      <c r="G871" s="29">
        <f>G870</f>
        <v/>
      </c>
      <c r="H871" s="29">
        <f>H870</f>
        <v/>
      </c>
      <c r="I871" s="29">
        <f>I870</f>
        <v/>
      </c>
      <c r="J871" s="29">
        <f>J870</f>
        <v/>
      </c>
      <c r="K871" s="29">
        <f>F871</f>
        <v/>
      </c>
    </row>
    <row r="872">
      <c r="A872" s="29">
        <f>CONCATENATE("CATEGORY_",UPPER(Pokemon!B846))</f>
        <v/>
      </c>
      <c r="B872" s="29" t="inlineStr">
        <is>
          <t>Gulp</t>
        </is>
      </c>
      <c r="C872" s="29" t="inlineStr">
        <is>
          <t>うのみ</t>
        </is>
      </c>
      <c r="D872" s="29" t="inlineStr">
        <is>
          <t>Avaltouron</t>
        </is>
      </c>
      <c r="E872" s="29" t="inlineStr">
        <is>
          <t>Schling</t>
        </is>
      </c>
      <c r="F872" s="29" t="inlineStr">
        <is>
          <t>Tragón</t>
        </is>
      </c>
      <c r="G872" s="29" t="inlineStr">
        <is>
          <t>Inghiottone</t>
        </is>
      </c>
      <c r="H872" s="29" t="inlineStr">
        <is>
          <t>그대로삼키기</t>
        </is>
      </c>
      <c r="I872" s="29" t="inlineStr">
        <is>
          <t>一口吞</t>
        </is>
      </c>
      <c r="J872" s="29">
        <f>I872</f>
        <v/>
      </c>
      <c r="K872" s="29">
        <f>F872</f>
        <v/>
      </c>
    </row>
    <row r="873">
      <c r="A873" s="29">
        <f>CONCATENATE("CATEGORY_",UPPER(Pokemon!B847))</f>
        <v/>
      </c>
      <c r="B873" s="29" t="inlineStr">
        <is>
          <t>Rush</t>
        </is>
      </c>
      <c r="C873" s="29" t="inlineStr">
        <is>
          <t>とつげき</t>
        </is>
      </c>
      <c r="D873" s="29">
        <f>D278</f>
        <v/>
      </c>
      <c r="E873" s="29" t="inlineStr">
        <is>
          <t>Rempler</t>
        </is>
      </c>
      <c r="F873" s="29" t="inlineStr">
        <is>
          <t>Arremetida</t>
        </is>
      </c>
      <c r="G873" s="29" t="inlineStr">
        <is>
          <t>Carica</t>
        </is>
      </c>
      <c r="H873" s="29" t="inlineStr">
        <is>
          <t>돌격</t>
        </is>
      </c>
      <c r="I873" s="29" t="inlineStr">
        <is>
          <t>突擊</t>
        </is>
      </c>
      <c r="J873" s="29">
        <f>IFERROR(__xludf.DUMMYFUNCTION("GOOGLETRANSLATE(I873, ""zh_HANT"",""zh_HANS"")"),"突击")</f>
        <v/>
      </c>
      <c r="K873" s="29">
        <f>F873</f>
        <v/>
      </c>
    </row>
    <row r="874">
      <c r="A874" s="29">
        <f>CONCATENATE("CATEGORY_",UPPER(Pokemon!B848))</f>
        <v/>
      </c>
      <c r="B874" s="29" t="inlineStr">
        <is>
          <t>Skewer</t>
        </is>
      </c>
      <c r="C874" s="29" t="inlineStr">
        <is>
          <t>くしざし</t>
        </is>
      </c>
      <c r="D874" s="29" t="inlineStr">
        <is>
          <t>Transperceur</t>
        </is>
      </c>
      <c r="E874" s="29" t="inlineStr">
        <is>
          <t>Spieß</t>
        </is>
      </c>
      <c r="F874" s="29" t="inlineStr">
        <is>
          <t>Ensarta</t>
        </is>
      </c>
      <c r="G874" s="29" t="inlineStr">
        <is>
          <t>Spiedo</t>
        </is>
      </c>
      <c r="H874" s="29" t="inlineStr">
        <is>
          <t>꼬치</t>
        </is>
      </c>
      <c r="I874" s="29" t="inlineStr">
        <is>
          <t>穿刺</t>
        </is>
      </c>
      <c r="J874" s="29">
        <f>I874</f>
        <v/>
      </c>
      <c r="K874" s="29">
        <f>F874</f>
        <v/>
      </c>
    </row>
    <row r="875">
      <c r="A875" s="29">
        <f>CONCATENATE("CATEGORY_",UPPER(Pokemon!B849))</f>
        <v/>
      </c>
      <c r="B875" s="29" t="inlineStr">
        <is>
          <t>Baby</t>
        </is>
      </c>
      <c r="C875" s="29" t="inlineStr">
        <is>
          <t>あかご</t>
        </is>
      </c>
      <c r="D875" s="29" t="inlineStr">
        <is>
          <t>Poupon</t>
        </is>
      </c>
      <c r="E875" s="29">
        <f>B875</f>
        <v/>
      </c>
      <c r="F875" s="29" t="inlineStr">
        <is>
          <t>Retoño</t>
        </is>
      </c>
      <c r="G875" s="29" t="inlineStr">
        <is>
          <t>Bebè</t>
        </is>
      </c>
      <c r="H875" s="29" t="inlineStr">
        <is>
          <t>젖먹이</t>
        </is>
      </c>
      <c r="I875" s="29" t="inlineStr">
        <is>
          <t>嬰兒</t>
        </is>
      </c>
      <c r="J875" s="29">
        <f>IFERROR(__xludf.DUMMYFUNCTION("GOOGLETRANSLATE(I875, ""zh_HANT"",""zh_HANS"")"),"婴儿")</f>
        <v/>
      </c>
      <c r="K875" s="29">
        <f>F875</f>
        <v/>
      </c>
    </row>
    <row r="876">
      <c r="A876" s="29">
        <f>CONCATENATE("CATEGORY_",UPPER(Pokemon!B850))</f>
        <v/>
      </c>
      <c r="B876" s="29" t="inlineStr">
        <is>
          <t>Punk</t>
        </is>
      </c>
      <c r="C876" s="29" t="inlineStr">
        <is>
          <t>パンク</t>
        </is>
      </c>
      <c r="D876" s="29">
        <f>B876</f>
        <v/>
      </c>
      <c r="E876" s="29">
        <f>B876</f>
        <v/>
      </c>
      <c r="F876" s="29" t="inlineStr">
        <is>
          <t>Punki</t>
        </is>
      </c>
      <c r="G876" s="29">
        <f>B876</f>
        <v/>
      </c>
      <c r="H876" s="29" t="inlineStr">
        <is>
          <t>펑크</t>
        </is>
      </c>
      <c r="I876" s="29" t="inlineStr">
        <is>
          <t>龐克</t>
        </is>
      </c>
      <c r="J876" s="29">
        <f>IFERROR(__xludf.DUMMYFUNCTION("GOOGLETRANSLATE(I876, ""zh_HANT"",""zh_HANS"")"),"朋克")</f>
        <v/>
      </c>
      <c r="K876" s="29">
        <f>F876</f>
        <v/>
      </c>
    </row>
    <row r="877">
      <c r="A877" s="29">
        <f>CONCATENATE("CATEGORY_",UPPER(Pokemon!B851))</f>
        <v/>
      </c>
      <c r="B877" s="29" t="inlineStr">
        <is>
          <t>Radiator</t>
        </is>
      </c>
      <c r="C877" s="29" t="inlineStr">
        <is>
          <t>はつねつ</t>
        </is>
      </c>
      <c r="D877" s="29" t="inlineStr">
        <is>
          <t>Calorifère</t>
        </is>
      </c>
      <c r="E877" s="29" t="inlineStr">
        <is>
          <t>Exotherm</t>
        </is>
      </c>
      <c r="F877" s="29">
        <f>B877</f>
        <v/>
      </c>
      <c r="G877" s="29" t="inlineStr">
        <is>
          <t>Termogeno</t>
        </is>
      </c>
      <c r="H877" s="29" t="inlineStr">
        <is>
          <t>발열</t>
        </is>
      </c>
      <c r="I877" s="29" t="inlineStr">
        <is>
          <t>發熱</t>
        </is>
      </c>
      <c r="J877" s="29">
        <f>IFERROR(__xludf.DUMMYFUNCTION("GOOGLETRANSLATE(I877, ""zh_HANT"",""zh_HANS"")"),"发热")</f>
        <v/>
      </c>
      <c r="K877" s="29">
        <f>F877</f>
        <v/>
      </c>
    </row>
    <row r="878">
      <c r="A878" s="29">
        <f>CONCATENATE("CATEGORY_",UPPER(Pokemon!B852))</f>
        <v/>
      </c>
      <c r="B878" s="29">
        <f>B877</f>
        <v/>
      </c>
      <c r="C878" s="29">
        <f>C877</f>
        <v/>
      </c>
      <c r="D878" s="29">
        <f>D877</f>
        <v/>
      </c>
      <c r="E878" s="29">
        <f>E877</f>
        <v/>
      </c>
      <c r="F878" s="29">
        <f>F877</f>
        <v/>
      </c>
      <c r="G878" s="29">
        <f>G877</f>
        <v/>
      </c>
      <c r="H878" s="29">
        <f>H877</f>
        <v/>
      </c>
      <c r="I878" s="29">
        <f>I877</f>
        <v/>
      </c>
      <c r="J878" s="29">
        <f>J877</f>
        <v/>
      </c>
      <c r="K878" s="29">
        <f>F878</f>
        <v/>
      </c>
    </row>
    <row r="879">
      <c r="A879" s="29">
        <f>CONCATENATE("CATEGORY_",UPPER(Pokemon!B853))</f>
        <v/>
      </c>
      <c r="B879" s="29" t="inlineStr">
        <is>
          <t>Tantrum</t>
        </is>
      </c>
      <c r="C879" s="29" t="inlineStr">
        <is>
          <t>だだっこ</t>
        </is>
      </c>
      <c r="D879" s="29" t="inlineStr">
        <is>
          <t>Caprice</t>
        </is>
      </c>
      <c r="E879" s="29" t="inlineStr">
        <is>
          <t>Balg</t>
        </is>
      </c>
      <c r="F879" s="29" t="inlineStr">
        <is>
          <t>Malcradio</t>
        </is>
      </c>
      <c r="G879" s="29" t="inlineStr">
        <is>
          <t>Bizze</t>
        </is>
      </c>
      <c r="H879" s="29" t="inlineStr">
        <is>
          <t>떼쟁이</t>
        </is>
      </c>
      <c r="I879" s="29" t="inlineStr">
        <is>
          <t>纏人</t>
        </is>
      </c>
      <c r="J879" s="29">
        <f>IFERROR(__xludf.DUMMYFUNCTION("GOOGLETRANSLATE(I879, ""zh_HANT"",""zh_HANS"")"),"缠人")</f>
        <v/>
      </c>
      <c r="K879" s="29">
        <f>F879</f>
        <v/>
      </c>
    </row>
    <row r="880">
      <c r="A880" s="29">
        <f>CONCATENATE("CATEGORY_",UPPER(Pokemon!B854))</f>
        <v/>
      </c>
      <c r="B880" s="29" t="inlineStr">
        <is>
          <t>Jujitsu</t>
        </is>
      </c>
      <c r="C880" s="29" t="inlineStr">
        <is>
          <t>じゅうじゅつ</t>
        </is>
      </c>
      <c r="D880" s="29">
        <f>B880</f>
        <v/>
      </c>
      <c r="E880" s="29" t="inlineStr">
        <is>
          <t>Jiu-jitsu</t>
        </is>
      </c>
      <c r="F880" s="29">
        <f>E880</f>
        <v/>
      </c>
      <c r="G880" s="29">
        <f>B880</f>
        <v/>
      </c>
      <c r="H880" s="29" t="inlineStr">
        <is>
          <t>유술</t>
        </is>
      </c>
      <c r="I880" s="29" t="inlineStr">
        <is>
          <t>柔術</t>
        </is>
      </c>
      <c r="J880" s="29">
        <f>IFERROR(__xludf.DUMMYFUNCTION("GOOGLETRANSLATE(I880, ""zh_HANT"",""zh_HANS"")"),"柔术")</f>
        <v/>
      </c>
      <c r="K880" s="29">
        <f>F880</f>
        <v/>
      </c>
    </row>
    <row r="881">
      <c r="A881" s="29">
        <f>CONCATENATE("CATEGORY_",UPPER(Pokemon!B855))</f>
        <v/>
      </c>
      <c r="B881" s="29" t="inlineStr">
        <is>
          <t>Black Tea</t>
        </is>
      </c>
      <c r="C881" s="29" t="inlineStr">
        <is>
          <t>こうちゃ</t>
        </is>
      </c>
      <c r="D881" s="29" t="inlineStr">
        <is>
          <t>Thé Noir</t>
        </is>
      </c>
      <c r="E881" s="29" t="inlineStr">
        <is>
          <t>Schwarztee</t>
        </is>
      </c>
      <c r="F881" s="29" t="inlineStr">
        <is>
          <t>Té</t>
        </is>
      </c>
      <c r="G881" s="29" t="inlineStr">
        <is>
          <t>Tè</t>
        </is>
      </c>
      <c r="H881" s="29" t="inlineStr">
        <is>
          <t>홍차</t>
        </is>
      </c>
      <c r="I881" s="29" t="inlineStr">
        <is>
          <t>紅茶</t>
        </is>
      </c>
      <c r="J881" s="29">
        <f>IFERROR(__xludf.DUMMYFUNCTION("GOOGLETRANSLATE(I881, ""zh_HANT"",""zh_HANS"")"),"红茶")</f>
        <v/>
      </c>
      <c r="K881" s="29">
        <f>F881</f>
        <v/>
      </c>
    </row>
    <row r="882">
      <c r="A882" s="29">
        <f>CONCATENATE("CATEGORY_",UPPER(Pokemon!B856))</f>
        <v/>
      </c>
      <c r="B882" s="29">
        <f>B881</f>
        <v/>
      </c>
      <c r="C882" s="29">
        <f>C881</f>
        <v/>
      </c>
      <c r="D882" s="29">
        <f>D881</f>
        <v/>
      </c>
      <c r="E882" s="29">
        <f>E881</f>
        <v/>
      </c>
      <c r="F882" s="29">
        <f>F881</f>
        <v/>
      </c>
      <c r="G882" s="29">
        <f>G881</f>
        <v/>
      </c>
      <c r="H882" s="29">
        <f>H881</f>
        <v/>
      </c>
      <c r="I882" s="29">
        <f>I881</f>
        <v/>
      </c>
      <c r="J882" s="29">
        <f>J881</f>
        <v/>
      </c>
      <c r="K882" s="29">
        <f>F882</f>
        <v/>
      </c>
    </row>
    <row r="883">
      <c r="A883" s="29">
        <f>CONCATENATE("CATEGORY_",UPPER(Pokemon!B857))</f>
        <v/>
      </c>
      <c r="B883" s="29">
        <f>Natures!B6</f>
        <v/>
      </c>
      <c r="C883" s="29">
        <f>Natures!C6</f>
        <v/>
      </c>
      <c r="D883" s="29">
        <f>Natures!D6</f>
        <v/>
      </c>
      <c r="E883" s="21" t="inlineStr">
        <is>
          <t>Geruhsam</t>
        </is>
      </c>
      <c r="F883" s="29">
        <f>G883</f>
        <v/>
      </c>
      <c r="G883" s="29">
        <f>Natures!G5</f>
        <v/>
      </c>
      <c r="H883" s="29">
        <f>Natures!H6</f>
        <v/>
      </c>
      <c r="I883" s="29" t="inlineStr">
        <is>
          <t>寧靜</t>
        </is>
      </c>
      <c r="J883" s="29">
        <f>IFERROR(__xludf.DUMMYFUNCTION("GOOGLETRANSLATE(I883, ""zh_HANT"",""zh_HANS"")"),"宁静")</f>
        <v/>
      </c>
      <c r="K883" s="29">
        <f>F883</f>
        <v/>
      </c>
    </row>
    <row r="884">
      <c r="A884" s="29">
        <f>CONCATENATE("CATEGORY_",UPPER(Pokemon!B858))</f>
        <v/>
      </c>
      <c r="B884" s="29" t="inlineStr">
        <is>
          <t>Serence</t>
        </is>
      </c>
      <c r="C884" s="29" t="inlineStr">
        <is>
          <t>せいしゅく</t>
        </is>
      </c>
      <c r="D884" s="29" t="inlineStr">
        <is>
          <t>Serein</t>
        </is>
      </c>
      <c r="E884" s="29" t="inlineStr">
        <is>
          <t>Ruhe</t>
        </is>
      </c>
      <c r="F884" s="29" t="inlineStr">
        <is>
          <t>Serenidad</t>
        </is>
      </c>
      <c r="G884" s="29" t="inlineStr">
        <is>
          <t>Quiete</t>
        </is>
      </c>
      <c r="H884" s="29" t="inlineStr">
        <is>
          <t>정숙</t>
        </is>
      </c>
      <c r="I884" s="29" t="inlineStr">
        <is>
          <t>肅靜</t>
        </is>
      </c>
      <c r="J884" s="29">
        <f>IFERROR(__xludf.DUMMYFUNCTION("GOOGLETRANSLATE(I884, ""zh_HANT"",""zh_HANS"")"),"肃静")</f>
        <v/>
      </c>
      <c r="K884" s="29">
        <f>F884</f>
        <v/>
      </c>
    </row>
    <row r="885">
      <c r="A885" s="29">
        <f>CONCATENATE("CATEGORY_",UPPER(Pokemon!B859))</f>
        <v/>
      </c>
      <c r="B885" s="29" t="inlineStr">
        <is>
          <t>Silent</t>
        </is>
      </c>
      <c r="C885" s="29" t="inlineStr">
        <is>
          <t>せいじゃく</t>
        </is>
      </c>
      <c r="D885" s="29" t="inlineStr">
        <is>
          <t>Silencieux</t>
        </is>
      </c>
      <c r="E885" s="29" t="inlineStr">
        <is>
          <t>Stille</t>
        </is>
      </c>
      <c r="F885" s="29" t="inlineStr">
        <is>
          <t>Silencio</t>
        </is>
      </c>
      <c r="G885" s="29" t="inlineStr">
        <is>
          <t>Silenzio</t>
        </is>
      </c>
      <c r="H885" s="29" t="inlineStr">
        <is>
          <t>정적</t>
        </is>
      </c>
      <c r="I885" s="29" t="inlineStr">
        <is>
          <t>寂靜</t>
        </is>
      </c>
      <c r="J885" s="29">
        <f>IFERROR(__xludf.DUMMYFUNCTION("GOOGLETRANSLATE(I885, ""zh_HANT"",""zh_HANS"")"),"寂静")</f>
        <v/>
      </c>
      <c r="K885" s="29">
        <f>F885</f>
        <v/>
      </c>
    </row>
    <row r="886">
      <c r="A886" s="29">
        <f>CONCATENATE("CATEGORY_",UPPER(Pokemon!B860))</f>
        <v/>
      </c>
      <c r="B886" s="29">
        <f>B288</f>
        <v/>
      </c>
      <c r="C886" s="29">
        <f>C288</f>
        <v/>
      </c>
      <c r="D886" s="29">
        <f>D288</f>
        <v/>
      </c>
      <c r="E886" s="29">
        <f>E288</f>
        <v/>
      </c>
      <c r="F886" s="29">
        <f>F288</f>
        <v/>
      </c>
      <c r="G886" s="29">
        <f>G288</f>
        <v/>
      </c>
      <c r="H886" s="29">
        <f>H288</f>
        <v/>
      </c>
      <c r="I886" s="29">
        <f>I288</f>
        <v/>
      </c>
      <c r="J886" s="29">
        <f>J288</f>
        <v/>
      </c>
      <c r="K886" s="29">
        <f>F886</f>
        <v/>
      </c>
    </row>
    <row r="887">
      <c r="A887" s="29">
        <f>CONCATENATE("CATEGORY_",UPPER(Pokemon!B861))</f>
        <v/>
      </c>
      <c r="B887" s="29">
        <f>B524</f>
        <v/>
      </c>
      <c r="C887" s="29">
        <f>C524</f>
        <v/>
      </c>
      <c r="D887" s="29">
        <f>D524</f>
        <v/>
      </c>
      <c r="E887" s="29">
        <f>E524</f>
        <v/>
      </c>
      <c r="F887" s="29">
        <f>F524</f>
        <v/>
      </c>
      <c r="G887" s="29">
        <f>G524</f>
        <v/>
      </c>
      <c r="H887" s="29">
        <f>H524</f>
        <v/>
      </c>
      <c r="I887" s="29">
        <f>I524</f>
        <v/>
      </c>
      <c r="J887" s="29">
        <f>J524</f>
        <v/>
      </c>
      <c r="K887" s="29">
        <f>F887</f>
        <v/>
      </c>
    </row>
    <row r="888">
      <c r="A888" s="29">
        <f>CONCATENATE("CATEGORY_",UPPER(Pokemon!B862))</f>
        <v/>
      </c>
      <c r="B888" s="29">
        <f>Moves!B340</f>
        <v/>
      </c>
      <c r="C888" s="29">
        <f>Moves!C340</f>
        <v/>
      </c>
      <c r="D888" s="29">
        <f>Moves!D340</f>
        <v/>
      </c>
      <c r="E888" s="29" t="inlineStr">
        <is>
          <t>Muskelaufbau</t>
        </is>
      </c>
      <c r="F888" s="29" t="inlineStr">
        <is>
          <t>Voluminoso</t>
        </is>
      </c>
      <c r="G888" s="29">
        <f>Moves!G340</f>
        <v/>
      </c>
      <c r="H888" s="29">
        <f>Moves!H340</f>
        <v/>
      </c>
      <c r="I888" s="29">
        <f>Moves!I340</f>
        <v/>
      </c>
      <c r="J888" s="29">
        <f>Moves!J340</f>
        <v/>
      </c>
      <c r="K888" s="29">
        <f>F888</f>
        <v/>
      </c>
    </row>
    <row r="889">
      <c r="A889" s="29">
        <f>CONCATENATE("CATEGORY_",UPPER(Pokemon!B863))</f>
        <v/>
      </c>
      <c r="B889" s="29" t="inlineStr">
        <is>
          <t>Blocking</t>
        </is>
      </c>
      <c r="C889" s="29" t="inlineStr">
        <is>
          <t>ていし</t>
        </is>
      </c>
      <c r="D889" s="29" t="inlineStr">
        <is>
          <t>Barrage</t>
        </is>
      </c>
      <c r="E889" s="29" t="inlineStr">
        <is>
          <t>Barrikaden</t>
        </is>
      </c>
      <c r="F889" s="29" t="inlineStr">
        <is>
          <t>Bloqueador</t>
        </is>
      </c>
      <c r="G889" s="29" t="inlineStr">
        <is>
          <t>Bloccaggio</t>
        </is>
      </c>
      <c r="H889" s="29" t="inlineStr">
        <is>
          <t>정지</t>
        </is>
      </c>
      <c r="I889" s="29" t="inlineStr">
        <is>
          <t>停止</t>
        </is>
      </c>
      <c r="J889" s="29">
        <f>I889</f>
        <v/>
      </c>
      <c r="K889" s="29">
        <f>F889</f>
        <v/>
      </c>
    </row>
    <row r="890">
      <c r="A890" s="29">
        <f>CONCATENATE("CATEGORY_",UPPER(Pokemon!B864))</f>
        <v/>
      </c>
      <c r="B890" s="29" t="inlineStr">
        <is>
          <t>Viking</t>
        </is>
      </c>
      <c r="C890" s="29" t="inlineStr">
        <is>
          <t>バイキング</t>
        </is>
      </c>
      <c r="D890" s="29">
        <f>B890</f>
        <v/>
      </c>
      <c r="E890" s="29" t="inlineStr">
        <is>
          <t>Wikinger</t>
        </is>
      </c>
      <c r="F890" s="29">
        <f>CONCATENATE(D890,"o")</f>
        <v/>
      </c>
      <c r="G890" s="29" t="inlineStr">
        <is>
          <t>Vichingo</t>
        </is>
      </c>
      <c r="H890" s="29" t="inlineStr">
        <is>
          <t>바이킹</t>
        </is>
      </c>
      <c r="I890" s="29" t="inlineStr">
        <is>
          <t>維京</t>
        </is>
      </c>
      <c r="J890" s="29">
        <f>IFERROR(__xludf.DUMMYFUNCTION("GOOGLETRANSLATE(I890, ""zh_HANT"",""zh_HANS"")"),"维京")</f>
        <v/>
      </c>
      <c r="K890" s="29">
        <f>F890</f>
        <v/>
      </c>
    </row>
    <row r="891">
      <c r="A891" s="29">
        <f>CONCATENATE("CATEGORY_",UPPER(Pokemon!B865))</f>
        <v/>
      </c>
      <c r="B891" s="29">
        <f>B236</f>
        <v/>
      </c>
      <c r="C891" s="29">
        <f>C236</f>
        <v/>
      </c>
      <c r="D891" s="29">
        <f>D236</f>
        <v/>
      </c>
      <c r="E891" s="29">
        <f>E236</f>
        <v/>
      </c>
      <c r="F891" s="29">
        <f>F236</f>
        <v/>
      </c>
      <c r="G891" s="29">
        <f>G236</f>
        <v/>
      </c>
      <c r="H891" s="29">
        <f>H236</f>
        <v/>
      </c>
      <c r="I891" s="29">
        <f>I236</f>
        <v/>
      </c>
      <c r="J891" s="29">
        <f>J236</f>
        <v/>
      </c>
      <c r="K891" s="29">
        <f>F891</f>
        <v/>
      </c>
    </row>
    <row r="892">
      <c r="A892" s="29">
        <f>CONCATENATE("CATEGORY_",SUBSTITUTE(UPPER(Pokemon!B866),"'",""))</f>
        <v/>
      </c>
      <c r="B892" s="29">
        <f>B87</f>
        <v/>
      </c>
      <c r="C892" s="29">
        <f>C87</f>
        <v/>
      </c>
      <c r="D892" s="29">
        <f>D87</f>
        <v/>
      </c>
      <c r="E892" s="29">
        <f>E87</f>
        <v/>
      </c>
      <c r="F892" s="29">
        <f>F87</f>
        <v/>
      </c>
      <c r="G892" s="29">
        <f>G87</f>
        <v/>
      </c>
      <c r="H892" s="29">
        <f>H87</f>
        <v/>
      </c>
      <c r="I892" s="29">
        <f>I87</f>
        <v/>
      </c>
      <c r="J892" s="29">
        <f>J87</f>
        <v/>
      </c>
      <c r="K892" s="29">
        <f>F892</f>
        <v/>
      </c>
    </row>
    <row r="893">
      <c r="A893" s="29">
        <f>CONCATENATE("CATEGORY_",UPPER(Pokemon!B867))</f>
        <v/>
      </c>
      <c r="B893" s="29" t="inlineStr">
        <is>
          <t>Comedian</t>
        </is>
      </c>
      <c r="C893" s="29" t="inlineStr">
        <is>
          <t>コメヂィアン</t>
        </is>
      </c>
      <c r="D893" s="29" t="inlineStr">
        <is>
          <t>Comédien</t>
        </is>
      </c>
      <c r="E893" s="29" t="inlineStr">
        <is>
          <t>Komiker</t>
        </is>
      </c>
      <c r="F893" s="29" t="inlineStr">
        <is>
          <t>Cómico</t>
        </is>
      </c>
      <c r="G893" s="29" t="inlineStr">
        <is>
          <t>Comico</t>
        </is>
      </c>
      <c r="H893" s="29" t="inlineStr">
        <is>
          <t>코미디언</t>
        </is>
      </c>
      <c r="I893" s="29" t="inlineStr">
        <is>
          <t>喜劇演員</t>
        </is>
      </c>
      <c r="J893" s="29">
        <f>IFERROR(__xludf.DUMMYFUNCTION("GOOGLETRANSLATE(I893, ""zh_HANT"",""zh_HANS"")"),"喜剧演员")</f>
        <v/>
      </c>
      <c r="K893" s="29">
        <f>F893</f>
        <v/>
      </c>
    </row>
    <row r="894">
      <c r="A894" s="29">
        <f>CONCATENATE("CATEGORY_",UPPER(Pokemon!B868))</f>
        <v/>
      </c>
      <c r="B894" s="29">
        <f>Moves!B289</f>
        <v/>
      </c>
      <c r="C894" s="29">
        <f>Moves!C289</f>
        <v/>
      </c>
      <c r="D894" s="29">
        <f>Moves!D289</f>
        <v/>
      </c>
      <c r="E894" s="29" t="inlineStr">
        <is>
          <t>Gram</t>
        </is>
      </c>
      <c r="F894" s="29" t="inlineStr">
        <is>
          <t>Resquemor</t>
        </is>
      </c>
      <c r="G894" s="29">
        <f>Moves!G289</f>
        <v/>
      </c>
      <c r="H894" s="29">
        <f>Moves!H289</f>
        <v/>
      </c>
      <c r="I894" s="29">
        <f>Moves!I289</f>
        <v/>
      </c>
      <c r="J894" s="29">
        <f>Moves!J289</f>
        <v/>
      </c>
      <c r="K894" s="29">
        <f>F894</f>
        <v/>
      </c>
    </row>
    <row r="895">
      <c r="A895" s="29">
        <f>CONCATENATE("CATEGORY_",UPPER(Pokemon!B869))</f>
        <v/>
      </c>
      <c r="B895" s="29" t="inlineStr">
        <is>
          <t>Cream</t>
        </is>
      </c>
      <c r="C895" s="29" t="inlineStr">
        <is>
          <t>クリーム</t>
        </is>
      </c>
      <c r="D895" s="29" t="inlineStr">
        <is>
          <t>Crème</t>
        </is>
      </c>
      <c r="E895" s="29" t="inlineStr">
        <is>
          <t>Sahne</t>
        </is>
      </c>
      <c r="F895" s="29" t="inlineStr">
        <is>
          <t>Nata</t>
        </is>
      </c>
      <c r="G895" s="29" t="inlineStr">
        <is>
          <t>Pannafresca</t>
        </is>
      </c>
      <c r="H895" s="29" t="inlineStr">
        <is>
          <t>크림</t>
        </is>
      </c>
      <c r="I895" s="29" t="inlineStr">
        <is>
          <t>鮮奶油</t>
        </is>
      </c>
      <c r="J895" s="29">
        <f>IFERROR(__xludf.DUMMYFUNCTION("GOOGLETRANSLATE(I895, ""zh_HANT"",""zh_HANS"")"),"鲜奶油")</f>
        <v/>
      </c>
      <c r="K895" s="29">
        <f>F895</f>
        <v/>
      </c>
    </row>
    <row r="896">
      <c r="A896" s="29">
        <f>CONCATENATE("CATEGORY_",UPPER(Pokemon!B870))</f>
        <v/>
      </c>
      <c r="B896" s="29">
        <f>B895</f>
        <v/>
      </c>
      <c r="C896" s="29">
        <f>C895</f>
        <v/>
      </c>
      <c r="D896" s="29">
        <f>D895</f>
        <v/>
      </c>
      <c r="E896" s="29">
        <f>E895</f>
        <v/>
      </c>
      <c r="F896" s="29">
        <f>F895</f>
        <v/>
      </c>
      <c r="G896" s="29">
        <f>G895</f>
        <v/>
      </c>
      <c r="H896" s="29">
        <f>H895</f>
        <v/>
      </c>
      <c r="I896" s="29">
        <f>I895</f>
        <v/>
      </c>
      <c r="J896" s="29">
        <f>J895</f>
        <v/>
      </c>
      <c r="K896" s="29">
        <f>F896</f>
        <v/>
      </c>
    </row>
    <row r="897">
      <c r="A897" s="29">
        <f>CONCATENATE("CATEGORY_",UPPER(Pokemon!B871))</f>
        <v/>
      </c>
      <c r="B897" s="29" t="inlineStr">
        <is>
          <t>Formation</t>
        </is>
      </c>
      <c r="C897" s="29" t="inlineStr">
        <is>
          <t>じんけい</t>
        </is>
      </c>
      <c r="D897" s="29" t="inlineStr">
        <is>
          <t>Escadron</t>
        </is>
      </c>
      <c r="E897" s="29">
        <f>CONCATENATE(B897, "s")</f>
        <v/>
      </c>
      <c r="F897" s="29" t="inlineStr">
        <is>
          <t>Formación</t>
        </is>
      </c>
      <c r="G897" s="29" t="inlineStr">
        <is>
          <t>Schieramento</t>
        </is>
      </c>
      <c r="H897" s="29" t="inlineStr">
        <is>
          <t>진형</t>
        </is>
      </c>
      <c r="I897" s="29" t="inlineStr">
        <is>
          <t>陣形</t>
        </is>
      </c>
      <c r="J897" s="29">
        <f>IFERROR(__xludf.DUMMYFUNCTION("GOOGLETRANSLATE(I897, ""zh_HANT"",""zh_HANS"")"),"阵形")</f>
        <v/>
      </c>
      <c r="K897" s="29">
        <f>F897</f>
        <v/>
      </c>
    </row>
    <row r="898">
      <c r="A898" s="29">
        <f>CONCATENATE("CATEGORY_",UPPER(Pokemon!B872))</f>
        <v/>
      </c>
      <c r="B898" s="29" t="inlineStr">
        <is>
          <t>Sea Urchin</t>
        </is>
      </c>
      <c r="C898" s="29" t="inlineStr">
        <is>
          <t>うに</t>
        </is>
      </c>
      <c r="D898" s="29" t="inlineStr">
        <is>
          <t>Oursin</t>
        </is>
      </c>
      <c r="E898" s="29" t="inlineStr">
        <is>
          <t>Seeigel</t>
        </is>
      </c>
      <c r="F898" s="29" t="inlineStr">
        <is>
          <t>Erizo de Mar</t>
        </is>
      </c>
      <c r="G898" s="29" t="inlineStr">
        <is>
          <t>Echino</t>
        </is>
      </c>
      <c r="H898" s="29" t="inlineStr">
        <is>
          <t>성게</t>
        </is>
      </c>
      <c r="I898" s="29" t="inlineStr">
        <is>
          <t>海膽</t>
        </is>
      </c>
      <c r="J898" s="29">
        <f>IFERROR(__xludf.DUMMYFUNCTION("GOOGLETRANSLATE(I898, ""zh_HANT"",""zh_HANS"")"),"海胆")</f>
        <v/>
      </c>
      <c r="K898" s="29">
        <f>F898</f>
        <v/>
      </c>
    </row>
    <row r="899">
      <c r="A899" s="29">
        <f>CONCATENATE("CATEGORY_",UPPER(Pokemon!B873))</f>
        <v/>
      </c>
      <c r="B899" s="29">
        <f>B11</f>
        <v/>
      </c>
      <c r="C899" s="29">
        <f>C11</f>
        <v/>
      </c>
      <c r="D899" s="29">
        <f>D11</f>
        <v/>
      </c>
      <c r="E899" s="29">
        <f>E11</f>
        <v/>
      </c>
      <c r="F899" s="29">
        <f>F11</f>
        <v/>
      </c>
      <c r="G899" s="29">
        <f>G11</f>
        <v/>
      </c>
      <c r="H899" s="29">
        <f>H11</f>
        <v/>
      </c>
      <c r="I899" s="29">
        <f>I11</f>
        <v/>
      </c>
      <c r="J899" s="29">
        <f>J11</f>
        <v/>
      </c>
      <c r="K899" s="29">
        <f>F899</f>
        <v/>
      </c>
    </row>
    <row r="900">
      <c r="A900" s="29">
        <f>CONCATENATE("CATEGORY_",UPPER(Pokemon!B874))</f>
        <v/>
      </c>
      <c r="B900" s="29" t="inlineStr">
        <is>
          <t>Frost Moth</t>
        </is>
      </c>
      <c r="C900" s="29" t="inlineStr">
        <is>
          <t>こおりが</t>
        </is>
      </c>
      <c r="D900" s="29" t="inlineStr">
        <is>
          <t>Mite Givre</t>
        </is>
      </c>
      <c r="E900" s="29" t="inlineStr">
        <is>
          <t>Eismotten</t>
        </is>
      </c>
      <c r="F900" s="29" t="inlineStr">
        <is>
          <t>Polillahielo</t>
        </is>
      </c>
      <c r="G900" s="29" t="inlineStr">
        <is>
          <t>Gelofalena</t>
        </is>
      </c>
      <c r="H900" s="29" t="inlineStr">
        <is>
          <t>얼음나방</t>
        </is>
      </c>
      <c r="I900" s="29" t="inlineStr">
        <is>
          <t>冰蛾</t>
        </is>
      </c>
      <c r="J900" s="29">
        <f>I900</f>
        <v/>
      </c>
      <c r="K900" s="29">
        <f>F900</f>
        <v/>
      </c>
    </row>
    <row r="901">
      <c r="A901" s="29">
        <f>CONCATENATE("CATEGORY_",UPPER(Pokemon!B875))</f>
        <v/>
      </c>
      <c r="B901" s="29" t="inlineStr">
        <is>
          <t>Big Rock</t>
        </is>
      </c>
      <c r="C901" s="29" t="inlineStr">
        <is>
          <t>きょせき</t>
        </is>
      </c>
      <c r="D901" s="29" t="inlineStr">
        <is>
          <t>Mégalithe</t>
        </is>
      </c>
      <c r="E901" s="29" t="inlineStr">
        <is>
          <t>Megalithen</t>
        </is>
      </c>
      <c r="F901" s="29" t="inlineStr">
        <is>
          <t>Megalito</t>
        </is>
      </c>
      <c r="G901" s="29">
        <f>F901</f>
        <v/>
      </c>
      <c r="H901" s="29" t="inlineStr">
        <is>
          <t>거석</t>
        </is>
      </c>
      <c r="I901" s="29" t="inlineStr">
        <is>
          <t>巨石</t>
        </is>
      </c>
      <c r="J901" s="29">
        <f>I901</f>
        <v/>
      </c>
      <c r="K901" s="29">
        <f>F901</f>
        <v/>
      </c>
    </row>
    <row r="902">
      <c r="A902" s="29">
        <f>CONCATENATE("CATEGORY_",UPPER(Pokemon!B876))</f>
        <v/>
      </c>
      <c r="B902" s="29">
        <f>B407</f>
        <v/>
      </c>
      <c r="C902" s="29">
        <f>C407</f>
        <v/>
      </c>
      <c r="D902" s="29">
        <f>D407</f>
        <v/>
      </c>
      <c r="E902" s="29">
        <f>E407</f>
        <v/>
      </c>
      <c r="F902" s="29">
        <f>F407</f>
        <v/>
      </c>
      <c r="G902" s="29">
        <f>G407</f>
        <v/>
      </c>
      <c r="H902" s="29">
        <f>H407</f>
        <v/>
      </c>
      <c r="I902" s="29">
        <f>I407</f>
        <v/>
      </c>
      <c r="J902" s="29">
        <f>J407</f>
        <v/>
      </c>
      <c r="K902" s="29">
        <f>F902</f>
        <v/>
      </c>
    </row>
    <row r="903">
      <c r="A903" s="29">
        <f>CONCATENATE("CATEGORY_",UPPER(Pokemon!B877))</f>
        <v/>
      </c>
      <c r="B903" s="29">
        <f>B295</f>
        <v/>
      </c>
      <c r="C903" s="29">
        <f>C295</f>
        <v/>
      </c>
      <c r="D903" s="29">
        <f>D295</f>
        <v/>
      </c>
      <c r="E903" s="29">
        <f>E295</f>
        <v/>
      </c>
      <c r="F903" s="29">
        <f>F295</f>
        <v/>
      </c>
      <c r="G903" s="29">
        <f>G295</f>
        <v/>
      </c>
      <c r="H903" s="29">
        <f>H295</f>
        <v/>
      </c>
      <c r="I903" s="29">
        <f>I295</f>
        <v/>
      </c>
      <c r="J903" s="29">
        <f>J295</f>
        <v/>
      </c>
      <c r="K903" s="29">
        <f>F903</f>
        <v/>
      </c>
    </row>
    <row r="904">
      <c r="A904" s="29">
        <f>CONCATENATE("CATEGORY_",UPPER(Pokemon!B878))</f>
        <v/>
      </c>
      <c r="B904" s="29" t="inlineStr">
        <is>
          <t>Two-Sided</t>
        </is>
      </c>
      <c r="C904" s="29" t="inlineStr">
        <is>
          <t>にめん</t>
        </is>
      </c>
      <c r="D904" s="29" t="inlineStr">
        <is>
          <t>Volt Face</t>
        </is>
      </c>
      <c r="E904" s="29" t="inlineStr">
        <is>
          <t>Alter Ego</t>
        </is>
      </c>
      <c r="F904" s="29" t="inlineStr">
        <is>
          <t>Dos Caras</t>
        </is>
      </c>
      <c r="G904" s="29" t="inlineStr">
        <is>
          <t>Doppiafaccia</t>
        </is>
      </c>
      <c r="H904" s="29" t="inlineStr">
        <is>
          <t>양면</t>
        </is>
      </c>
      <c r="I904" s="29" t="inlineStr">
        <is>
          <t>雙面</t>
        </is>
      </c>
      <c r="J904" s="29">
        <f>IFERROR(__xludf.DUMMYFUNCTION("GOOGLETRANSLATE(I904, ""zh_HANT"",""zh_HANS"")"),"双面")</f>
        <v/>
      </c>
      <c r="K904" s="29">
        <f>F904</f>
        <v/>
      </c>
    </row>
    <row r="905">
      <c r="A905" s="29">
        <f>CONCATENATE("CATEGORY_",UPPER(Pokemon!B879))</f>
        <v/>
      </c>
      <c r="B905" s="29" t="inlineStr">
        <is>
          <t>Copperderm</t>
        </is>
      </c>
      <c r="C905" s="29" t="inlineStr">
        <is>
          <t>どうぞう</t>
        </is>
      </c>
      <c r="D905" s="29" t="inlineStr">
        <is>
          <t>Pachycuivre</t>
        </is>
      </c>
      <c r="E905" s="29" t="inlineStr">
        <is>
          <t>Kuperfant</t>
        </is>
      </c>
      <c r="F905" s="29" t="inlineStr">
        <is>
          <t>Broncefante</t>
        </is>
      </c>
      <c r="G905" s="29" t="inlineStr">
        <is>
          <t>Bronzofante</t>
        </is>
      </c>
      <c r="H905" s="29" t="inlineStr">
        <is>
          <t>동상</t>
        </is>
      </c>
      <c r="I905" s="29" t="inlineStr">
        <is>
          <t>像銅</t>
        </is>
      </c>
      <c r="J905" s="29">
        <f>IFERROR(__xludf.DUMMYFUNCTION("GOOGLETRANSLATE(I905, ""zh_HANT"",""zh_HANS"")"),"像铜")</f>
        <v/>
      </c>
      <c r="K905" s="29">
        <f>F905</f>
        <v/>
      </c>
    </row>
    <row r="906">
      <c r="A906" s="29">
        <f>CONCATENATE("CATEGORY_",UPPER(Pokemon!B880))</f>
        <v/>
      </c>
      <c r="B906" s="29">
        <f>B905</f>
        <v/>
      </c>
      <c r="C906" s="29">
        <f>C905</f>
        <v/>
      </c>
      <c r="D906" s="29">
        <f>D905</f>
        <v/>
      </c>
      <c r="E906" s="29">
        <f>E905</f>
        <v/>
      </c>
      <c r="F906" s="29">
        <f>F905</f>
        <v/>
      </c>
      <c r="G906" s="29">
        <f>G905</f>
        <v/>
      </c>
      <c r="H906" s="29">
        <f>H905</f>
        <v/>
      </c>
      <c r="I906" s="29">
        <f>I905</f>
        <v/>
      </c>
      <c r="J906" s="29">
        <f>J905</f>
        <v/>
      </c>
      <c r="K906" s="29">
        <f>F906</f>
        <v/>
      </c>
    </row>
    <row r="907">
      <c r="A907" s="29">
        <f>CONCATENATE("CATEGORY_",UPPER(Pokemon!B881))</f>
        <v/>
      </c>
      <c r="B907" s="29">
        <f>B149</f>
        <v/>
      </c>
      <c r="C907" s="29">
        <f>C149</f>
        <v/>
      </c>
      <c r="D907" s="29">
        <f>D149</f>
        <v/>
      </c>
      <c r="E907" s="29">
        <f>E149</f>
        <v/>
      </c>
      <c r="F907" s="29">
        <f>F149</f>
        <v/>
      </c>
      <c r="G907" s="29">
        <f>G149</f>
        <v/>
      </c>
      <c r="H907" s="29">
        <f>H149</f>
        <v/>
      </c>
      <c r="I907" s="29">
        <f>I149</f>
        <v/>
      </c>
      <c r="J907" s="29">
        <f>J149</f>
        <v/>
      </c>
      <c r="K907" s="29">
        <f>F907</f>
        <v/>
      </c>
    </row>
    <row r="908">
      <c r="A908" s="29">
        <f>CONCATENATE("CATEGORY_",UPPER(Pokemon!B882))</f>
        <v/>
      </c>
      <c r="B908" s="29">
        <f>B149</f>
        <v/>
      </c>
      <c r="C908" s="29">
        <f>C149</f>
        <v/>
      </c>
      <c r="D908" s="29">
        <f>D149</f>
        <v/>
      </c>
      <c r="E908" s="29">
        <f>E149</f>
        <v/>
      </c>
      <c r="F908" s="29">
        <f>F149</f>
        <v/>
      </c>
      <c r="G908" s="29">
        <f>G149</f>
        <v/>
      </c>
      <c r="H908" s="29">
        <f>H149</f>
        <v/>
      </c>
      <c r="I908" s="29">
        <f>I149</f>
        <v/>
      </c>
      <c r="J908" s="29">
        <f>J149</f>
        <v/>
      </c>
      <c r="K908" s="29">
        <f>F908</f>
        <v/>
      </c>
    </row>
    <row r="909">
      <c r="A909" s="29">
        <f>CONCATENATE("CATEGORY_",UPPER(Pokemon!B883))</f>
        <v/>
      </c>
      <c r="B909" s="29">
        <f>B149</f>
        <v/>
      </c>
      <c r="C909" s="29">
        <f>C149</f>
        <v/>
      </c>
      <c r="D909" s="29">
        <f>D149</f>
        <v/>
      </c>
      <c r="E909" s="29">
        <f>E149</f>
        <v/>
      </c>
      <c r="F909" s="29">
        <f>F149</f>
        <v/>
      </c>
      <c r="G909" s="29">
        <f>G149</f>
        <v/>
      </c>
      <c r="H909" s="29">
        <f>H149</f>
        <v/>
      </c>
      <c r="I909" s="29">
        <f>I149</f>
        <v/>
      </c>
      <c r="J909" s="29">
        <f>J149</f>
        <v/>
      </c>
      <c r="K909" s="29">
        <f>F909</f>
        <v/>
      </c>
    </row>
    <row r="910">
      <c r="A910" s="29">
        <f>CONCATENATE("CATEGORY_",UPPER(Pokemon!B884))</f>
        <v/>
      </c>
      <c r="B910" s="29">
        <f>B149</f>
        <v/>
      </c>
      <c r="C910" s="29">
        <f>C149</f>
        <v/>
      </c>
      <c r="D910" s="29">
        <f>D149</f>
        <v/>
      </c>
      <c r="E910" s="29">
        <f>E149</f>
        <v/>
      </c>
      <c r="F910" s="29">
        <f>F149</f>
        <v/>
      </c>
      <c r="G910" s="29">
        <f>G149</f>
        <v/>
      </c>
      <c r="H910" s="29">
        <f>H149</f>
        <v/>
      </c>
      <c r="I910" s="29">
        <f>I149</f>
        <v/>
      </c>
      <c r="J910" s="29">
        <f>J149</f>
        <v/>
      </c>
      <c r="K910" s="29">
        <f>F910</f>
        <v/>
      </c>
    </row>
    <row r="911">
      <c r="A911" s="29">
        <f>CONCATENATE("CATEGORY_",UPPER(Pokemon!B885))</f>
        <v/>
      </c>
      <c r="B911" s="29" t="inlineStr">
        <is>
          <t>Alloy</t>
        </is>
      </c>
      <c r="C911" s="29" t="inlineStr">
        <is>
          <t>ごうきん</t>
        </is>
      </c>
      <c r="D911" s="29" t="inlineStr">
        <is>
          <t>Alliage</t>
        </is>
      </c>
      <c r="E911" s="29" t="inlineStr">
        <is>
          <t>Legierungs</t>
        </is>
      </c>
      <c r="F911" s="29" t="inlineStr">
        <is>
          <t>Aleación</t>
        </is>
      </c>
      <c r="G911" s="29" t="inlineStr">
        <is>
          <t>Metallolega</t>
        </is>
      </c>
      <c r="H911" s="29" t="inlineStr">
        <is>
          <t>합금</t>
        </is>
      </c>
      <c r="I911" s="29" t="inlineStr">
        <is>
          <t>合金</t>
        </is>
      </c>
      <c r="J911" s="29">
        <f>I911</f>
        <v/>
      </c>
      <c r="K911" s="29">
        <f>F911</f>
        <v/>
      </c>
    </row>
    <row r="912">
      <c r="A912" s="29">
        <f>CONCATENATE("CATEGORY_",UPPER(Pokemon!B886))</f>
        <v/>
      </c>
      <c r="B912" s="29" t="inlineStr">
        <is>
          <t>Lingering</t>
        </is>
      </c>
      <c r="C912" s="29" t="inlineStr">
        <is>
          <t>うらめし</t>
        </is>
      </c>
      <c r="D912" s="29" t="inlineStr">
        <is>
          <t>Âme Errante</t>
        </is>
      </c>
      <c r="E912" s="29" t="inlineStr">
        <is>
          <t>Missgunst</t>
        </is>
      </c>
      <c r="F912" s="29" t="inlineStr">
        <is>
          <t>Resentido</t>
        </is>
      </c>
      <c r="G912" s="29" t="inlineStr">
        <is>
          <t>Risentimento</t>
        </is>
      </c>
      <c r="H912" s="29" t="inlineStr">
        <is>
          <t>원망</t>
        </is>
      </c>
      <c r="I912" s="29" t="inlineStr">
        <is>
          <t>哀怨</t>
        </is>
      </c>
      <c r="J912" s="29">
        <f>I912</f>
        <v/>
      </c>
      <c r="K912" s="29">
        <f>F912</f>
        <v/>
      </c>
    </row>
    <row r="913">
      <c r="A913" s="29">
        <f>CONCATENATE("CATEGORY_",UPPER(Pokemon!B887))</f>
        <v/>
      </c>
      <c r="B913" s="29" t="inlineStr">
        <is>
          <t>Caretaker</t>
        </is>
      </c>
      <c r="C913" s="29" t="inlineStr">
        <is>
          <t>せわやく</t>
        </is>
      </c>
      <c r="D913" s="29" t="inlineStr">
        <is>
          <t>Baby-sitter</t>
        </is>
      </c>
      <c r="E913" s="29" t="inlineStr">
        <is>
          <t>Betreuer</t>
        </is>
      </c>
      <c r="F913" s="29" t="inlineStr">
        <is>
          <t>Cuidador</t>
        </is>
      </c>
      <c r="G913" s="29" t="inlineStr">
        <is>
          <t>Sostegno</t>
        </is>
      </c>
      <c r="H913" s="29" t="inlineStr">
        <is>
          <t>돌보미</t>
        </is>
      </c>
      <c r="I913" s="29" t="inlineStr">
        <is>
          <t>保姆</t>
        </is>
      </c>
      <c r="J913" s="29">
        <f>I913</f>
        <v/>
      </c>
      <c r="K913" s="29">
        <f>F913</f>
        <v/>
      </c>
    </row>
    <row r="914">
      <c r="A914" s="29">
        <f>CONCATENATE("CATEGORY_",UPPER(Pokemon!B888))</f>
        <v/>
      </c>
      <c r="B914" s="29" t="inlineStr">
        <is>
          <t>Stealth</t>
        </is>
      </c>
      <c r="C914" s="29" t="inlineStr">
        <is>
          <t>ステルス</t>
        </is>
      </c>
      <c r="D914" s="29" t="inlineStr">
        <is>
          <t>Furtif</t>
        </is>
      </c>
      <c r="E914" s="29" t="inlineStr">
        <is>
          <t>Tarnkünstler</t>
        </is>
      </c>
      <c r="F914" s="29" t="inlineStr">
        <is>
          <t>Furtivo</t>
        </is>
      </c>
      <c r="G914" s="29">
        <f>F914</f>
        <v/>
      </c>
      <c r="H914" s="29" t="inlineStr">
        <is>
          <t>스텔스</t>
        </is>
      </c>
      <c r="I914" s="29" t="inlineStr">
        <is>
          <t>隱形</t>
        </is>
      </c>
      <c r="J914" s="29">
        <f>IFERROR(__xludf.DUMMYFUNCTION("GOOGLETRANSLATE(I914, ""zh_HANT"",""zh_HANS"")"),"隐形")</f>
        <v/>
      </c>
      <c r="K914" s="29">
        <f>F914</f>
        <v/>
      </c>
    </row>
    <row r="915">
      <c r="A915" s="29">
        <f>CONCATENATE("CATEGORY_",UPPER(Pokemon!B889))</f>
        <v/>
      </c>
      <c r="B915" s="29" t="inlineStr">
        <is>
          <t>Warrior</t>
        </is>
      </c>
      <c r="C915" s="29" t="inlineStr">
        <is>
          <t>つわもの</t>
        </is>
      </c>
      <c r="D915" s="29" t="inlineStr">
        <is>
          <t>Valeureux</t>
        </is>
      </c>
      <c r="E915" s="29" t="inlineStr">
        <is>
          <t>Krieger</t>
        </is>
      </c>
      <c r="F915" s="29" t="inlineStr">
        <is>
          <t>Guerrero</t>
        </is>
      </c>
      <c r="G915" s="29" t="inlineStr">
        <is>
          <t>Guerriero</t>
        </is>
      </c>
      <c r="H915" s="29" t="inlineStr">
        <is>
          <t>강자</t>
        </is>
      </c>
      <c r="I915" s="29" t="inlineStr">
        <is>
          <t>強者</t>
        </is>
      </c>
      <c r="J915" s="29">
        <f>IFERROR(__xludf.DUMMYFUNCTION("GOOGLETRANSLATE(I915, ""zh_HANT"",""zh_HANS"")"),"强者")</f>
        <v/>
      </c>
      <c r="K915" s="29">
        <f>F915</f>
        <v/>
      </c>
    </row>
    <row r="916">
      <c r="A916" s="29">
        <f>CONCATENATE("CATEGORY_",UPPER(Pokemon!B890))</f>
        <v/>
      </c>
      <c r="B916" s="29">
        <f>B915</f>
        <v/>
      </c>
      <c r="C916" s="29">
        <f>C915</f>
        <v/>
      </c>
      <c r="D916" s="29">
        <f>D915</f>
        <v/>
      </c>
      <c r="E916" s="29">
        <f>E915</f>
        <v/>
      </c>
      <c r="F916" s="29">
        <f>F915</f>
        <v/>
      </c>
      <c r="G916" s="29">
        <f>G915</f>
        <v/>
      </c>
      <c r="H916" s="29">
        <f>H915</f>
        <v/>
      </c>
      <c r="I916" s="29">
        <f>I915</f>
        <v/>
      </c>
      <c r="J916" s="29">
        <f>J915</f>
        <v/>
      </c>
      <c r="K916" s="29">
        <f>F916</f>
        <v/>
      </c>
    </row>
    <row r="917">
      <c r="A917" s="29">
        <f>CONCATENATE("CATEGORY_",UPPER(Pokemon!B891))</f>
        <v/>
      </c>
      <c r="B917" s="29" t="inlineStr">
        <is>
          <t>Gigantic</t>
        </is>
      </c>
      <c r="C917" s="29" t="inlineStr">
        <is>
          <t>キョダイ</t>
        </is>
      </c>
      <c r="D917" s="29" t="inlineStr">
        <is>
          <t>Giga</t>
        </is>
      </c>
      <c r="E917" s="29" t="inlineStr">
        <is>
          <t>Giganten</t>
        </is>
      </c>
      <c r="F917" s="29" t="inlineStr">
        <is>
          <t>Gigantesco</t>
        </is>
      </c>
      <c r="G917" s="29" t="inlineStr">
        <is>
          <t>Gigante</t>
        </is>
      </c>
      <c r="H917" s="29" t="inlineStr">
        <is>
          <t>거대</t>
        </is>
      </c>
      <c r="I917" s="29" t="inlineStr">
        <is>
          <t>超極巨</t>
        </is>
      </c>
      <c r="J917" s="29">
        <f>IFERROR(__xludf.DUMMYFUNCTION("GOOGLETRANSLATE(I917, ""zh_HANT"",""zh_HANS"")"),"超极巨")</f>
        <v/>
      </c>
      <c r="K917" s="29">
        <f>F917</f>
        <v/>
      </c>
    </row>
    <row r="918">
      <c r="A918" s="29">
        <f>CONCATENATE("CATEGORY_",UPPER(Pokemon!B892))</f>
        <v/>
      </c>
      <c r="B918" s="29" t="inlineStr">
        <is>
          <t>Wushu</t>
        </is>
      </c>
      <c r="C918" s="29" t="inlineStr">
        <is>
          <t>けんぽう</t>
        </is>
      </c>
      <c r="D918" s="29" t="inlineStr">
        <is>
          <t>Kung-Fu</t>
        </is>
      </c>
      <c r="E918" s="29">
        <f>D918</f>
        <v/>
      </c>
      <c r="F918" s="29" t="inlineStr">
        <is>
          <t>Kung-fu</t>
        </is>
      </c>
      <c r="G918" s="29" t="inlineStr">
        <is>
          <t>Kung Fu</t>
        </is>
      </c>
      <c r="H918" s="29" t="inlineStr">
        <is>
          <t>권법</t>
        </is>
      </c>
      <c r="I918" s="29">
        <f>J918</f>
        <v/>
      </c>
      <c r="J918" s="29" t="inlineStr">
        <is>
          <t>拳法</t>
        </is>
      </c>
      <c r="K918" s="29">
        <f>F918</f>
        <v/>
      </c>
    </row>
    <row r="919">
      <c r="A919" s="29">
        <f>CONCATENATE("CATEGORY_",UPPER(Pokemon!B893))</f>
        <v/>
      </c>
      <c r="B919" s="29">
        <f>B918</f>
        <v/>
      </c>
      <c r="C919" s="29">
        <f>C918</f>
        <v/>
      </c>
      <c r="D919" s="29">
        <f>D918</f>
        <v/>
      </c>
      <c r="E919" s="29">
        <f>E918</f>
        <v/>
      </c>
      <c r="F919" s="29">
        <f>F918</f>
        <v/>
      </c>
      <c r="G919" s="29">
        <f>G918</f>
        <v/>
      </c>
      <c r="H919" s="29">
        <f>H918</f>
        <v/>
      </c>
      <c r="I919" s="29">
        <f>I918</f>
        <v/>
      </c>
      <c r="J919" s="29">
        <f>J918</f>
        <v/>
      </c>
      <c r="K919" s="29">
        <f>F919</f>
        <v/>
      </c>
    </row>
    <row r="920">
      <c r="A920" s="29">
        <f>CONCATENATE("CATEGORY_",UPPER(Pokemon!B894))</f>
        <v/>
      </c>
      <c r="B920" s="29" t="inlineStr">
        <is>
          <t>Rogue Monkey</t>
        </is>
      </c>
      <c r="C920" s="29" t="inlineStr">
        <is>
          <t>わるざる</t>
        </is>
      </c>
      <c r="D920" s="29" t="inlineStr">
        <is>
          <t>Vilain Singe</t>
        </is>
      </c>
      <c r="E920" s="29" t="inlineStr">
        <is>
          <t>Finsteraffen</t>
        </is>
      </c>
      <c r="F920" s="29" t="inlineStr">
        <is>
          <t>Simiestro</t>
        </is>
      </c>
      <c r="G920" s="29" t="inlineStr">
        <is>
          <t>Scimmialigna</t>
        </is>
      </c>
      <c r="H920" s="29" t="inlineStr">
        <is>
          <t>나쁜원숭이</t>
        </is>
      </c>
      <c r="I920" s="29">
        <f>IFERROR(__xludf.DUMMYFUNCTION("GOOGLETRANSLATE(J920,""zh_HANS"",""zh_HANT"")"),"惡猿")</f>
        <v/>
      </c>
      <c r="J920" s="29" t="inlineStr">
        <is>
          <t>恶猿</t>
        </is>
      </c>
      <c r="K920" s="29">
        <f>F920</f>
        <v/>
      </c>
    </row>
    <row r="921">
      <c r="A921" s="29">
        <f>CONCATENATE("CATEGORY_",UPPER(Pokemon!B895))</f>
        <v/>
      </c>
      <c r="B921" s="29" t="inlineStr">
        <is>
          <t>Electron</t>
        </is>
      </c>
      <c r="C921" s="29" t="inlineStr">
        <is>
          <t>エレクトロン</t>
        </is>
      </c>
      <c r="D921" s="29" t="inlineStr">
        <is>
          <t>Électron</t>
        </is>
      </c>
      <c r="E921" s="29" t="inlineStr">
        <is>
          <t>Elektronen</t>
        </is>
      </c>
      <c r="F921" s="29" t="inlineStr">
        <is>
          <t>Electrón</t>
        </is>
      </c>
      <c r="G921" s="29" t="inlineStr">
        <is>
          <t>Elettrone</t>
        </is>
      </c>
      <c r="H921" s="29" t="inlineStr">
        <is>
          <t>일렉트론</t>
        </is>
      </c>
      <c r="I921" s="29">
        <f>IFERROR(__xludf.DUMMYFUNCTION("GOOGLETRANSLATE(J921,""zh_HANS"",""zh_HANT"")"),"電子")</f>
        <v/>
      </c>
      <c r="J921" s="29" t="inlineStr">
        <is>
          <t>电子</t>
        </is>
      </c>
      <c r="K921" s="29">
        <f>F921</f>
        <v/>
      </c>
    </row>
    <row r="922">
      <c r="A922" s="29">
        <f>CONCATENATE("CATEGORY_",UPPER(Pokemon!B896))</f>
        <v/>
      </c>
      <c r="B922" s="29" t="inlineStr">
        <is>
          <t>Dragon Maw</t>
        </is>
      </c>
      <c r="C922" s="29" t="inlineStr">
        <is>
          <t>りゅうきょく</t>
        </is>
      </c>
      <c r="D922" s="29" t="inlineStr">
        <is>
          <t>Boule Dragon</t>
        </is>
      </c>
      <c r="E922" s="29" t="inlineStr">
        <is>
          <t>Drachenkugel</t>
        </is>
      </c>
      <c r="F922" s="29" t="inlineStr">
        <is>
          <t>Dragoesfera</t>
        </is>
      </c>
      <c r="G922" s="29" t="inlineStr">
        <is>
          <t>Dracosfera</t>
        </is>
      </c>
      <c r="H922" s="29" t="inlineStr">
        <is>
          <t>용옥</t>
        </is>
      </c>
      <c r="I922" s="29">
        <f>IFERROR(__xludf.DUMMYFUNCTION("GOOGLETRANSLATE(J922,""zh_HANS"",""zh_HANT"")"),"龍玉")</f>
        <v/>
      </c>
      <c r="J922" s="29" t="inlineStr">
        <is>
          <t>龙玉</t>
        </is>
      </c>
      <c r="K922" s="29">
        <f>F922</f>
        <v/>
      </c>
    </row>
    <row r="923">
      <c r="A923" s="29">
        <f>CONCATENATE("CATEGORY_",UPPER(Pokemon!B897))</f>
        <v/>
      </c>
      <c r="B923" s="29" t="inlineStr">
        <is>
          <t>Wild Horse</t>
        </is>
      </c>
      <c r="C923" s="29" t="inlineStr">
        <is>
          <t>あばれうま</t>
        </is>
      </c>
      <c r="D923" s="29" t="inlineStr">
        <is>
          <t>Cheval Rétif</t>
        </is>
      </c>
      <c r="E923" s="29" t="inlineStr">
        <is>
          <t>Wildblut</t>
        </is>
      </c>
      <c r="F923" s="29" t="inlineStr">
        <is>
          <t>Corcel Feroz</t>
        </is>
      </c>
      <c r="G923" s="29" t="inlineStr">
        <is>
          <t>Furiequino</t>
        </is>
      </c>
      <c r="H923" s="29" t="inlineStr">
        <is>
          <t>사나운말</t>
        </is>
      </c>
      <c r="I923" s="29">
        <f>IFERROR(__xludf.DUMMYFUNCTION("GOOGLETRANSLATE(J923,""zh_HANS"",""zh_HANT"")"),"烈馬")</f>
        <v/>
      </c>
      <c r="J923" s="29" t="inlineStr">
        <is>
          <t>烈马</t>
        </is>
      </c>
      <c r="K923" s="29">
        <f>F923</f>
        <v/>
      </c>
    </row>
    <row r="924">
      <c r="A924" s="29">
        <f>CONCATENATE("CATEGORY_",UPPER(Pokemon!B898))</f>
        <v/>
      </c>
      <c r="B924" s="29" t="inlineStr">
        <is>
          <t>Swift Horse</t>
        </is>
      </c>
      <c r="C924" s="29" t="inlineStr">
        <is>
          <t>しゅんば</t>
        </is>
      </c>
      <c r="D924" s="29" t="inlineStr">
        <is>
          <t>Cheval Vif</t>
        </is>
      </c>
      <c r="E924" s="29" t="inlineStr">
        <is>
          <t>Flinkblut</t>
        </is>
      </c>
      <c r="F924" s="29" t="inlineStr">
        <is>
          <t>Corcel Veloz</t>
        </is>
      </c>
      <c r="G924" s="29" t="inlineStr">
        <is>
          <t>Sveltequino</t>
        </is>
      </c>
      <c r="H924" s="29" t="inlineStr">
        <is>
          <t>빠른말</t>
        </is>
      </c>
      <c r="I924" s="29">
        <f>IFERROR(__xludf.DUMMYFUNCTION("GOOGLETRANSLATE(J924,""zh_HANS"",""zh_HANT"")"),"駿馬")</f>
        <v/>
      </c>
      <c r="J924" s="29" t="inlineStr">
        <is>
          <t>骏马</t>
        </is>
      </c>
      <c r="K924" s="29">
        <f>F924</f>
        <v/>
      </c>
    </row>
    <row r="925">
      <c r="A925" s="29">
        <f>CONCATENATE("CATEGORY_",UPPER(Pokemon!B899))</f>
        <v/>
      </c>
      <c r="B925" s="29" t="inlineStr">
        <is>
          <t>King</t>
        </is>
      </c>
      <c r="C925" s="29" t="inlineStr">
        <is>
          <t>キング</t>
        </is>
      </c>
      <c r="D925" s="29" t="inlineStr">
        <is>
          <t>Roi</t>
        </is>
      </c>
      <c r="E925" s="29" t="inlineStr">
        <is>
          <t>Königs</t>
        </is>
      </c>
      <c r="F925" s="29" t="inlineStr">
        <is>
          <t>Rey</t>
        </is>
      </c>
      <c r="G925" s="29" t="inlineStr">
        <is>
          <t>Re</t>
        </is>
      </c>
      <c r="H925" s="29" t="inlineStr">
        <is>
          <t>킹</t>
        </is>
      </c>
      <c r="I925" s="29">
        <f>IFERROR(__xludf.DUMMYFUNCTION("GOOGLETRANSLATE(J925,""zh_HANS"",""zh_HANT"")"),"國王")</f>
        <v/>
      </c>
      <c r="J925" s="29" t="inlineStr">
        <is>
          <t>国王</t>
        </is>
      </c>
      <c r="K925" s="29">
        <f>F925</f>
        <v/>
      </c>
    </row>
    <row r="926">
      <c r="A926" s="29">
        <f>CONCATENATE(A925,"-I")</f>
        <v/>
      </c>
      <c r="B926" s="29" t="inlineStr">
        <is>
          <t>High King</t>
        </is>
      </c>
      <c r="C926" s="29" t="inlineStr">
        <is>
          <t>エンペラー</t>
        </is>
      </c>
      <c r="D926" s="29" t="inlineStr">
        <is>
          <t>Empereur</t>
        </is>
      </c>
      <c r="E926" s="29">
        <f>E409</f>
        <v/>
      </c>
      <c r="F926" s="29">
        <f>F409</f>
        <v/>
      </c>
      <c r="G926" s="29" t="inlineStr">
        <is>
          <t>Imperatore</t>
        </is>
      </c>
      <c r="H926" s="29" t="inlineStr">
        <is>
          <t>엠페러</t>
        </is>
      </c>
      <c r="I926" s="29">
        <f>J926</f>
        <v/>
      </c>
      <c r="J926" s="29" t="inlineStr">
        <is>
          <t>帝皇</t>
        </is>
      </c>
      <c r="K926" s="29">
        <f>F926</f>
        <v/>
      </c>
    </row>
    <row r="927">
      <c r="A927" s="29">
        <f>CONCATENATE(A925,"-S")</f>
        <v/>
      </c>
      <c r="B927" s="29">
        <f>B926</f>
        <v/>
      </c>
      <c r="C927" s="29">
        <f>C926</f>
        <v/>
      </c>
      <c r="D927" s="29">
        <f>D926</f>
        <v/>
      </c>
      <c r="E927" s="29">
        <f>E409</f>
        <v/>
      </c>
      <c r="F927" s="29">
        <f>F409</f>
        <v/>
      </c>
      <c r="G927" s="29">
        <f>G926</f>
        <v/>
      </c>
      <c r="H927" s="29">
        <f>H926</f>
        <v/>
      </c>
      <c r="I927" s="29">
        <f>I926</f>
        <v/>
      </c>
      <c r="J927" s="29">
        <f>J926</f>
        <v/>
      </c>
      <c r="K927" s="29">
        <f>F927</f>
        <v/>
      </c>
    </row>
    <row r="928">
      <c r="A928" s="29">
        <f>CONCATENATE("CATEGORY_",UPPER(Pokemon!B900))</f>
        <v/>
      </c>
      <c r="B928" s="29">
        <f>B248</f>
        <v/>
      </c>
      <c r="C928" s="29">
        <f>C248</f>
        <v/>
      </c>
      <c r="D928" s="29">
        <f>D248</f>
        <v/>
      </c>
      <c r="E928" s="29">
        <f>E248</f>
        <v/>
      </c>
      <c r="F928" s="29">
        <f>F248</f>
        <v/>
      </c>
      <c r="G928" s="29">
        <f>G248</f>
        <v/>
      </c>
      <c r="H928" s="29">
        <f>H248</f>
        <v/>
      </c>
      <c r="I928" s="29">
        <f>I248</f>
        <v/>
      </c>
      <c r="J928" s="29">
        <f>J248</f>
        <v/>
      </c>
      <c r="K928" s="29">
        <f>F928</f>
        <v/>
      </c>
    </row>
    <row r="929">
      <c r="A929" s="29">
        <f>CONCATENATE("CATEGORY_",UPPER(Pokemon!B901))</f>
        <v/>
      </c>
      <c r="B929" s="29" t="inlineStr">
        <is>
          <t>Axe</t>
        </is>
      </c>
      <c r="C929" s="29" t="inlineStr">
        <is>
          <t>まさかり</t>
        </is>
      </c>
      <c r="D929" s="29" t="inlineStr">
        <is>
          <t>Hache</t>
        </is>
      </c>
      <c r="E929" s="29" t="inlineStr">
        <is>
          <t>Axt</t>
        </is>
      </c>
      <c r="F929" s="29" t="inlineStr">
        <is>
          <t>Hacha</t>
        </is>
      </c>
      <c r="G929" s="29" t="inlineStr">
        <is>
          <t>Scure</t>
        </is>
      </c>
      <c r="H929" s="29" t="inlineStr">
        <is>
          <t>큰도끼</t>
        </is>
      </c>
      <c r="I929" s="29">
        <f>IFERROR(__xludf.DUMMYFUNCTION("GOOGLETRANSLATE(J929,""zh_HANS"",""zh_HANT"")"),"斧鈸")</f>
        <v/>
      </c>
      <c r="J929" s="29" t="inlineStr">
        <is>
          <t>斧钺</t>
        </is>
      </c>
      <c r="K929" s="29">
        <f>F929</f>
        <v/>
      </c>
    </row>
    <row r="930">
      <c r="A930" s="29">
        <f>CONCATENATE("CATEGORY_",UPPER(Pokemon!B902))</f>
        <v/>
      </c>
      <c r="B930" s="29" t="inlineStr">
        <is>
          <t>Peat</t>
        </is>
      </c>
      <c r="C930" s="29" t="inlineStr">
        <is>
          <t>でいたん</t>
        </is>
      </c>
      <c r="D930" s="29" t="inlineStr">
        <is>
          <t>Tourbe</t>
        </is>
      </c>
      <c r="E930" s="29" t="inlineStr">
        <is>
          <t>Torf</t>
        </is>
      </c>
      <c r="F930" s="29" t="inlineStr">
        <is>
          <t>Turba</t>
        </is>
      </c>
      <c r="G930" s="29" t="inlineStr">
        <is>
          <t>Torba</t>
        </is>
      </c>
      <c r="H930" s="6" t="inlineStr">
        <is>
          <t>피트</t>
        </is>
      </c>
      <c r="I930" s="29">
        <f>J930</f>
        <v/>
      </c>
      <c r="J930" s="29" t="inlineStr">
        <is>
          <t>泥炭</t>
        </is>
      </c>
      <c r="K930" s="29">
        <f>F930</f>
        <v/>
      </c>
    </row>
    <row r="931">
      <c r="A931" s="29">
        <f>CONCATENATE("CATEGORY_",UPPER(Pokemon!B903))</f>
        <v/>
      </c>
      <c r="B931" s="29" t="inlineStr">
        <is>
          <t>Big Fish</t>
        </is>
      </c>
      <c r="C931" s="29" t="inlineStr">
        <is>
          <t>おおうお</t>
        </is>
      </c>
      <c r="D931" s="29" t="inlineStr">
        <is>
          <t>Poissigrand</t>
        </is>
      </c>
      <c r="E931" s="29" t="inlineStr">
        <is>
          <t>Großfisch</t>
        </is>
      </c>
      <c r="F931" s="29" t="inlineStr">
        <is>
          <t>Gran Pez</t>
        </is>
      </c>
      <c r="G931" s="29" t="inlineStr">
        <is>
          <t>Pescegrosso</t>
        </is>
      </c>
      <c r="H931" s="29" t="inlineStr">
        <is>
          <t>큰물고기</t>
        </is>
      </c>
      <c r="I931" s="29">
        <f>IFERROR(__xludf.DUMMYFUNCTION("GOOGLETRANSLATE(J931,""zh_HANS"",""zh_HANT"")"),"大魚")</f>
        <v/>
      </c>
      <c r="J931" s="29" t="inlineStr">
        <is>
          <t>大鱼</t>
        </is>
      </c>
      <c r="K931" s="29">
        <f>F931</f>
        <v/>
      </c>
    </row>
    <row r="932">
      <c r="A932" s="29">
        <f>CONCATENATE("CATEGORY_",UPPER(Pokemon!B904))</f>
        <v/>
      </c>
      <c r="B932" s="29" t="inlineStr">
        <is>
          <t>Free Climb</t>
        </is>
      </c>
      <c r="C932" s="29" t="inlineStr">
        <is>
          <t>クライミング</t>
        </is>
      </c>
      <c r="D932" s="29" t="inlineStr">
        <is>
          <t>Grimpeur</t>
        </is>
      </c>
      <c r="E932" s="29" t="inlineStr">
        <is>
          <t>Kletterei</t>
        </is>
      </c>
      <c r="F932" s="29" t="inlineStr">
        <is>
          <t>Escalada</t>
        </is>
      </c>
      <c r="G932" s="29" t="inlineStr">
        <is>
          <t>Scalata</t>
        </is>
      </c>
      <c r="H932" s="29" t="inlineStr">
        <is>
          <t>클라이밍</t>
        </is>
      </c>
      <c r="I932" s="29">
        <f>J932</f>
        <v/>
      </c>
      <c r="J932" s="29" t="inlineStr">
        <is>
          <t>攀崖</t>
        </is>
      </c>
      <c r="K932" s="29">
        <f>F932</f>
        <v/>
      </c>
    </row>
    <row r="933">
      <c r="A933" s="29">
        <f>CONCATENATE("CATEGORY_",UPPER(Pokemon!B905))</f>
        <v/>
      </c>
      <c r="B933" s="29" t="inlineStr">
        <is>
          <t>Pine Cluster</t>
        </is>
      </c>
      <c r="C933" s="29" t="inlineStr">
        <is>
          <t>けんざん</t>
        </is>
      </c>
      <c r="D933" s="29" t="inlineStr">
        <is>
          <t>Épineux</t>
        </is>
      </c>
      <c r="E933" s="29" t="inlineStr">
        <is>
          <t>Tausenddorn</t>
        </is>
      </c>
      <c r="F933" s="29" t="inlineStr">
        <is>
          <t>Espinoso</t>
        </is>
      </c>
      <c r="G933" s="29" t="inlineStr">
        <is>
          <t>Spinoso</t>
        </is>
      </c>
      <c r="H933" s="29" t="inlineStr">
        <is>
          <t>침붕</t>
        </is>
      </c>
      <c r="I933" s="29">
        <f>IFERROR(__xludf.DUMMYFUNCTION("GOOGLETRANSLATE(J933,""zh_HANS"",""zh_HANT"")"),"劍山")</f>
        <v/>
      </c>
      <c r="J933" s="29" t="inlineStr">
        <is>
          <t>剑山</t>
        </is>
      </c>
      <c r="K933" s="29">
        <f>F933</f>
        <v/>
      </c>
    </row>
    <row r="934">
      <c r="A934" s="29">
        <f>CONCATENATE("CATEGORY_",UPPER(Pokemon!B906))</f>
        <v/>
      </c>
      <c r="B934" s="29" t="inlineStr">
        <is>
          <t>Love-Hate</t>
        </is>
      </c>
      <c r="C934" s="29" t="inlineStr">
        <is>
          <t>あいぞう</t>
        </is>
      </c>
      <c r="D934" s="29" t="inlineStr">
        <is>
          <t>Hainamour</t>
        </is>
      </c>
      <c r="E934" s="29" t="inlineStr">
        <is>
          <t>Hassliebe</t>
        </is>
      </c>
      <c r="F934" s="29" t="inlineStr">
        <is>
          <t>Amorodio</t>
        </is>
      </c>
      <c r="G934" s="29" t="inlineStr">
        <is>
          <t>Amoreodio</t>
        </is>
      </c>
      <c r="H934" s="29" t="inlineStr">
        <is>
          <t>애증</t>
        </is>
      </c>
      <c r="I934" s="29">
        <f>IFERROR(__xludf.DUMMYFUNCTION("GOOGLETRANSLATE(J934,""zh_HANS"",""zh_HANT"")"),"愛憎")</f>
        <v/>
      </c>
      <c r="J934" s="29" t="inlineStr">
        <is>
          <t>爱憎</t>
        </is>
      </c>
      <c r="K934" s="29">
        <f>F934</f>
        <v/>
      </c>
    </row>
    <row r="935">
      <c r="A935" s="29">
        <f>CONCATENATE("CATEGORY_",UPPER(Pokemon!B907))</f>
        <v/>
      </c>
      <c r="B935" s="29" t="inlineStr">
        <is>
          <t>Grass Cat</t>
        </is>
      </c>
      <c r="C935" s="29" t="inlineStr">
        <is>
          <t>くさねこ</t>
        </is>
      </c>
      <c r="D935" s="29" t="inlineStr">
        <is>
          <t>Chat Plante</t>
        </is>
      </c>
      <c r="E935" s="29" t="inlineStr">
        <is>
          <t>Florakatzen</t>
        </is>
      </c>
      <c r="F935" s="29" t="inlineStr">
        <is>
          <t>Gato Planta</t>
        </is>
      </c>
      <c r="G935" s="29" t="inlineStr">
        <is>
          <t>Erbagatto</t>
        </is>
      </c>
      <c r="H935" s="29" t="inlineStr">
        <is>
          <t>풀고양이</t>
        </is>
      </c>
      <c r="I935" s="29">
        <f>IFERROR(__xludf.DUMMYFUNCTION("GOOGLETRANSLATE(J935,""zh_HANS"",""zh_HANT"")"),"草貓")</f>
        <v/>
      </c>
      <c r="J935" s="29" t="inlineStr">
        <is>
          <t>草猫</t>
        </is>
      </c>
      <c r="K935" s="29">
        <f>F935</f>
        <v/>
      </c>
    </row>
    <row r="936">
      <c r="A936" s="29">
        <f>CONCATENATE("CATEGORY_",UPPER(Pokemon!B908))</f>
        <v/>
      </c>
      <c r="B936" s="29">
        <f>B935</f>
        <v/>
      </c>
      <c r="C936" s="29">
        <f>C935</f>
        <v/>
      </c>
      <c r="D936" s="29">
        <f>D935</f>
        <v/>
      </c>
      <c r="E936" s="29">
        <f>E935</f>
        <v/>
      </c>
      <c r="F936" s="29">
        <f>F935</f>
        <v/>
      </c>
      <c r="G936" s="29">
        <f>G935</f>
        <v/>
      </c>
      <c r="H936" s="29">
        <f>H935</f>
        <v/>
      </c>
      <c r="I936" s="29">
        <f>I935</f>
        <v/>
      </c>
      <c r="J936" s="29">
        <f>J935</f>
        <v/>
      </c>
      <c r="K936" s="29">
        <f>F936</f>
        <v/>
      </c>
    </row>
    <row r="937">
      <c r="A937" s="29">
        <f>CONCATENATE("CATEGORY_",UPPER(Pokemon!B909))</f>
        <v/>
      </c>
      <c r="B937" s="29">
        <f>Abilities!B171</f>
        <v/>
      </c>
      <c r="C937" s="29">
        <f>Abilities!C171</f>
        <v/>
      </c>
      <c r="D937" s="29">
        <f>Abilities!D171</f>
        <v/>
      </c>
      <c r="E937" s="29" t="inlineStr">
        <is>
          <t>Magier</t>
        </is>
      </c>
      <c r="F937" s="29" t="inlineStr">
        <is>
          <t>Mago</t>
        </is>
      </c>
      <c r="G937" s="29" t="inlineStr">
        <is>
          <t>Illusionista</t>
        </is>
      </c>
      <c r="H937" s="29">
        <f>Abilities!H171</f>
        <v/>
      </c>
      <c r="I937" s="29">
        <f>Abilities!I171</f>
        <v/>
      </c>
      <c r="J937" s="29">
        <f>Abilities!J171</f>
        <v/>
      </c>
      <c r="K937" s="29">
        <f>F937</f>
        <v/>
      </c>
    </row>
    <row r="938">
      <c r="A938" s="29">
        <f>CONCATENATE("CATEGORY_",UPPER(Pokemon!B910))</f>
        <v/>
      </c>
      <c r="B938" s="29" t="inlineStr">
        <is>
          <t>Fire Croc</t>
        </is>
      </c>
      <c r="C938" s="29" t="inlineStr">
        <is>
          <t>ほのおワニ</t>
        </is>
      </c>
      <c r="D938" s="29" t="inlineStr">
        <is>
          <t>Croco Feu</t>
        </is>
      </c>
      <c r="E938" s="29" t="inlineStr">
        <is>
          <t>Feuerkroko</t>
        </is>
      </c>
      <c r="F938" s="29" t="inlineStr">
        <is>
          <t>Fuegodrilo</t>
        </is>
      </c>
      <c r="G938" s="29" t="inlineStr">
        <is>
          <t>Fucoodrillo</t>
        </is>
      </c>
      <c r="H938" s="29" t="inlineStr">
        <is>
          <t>불꽃악어</t>
        </is>
      </c>
      <c r="I938" s="29" t="inlineStr">
        <is>
          <t>火鱷</t>
        </is>
      </c>
      <c r="J938" s="29">
        <f>IFERROR(__xludf.DUMMYFUNCTION("GOOGLETRANSLATE(I938, ""zh_HANT"",""zh_HANS"")"),"火鳄")</f>
        <v/>
      </c>
      <c r="K938" s="29">
        <f>F938</f>
        <v/>
      </c>
    </row>
    <row r="939">
      <c r="A939" s="29">
        <f>CONCATENATE("CATEGORY_",UPPER(Pokemon!B911))</f>
        <v/>
      </c>
      <c r="B939" s="29">
        <f>B938</f>
        <v/>
      </c>
      <c r="C939" s="29">
        <f>C938</f>
        <v/>
      </c>
      <c r="D939" s="29">
        <f>D938</f>
        <v/>
      </c>
      <c r="E939" s="29">
        <f>E938</f>
        <v/>
      </c>
      <c r="F939" s="29">
        <f>F938</f>
        <v/>
      </c>
      <c r="G939" s="29">
        <f>G938</f>
        <v/>
      </c>
      <c r="H939" s="29">
        <f>H938</f>
        <v/>
      </c>
      <c r="I939" s="29">
        <f>I938</f>
        <v/>
      </c>
      <c r="J939" s="29">
        <f>J938</f>
        <v/>
      </c>
      <c r="K939" s="29">
        <f>F939</f>
        <v/>
      </c>
    </row>
    <row r="940">
      <c r="A940" s="29">
        <f>CONCATENATE("CATEGORY_",UPPER(Pokemon!B912))</f>
        <v/>
      </c>
      <c r="B940" s="29" t="inlineStr">
        <is>
          <t>Singer</t>
        </is>
      </c>
      <c r="C940" s="29" t="inlineStr">
        <is>
          <t>シンガー</t>
        </is>
      </c>
      <c r="D940" s="29" t="inlineStr">
        <is>
          <t>Chant</t>
        </is>
      </c>
      <c r="E940" s="29" t="inlineStr">
        <is>
          <t>Sänger</t>
        </is>
      </c>
      <c r="F940" s="29" t="inlineStr">
        <is>
          <t>Cantante</t>
        </is>
      </c>
      <c r="G940" s="29" t="inlineStr">
        <is>
          <t>Cantante</t>
        </is>
      </c>
      <c r="H940" s="29" t="inlineStr">
        <is>
          <t>싱어</t>
        </is>
      </c>
      <c r="I940" s="29">
        <f>J940</f>
        <v/>
      </c>
      <c r="J940" s="29" t="inlineStr">
        <is>
          <t>歌手</t>
        </is>
      </c>
      <c r="K940" s="29">
        <f>F940</f>
        <v/>
      </c>
    </row>
    <row r="941">
      <c r="A941" s="29">
        <f>CONCATENATE("CATEGORY_",UPPER(Pokemon!B913))</f>
        <v/>
      </c>
      <c r="B941" s="29" t="inlineStr">
        <is>
          <t>Duckling</t>
        </is>
      </c>
      <c r="C941" s="29" t="inlineStr">
        <is>
          <t>こがも</t>
        </is>
      </c>
      <c r="D941" s="29" t="inlineStr">
        <is>
          <t>Caneton</t>
        </is>
      </c>
      <c r="E941" s="29" t="inlineStr">
        <is>
          <t>Jungenten</t>
        </is>
      </c>
      <c r="F941" s="29" t="inlineStr">
        <is>
          <t>Patito</t>
        </is>
      </c>
      <c r="G941" s="29" t="inlineStr">
        <is>
          <t>Anatroccolo</t>
        </is>
      </c>
      <c r="H941" s="29" t="inlineStr">
        <is>
          <t>꼬마오리</t>
        </is>
      </c>
      <c r="I941" s="29" t="inlineStr">
        <is>
          <t>小鴨</t>
        </is>
      </c>
      <c r="J941" s="29">
        <f>IFERROR(__xludf.DUMMYFUNCTION("GOOGLETRANSLATE(I941, ""zh_HANT"",""zh_HANS"")"),"小鸭")</f>
        <v/>
      </c>
      <c r="K941" s="29">
        <f>F941</f>
        <v/>
      </c>
    </row>
    <row r="942">
      <c r="A942" s="29">
        <f>CONCATENATE("CATEGORY_",UPPER(Pokemon!B914))</f>
        <v/>
      </c>
      <c r="B942" s="29" t="inlineStr">
        <is>
          <t>Practicing</t>
        </is>
      </c>
      <c r="C942" s="29" t="inlineStr">
        <is>
          <t>レッスン</t>
        </is>
      </c>
      <c r="D942" s="29" t="inlineStr">
        <is>
          <t>Leçon</t>
        </is>
      </c>
      <c r="E942" s="29" t="inlineStr">
        <is>
          <t>Übungs</t>
        </is>
      </c>
      <c r="F942" s="29" t="inlineStr">
        <is>
          <t>Disciplinado</t>
        </is>
      </c>
      <c r="G942" s="29" t="inlineStr">
        <is>
          <t>Esercizio</t>
        </is>
      </c>
      <c r="H942" s="29" t="inlineStr">
        <is>
          <t>레슨</t>
        </is>
      </c>
      <c r="I942" s="29">
        <f>IFERROR(__xludf.DUMMYFUNCTION("GOOGLETRANSLATE(J942,""zh_HANS"",""zh_HANT"")"),"習藝")</f>
        <v/>
      </c>
      <c r="J942" s="29" t="inlineStr">
        <is>
          <t>习艺</t>
        </is>
      </c>
      <c r="K942" s="29">
        <f>F942</f>
        <v/>
      </c>
    </row>
    <row r="943">
      <c r="A943" s="29">
        <f>CONCATENATE("CATEGORY_",UPPER(Pokemon!B915))</f>
        <v/>
      </c>
      <c r="B943" s="29">
        <f>Abilities!B217</f>
        <v/>
      </c>
      <c r="C943" s="29">
        <f>Abilities!C217</f>
        <v/>
      </c>
      <c r="D943" s="29" t="inlineStr">
        <is>
          <t>Danseur</t>
        </is>
      </c>
      <c r="E943" s="29">
        <f>Abilities!E217</f>
        <v/>
      </c>
      <c r="F943" s="29" t="inlineStr">
        <is>
          <t>Bailarin</t>
        </is>
      </c>
      <c r="G943" s="29" t="inlineStr">
        <is>
          <t>Ballerino</t>
        </is>
      </c>
      <c r="H943" s="29" t="inlineStr">
        <is>
          <t>댄서</t>
        </is>
      </c>
      <c r="I943" s="29">
        <f>Abilities!I217</f>
        <v/>
      </c>
      <c r="J943" s="29">
        <f>Abilities!J217</f>
        <v/>
      </c>
      <c r="K943" s="29">
        <f>F943</f>
        <v/>
      </c>
    </row>
    <row r="944">
      <c r="A944" s="29">
        <f>CONCATENATE("CATEGORY_",UPPER(Pokemon!B916))</f>
        <v/>
      </c>
      <c r="B944" s="29" t="inlineStr">
        <is>
          <t>Hog</t>
        </is>
      </c>
      <c r="C944" s="29" t="inlineStr">
        <is>
          <t>ぶた</t>
        </is>
      </c>
      <c r="D944" s="29" t="inlineStr">
        <is>
          <t>Pourceau</t>
        </is>
      </c>
      <c r="E944" s="29">
        <f>E235</f>
        <v/>
      </c>
      <c r="F944" s="29" t="inlineStr">
        <is>
          <t>Gorrino</t>
        </is>
      </c>
      <c r="G944" s="29" t="inlineStr">
        <is>
          <t>Porcellino</t>
        </is>
      </c>
      <c r="H944" s="29" t="inlineStr">
        <is>
          <t>돼지</t>
        </is>
      </c>
      <c r="I944" s="29" t="inlineStr">
        <is>
          <t>豬</t>
        </is>
      </c>
      <c r="J944" s="29">
        <f>IFERROR(__xludf.DUMMYFUNCTION("GOOGLETRANSLATE(I944, ""zh_HANT"",""zh_HANS"")"),"猪")</f>
        <v/>
      </c>
      <c r="K944" s="29">
        <f>F944</f>
        <v/>
      </c>
    </row>
    <row r="945">
      <c r="A945" s="29">
        <f>CONCATENATE("CATEGORY_",UPPER(Pokemon!B917))</f>
        <v/>
      </c>
      <c r="B945" s="29">
        <f>B944</f>
        <v/>
      </c>
      <c r="C945" s="29">
        <f>C944</f>
        <v/>
      </c>
      <c r="D945" s="29">
        <f>D944</f>
        <v/>
      </c>
      <c r="E945" s="29">
        <f>E944</f>
        <v/>
      </c>
      <c r="F945" s="29">
        <f>F944</f>
        <v/>
      </c>
      <c r="G945" s="29">
        <f>G944</f>
        <v/>
      </c>
      <c r="H945" s="29">
        <f>H944</f>
        <v/>
      </c>
      <c r="I945" s="29">
        <f>I944</f>
        <v/>
      </c>
      <c r="J945" s="29">
        <f>J944</f>
        <v/>
      </c>
      <c r="K945" s="29">
        <f>F945</f>
        <v/>
      </c>
    </row>
    <row r="946">
      <c r="A946" s="29">
        <f>CONCATENATE("CATEGORY_",UPPER(Pokemon!B918))</f>
        <v/>
      </c>
      <c r="B946" s="29" t="inlineStr">
        <is>
          <t>String Ball</t>
        </is>
      </c>
      <c r="C946" s="29" t="inlineStr">
        <is>
          <t>いとだま</t>
        </is>
      </c>
      <c r="D946" s="29" t="inlineStr">
        <is>
          <t>Boule de Fil</t>
        </is>
      </c>
      <c r="E946" s="29" t="inlineStr">
        <is>
          <t>Fadenkugel</t>
        </is>
      </c>
      <c r="F946" s="29" t="inlineStr">
        <is>
          <t>Ovillo</t>
        </is>
      </c>
      <c r="G946" s="29" t="inlineStr">
        <is>
          <t>Gomitolo</t>
        </is>
      </c>
      <c r="H946" s="29" t="inlineStr">
        <is>
          <t>실타래</t>
        </is>
      </c>
      <c r="I946" s="29">
        <f>IFERROR(__xludf.DUMMYFUNCTION("GOOGLETRANSLATE(J946,""zh_HANS"",""zh_HANT"")"),"線球")</f>
        <v/>
      </c>
      <c r="J946" s="29" t="inlineStr">
        <is>
          <t>线球</t>
        </is>
      </c>
      <c r="K946" s="29">
        <f>F946</f>
        <v/>
      </c>
    </row>
    <row r="947">
      <c r="A947" s="29">
        <f>CONCATENATE("CATEGORY_",UPPER(Pokemon!B919))</f>
        <v/>
      </c>
      <c r="B947" s="29">
        <f>B639</f>
        <v/>
      </c>
      <c r="C947" s="29">
        <f>C639</f>
        <v/>
      </c>
      <c r="D947" s="29">
        <f>D639</f>
        <v/>
      </c>
      <c r="E947" s="29">
        <f>E639</f>
        <v/>
      </c>
      <c r="F947" s="29">
        <f>F639</f>
        <v/>
      </c>
      <c r="G947" s="29">
        <f>G639</f>
        <v/>
      </c>
      <c r="H947" s="29">
        <f>H639</f>
        <v/>
      </c>
      <c r="I947" s="29">
        <f>I639</f>
        <v/>
      </c>
      <c r="J947" s="29">
        <f>J639</f>
        <v/>
      </c>
      <c r="K947" s="29">
        <f>F947</f>
        <v/>
      </c>
    </row>
    <row r="948">
      <c r="A948" s="29">
        <f>CONCATENATE("CATEGORY_",UPPER(Pokemon!B920))</f>
        <v/>
      </c>
      <c r="B948" s="29" t="inlineStr">
        <is>
          <t>Grasshopper</t>
        </is>
      </c>
      <c r="C948" s="29" t="inlineStr">
        <is>
          <t>バッタ</t>
        </is>
      </c>
      <c r="D948" s="29" t="inlineStr">
        <is>
          <t>Sauterelle</t>
        </is>
      </c>
      <c r="E948" s="29" t="inlineStr">
        <is>
          <t>Heuschrecken</t>
        </is>
      </c>
      <c r="F948" s="29" t="inlineStr">
        <is>
          <t>Saltamontes</t>
        </is>
      </c>
      <c r="G948" s="29" t="inlineStr">
        <is>
          <t>Cavalletta</t>
        </is>
      </c>
      <c r="H948" s="29" t="inlineStr">
        <is>
          <t>메뚜기</t>
        </is>
      </c>
      <c r="I948" s="29">
        <f>IFERROR(__xludf.DUMMYFUNCTION("GOOGLETRANSLATE(J948,""zh_HANS"",""zh_HANT"")"),"蝗蟲")</f>
        <v/>
      </c>
      <c r="J948" s="29" t="inlineStr">
        <is>
          <t>蝗虫</t>
        </is>
      </c>
      <c r="K948" s="29">
        <f>F948</f>
        <v/>
      </c>
    </row>
    <row r="949">
      <c r="A949" s="29">
        <f>CONCATENATE("CATEGORY_",UPPER(Pokemon!B921))</f>
        <v/>
      </c>
      <c r="B949" s="29">
        <f>B948</f>
        <v/>
      </c>
      <c r="C949" s="29">
        <f>C948</f>
        <v/>
      </c>
      <c r="D949" s="29">
        <f>D948</f>
        <v/>
      </c>
      <c r="E949" s="29">
        <f>E948</f>
        <v/>
      </c>
      <c r="F949" s="29">
        <f>F948</f>
        <v/>
      </c>
      <c r="G949" s="29">
        <f>G948</f>
        <v/>
      </c>
      <c r="H949" s="29">
        <f>H948</f>
        <v/>
      </c>
      <c r="I949" s="29">
        <f>I948</f>
        <v/>
      </c>
      <c r="J949" s="29">
        <f>J948</f>
        <v/>
      </c>
      <c r="K949" s="29">
        <f>F949</f>
        <v/>
      </c>
    </row>
    <row r="950">
      <c r="A950" s="29">
        <f>CONCATENATE("CATEGORY_",UPPER(Pokemon!B922))</f>
        <v/>
      </c>
      <c r="B950" s="29">
        <f>B20</f>
        <v/>
      </c>
      <c r="C950" s="29">
        <f>C20</f>
        <v/>
      </c>
      <c r="D950" s="29">
        <f>D20</f>
        <v/>
      </c>
      <c r="E950" s="29">
        <f>E20</f>
        <v/>
      </c>
      <c r="F950" s="29">
        <f>F20</f>
        <v/>
      </c>
      <c r="G950" s="29">
        <f>G20</f>
        <v/>
      </c>
      <c r="H950" s="29">
        <f>H20</f>
        <v/>
      </c>
      <c r="I950" s="29">
        <f>I20</f>
        <v/>
      </c>
      <c r="J950" s="29">
        <f>J20</f>
        <v/>
      </c>
      <c r="K950" s="29">
        <f>F950</f>
        <v/>
      </c>
    </row>
    <row r="951">
      <c r="A951" s="29">
        <f>CONCATENATE("CATEGORY_",UPPER(Pokemon!B923))</f>
        <v/>
      </c>
      <c r="B951" s="29">
        <f>B20</f>
        <v/>
      </c>
      <c r="C951" s="29">
        <f>C20</f>
        <v/>
      </c>
      <c r="D951" s="29">
        <f>D20</f>
        <v/>
      </c>
      <c r="E951" s="29">
        <f>E20</f>
        <v/>
      </c>
      <c r="F951" s="29">
        <f>F20</f>
        <v/>
      </c>
      <c r="G951" s="29">
        <f>G20</f>
        <v/>
      </c>
      <c r="H951" s="29">
        <f>H20</f>
        <v/>
      </c>
      <c r="I951" s="29">
        <f>I20</f>
        <v/>
      </c>
      <c r="J951" s="29">
        <f>J20</f>
        <v/>
      </c>
      <c r="K951" s="29">
        <f>F951</f>
        <v/>
      </c>
    </row>
    <row r="952">
      <c r="A952" s="29">
        <f>CONCATENATE("CATEGORY_",UPPER(Pokemon!B924))</f>
        <v/>
      </c>
      <c r="B952" s="29" t="inlineStr">
        <is>
          <t>Hands-On</t>
        </is>
      </c>
      <c r="C952" s="29" t="inlineStr">
        <is>
          <t>てあて</t>
        </is>
      </c>
      <c r="D952" s="29" t="inlineStr">
        <is>
          <t>Pose Paume</t>
        </is>
      </c>
      <c r="E952" s="29" t="inlineStr">
        <is>
          <t>Behandlungs</t>
        </is>
      </c>
      <c r="F952" s="29" t="inlineStr">
        <is>
          <t>Palmada</t>
        </is>
      </c>
      <c r="G952" s="29" t="inlineStr">
        <is>
          <t>Toccasana</t>
        </is>
      </c>
      <c r="H952" s="29" t="inlineStr">
        <is>
          <t>손길</t>
        </is>
      </c>
      <c r="I952" s="29">
        <f>J952</f>
        <v/>
      </c>
      <c r="J952" s="29" t="inlineStr">
        <is>
          <t>押掌</t>
        </is>
      </c>
      <c r="K952" s="29">
        <f>F952</f>
        <v/>
      </c>
    </row>
    <row r="953">
      <c r="A953" s="29">
        <f>CONCATENATE("CATEGORY_",UPPER(Pokemon!B981))</f>
        <v/>
      </c>
      <c r="B953" s="29" t="inlineStr">
        <is>
          <t>Spiny Fish</t>
        </is>
      </c>
      <c r="C953" s="29" t="inlineStr">
        <is>
          <t>とげうお</t>
        </is>
      </c>
      <c r="D953" s="29" t="inlineStr">
        <is>
          <t>Poissépine</t>
        </is>
      </c>
      <c r="E953" s="29" t="inlineStr">
        <is>
          <t>Dornfisch</t>
        </is>
      </c>
      <c r="F953" s="29" t="inlineStr">
        <is>
          <t>Pez Púas</t>
        </is>
      </c>
      <c r="G953" s="29" t="inlineStr">
        <is>
          <t>Pescespine</t>
        </is>
      </c>
      <c r="H953" s="29" t="inlineStr">
        <is>
          <t>가시고기</t>
        </is>
      </c>
      <c r="I953" s="29">
        <f>IFERROR(__xludf.DUMMYFUNCTION("GOOGLETRANSLATE(J953,""zh_HANS"",""zh_HANT"")"),"刺魚")</f>
        <v/>
      </c>
      <c r="J953" s="29" t="inlineStr">
        <is>
          <t>刺鱼</t>
        </is>
      </c>
      <c r="K953" s="29">
        <f>F953</f>
        <v/>
      </c>
    </row>
    <row r="954">
      <c r="A954" s="29">
        <f>CONCATENATE("CATEGORY_",UPPER(Pokemon!B925))</f>
        <v/>
      </c>
      <c r="B954" s="29" t="inlineStr">
        <is>
          <t>Couple</t>
        </is>
      </c>
      <c r="C954" s="29" t="inlineStr">
        <is>
          <t>カップル</t>
        </is>
      </c>
      <c r="D954" s="29">
        <f>B954</f>
        <v/>
      </c>
      <c r="E954" s="29" t="inlineStr">
        <is>
          <t>Paar</t>
        </is>
      </c>
      <c r="F954" s="29" t="inlineStr">
        <is>
          <t>Pareja</t>
        </is>
      </c>
      <c r="G954" s="29" t="inlineStr">
        <is>
          <t>Coppia</t>
        </is>
      </c>
      <c r="H954" s="29" t="inlineStr">
        <is>
          <t>커플</t>
        </is>
      </c>
      <c r="I954" s="29">
        <f>IFERROR(__xludf.DUMMYFUNCTION("GOOGLETRANSLATE(J954,""zh_HANS"",""zh_HANT"")"),"成對")</f>
        <v/>
      </c>
      <c r="J954" s="29" t="inlineStr">
        <is>
          <t>成对</t>
        </is>
      </c>
      <c r="K954" s="29">
        <f>F954</f>
        <v/>
      </c>
    </row>
    <row r="955">
      <c r="A955" s="29">
        <f>CONCATENATE("CATEGORY_",UPPER(Pokemon!B926))</f>
        <v/>
      </c>
      <c r="B955" s="29" t="inlineStr">
        <is>
          <t>Family</t>
        </is>
      </c>
      <c r="C955" s="29" t="inlineStr">
        <is>
          <t>ファミリー</t>
        </is>
      </c>
      <c r="D955" s="29" t="inlineStr">
        <is>
          <t>Famille</t>
        </is>
      </c>
      <c r="E955" s="29" t="inlineStr">
        <is>
          <t>Familien</t>
        </is>
      </c>
      <c r="F955" s="29" t="inlineStr">
        <is>
          <t>Familia</t>
        </is>
      </c>
      <c r="G955" s="29" t="inlineStr">
        <is>
          <t>Famiglia</t>
        </is>
      </c>
      <c r="H955" s="29" t="inlineStr">
        <is>
          <t>패밀리</t>
        </is>
      </c>
      <c r="I955" s="29">
        <f>J955</f>
        <v/>
      </c>
      <c r="J955" s="29" t="inlineStr">
        <is>
          <t>家族</t>
        </is>
      </c>
      <c r="K955" s="29">
        <f>F955</f>
        <v/>
      </c>
    </row>
    <row r="956">
      <c r="A956" s="29">
        <f>CONCATENATE("CATEGORY_",UPPER(Pokemon!B927))</f>
        <v/>
      </c>
      <c r="B956" s="29">
        <f>B59</f>
        <v/>
      </c>
      <c r="C956" s="29">
        <f>C59</f>
        <v/>
      </c>
      <c r="D956" s="29">
        <f>D59</f>
        <v/>
      </c>
      <c r="E956" s="29">
        <f>E59</f>
        <v/>
      </c>
      <c r="F956" s="29">
        <f>F59</f>
        <v/>
      </c>
      <c r="G956" s="29">
        <f>G59</f>
        <v/>
      </c>
      <c r="H956" s="29">
        <f>H59</f>
        <v/>
      </c>
      <c r="I956" s="29">
        <f>I59</f>
        <v/>
      </c>
      <c r="J956" s="29">
        <f>J59</f>
        <v/>
      </c>
      <c r="K956" s="29">
        <f>F956</f>
        <v/>
      </c>
    </row>
    <row r="957">
      <c r="A957" s="29">
        <f>CONCATENATE("CATEGORY_",UPPER(Pokemon!B928))</f>
        <v/>
      </c>
      <c r="B957" s="29">
        <f>B863</f>
        <v/>
      </c>
      <c r="C957" s="29">
        <f>C863</f>
        <v/>
      </c>
      <c r="D957" s="29">
        <f>D863</f>
        <v/>
      </c>
      <c r="E957" s="29">
        <f>E863</f>
        <v/>
      </c>
      <c r="F957" s="29">
        <f>F863</f>
        <v/>
      </c>
      <c r="G957" s="29">
        <f>G863</f>
        <v/>
      </c>
      <c r="H957" s="29">
        <f>H863</f>
        <v/>
      </c>
      <c r="I957" s="29">
        <f>I863</f>
        <v/>
      </c>
      <c r="J957" s="29">
        <f>J863</f>
        <v/>
      </c>
      <c r="K957" s="29">
        <f>F957</f>
        <v/>
      </c>
    </row>
    <row r="958">
      <c r="A958" s="29">
        <f>CONCATENATE("CATEGORY_",UPPER(Pokemon!B929))</f>
        <v/>
      </c>
      <c r="B958" s="29" t="inlineStr">
        <is>
          <t>Olive</t>
        </is>
      </c>
      <c r="C958" s="29" t="inlineStr">
        <is>
          <t>オリーブ</t>
        </is>
      </c>
      <c r="D958" s="29">
        <f>B958</f>
        <v/>
      </c>
      <c r="E958" s="29">
        <f>CONCATENATE(B958,"n")</f>
        <v/>
      </c>
      <c r="F958" s="29" t="inlineStr">
        <is>
          <t>Aceituna</t>
        </is>
      </c>
      <c r="G958" s="29" t="inlineStr">
        <is>
          <t>Oliva</t>
        </is>
      </c>
      <c r="H958" s="29" t="inlineStr">
        <is>
          <t>올리브</t>
        </is>
      </c>
      <c r="I958" s="29" t="inlineStr">
        <is>
          <t>橄欖</t>
        </is>
      </c>
      <c r="J958" s="29">
        <f>IFERROR(__xludf.DUMMYFUNCTION("GOOGLETRANSLATE(I958, ""zh_HANT"",""zh_HANS"")"),"橄榄")</f>
        <v/>
      </c>
      <c r="K958" s="29">
        <f>F958</f>
        <v/>
      </c>
    </row>
    <row r="959">
      <c r="A959" s="29">
        <f>CONCATENATE("CATEGORY_",UPPER(Pokemon!B930))</f>
        <v/>
      </c>
      <c r="B959" s="29">
        <f>B958</f>
        <v/>
      </c>
      <c r="C959" s="29">
        <f>C958</f>
        <v/>
      </c>
      <c r="D959" s="29">
        <f>D958</f>
        <v/>
      </c>
      <c r="E959" s="29">
        <f>E958</f>
        <v/>
      </c>
      <c r="F959" s="29">
        <f>F958</f>
        <v/>
      </c>
      <c r="G959" s="29">
        <f>G958</f>
        <v/>
      </c>
      <c r="H959" s="29">
        <f>H958</f>
        <v/>
      </c>
      <c r="I959" s="29">
        <f>I958</f>
        <v/>
      </c>
      <c r="J959" s="29">
        <f>J958</f>
        <v/>
      </c>
      <c r="K959" s="29">
        <f>F959</f>
        <v/>
      </c>
    </row>
    <row r="960">
      <c r="A960" s="29">
        <f>CONCATENATE("CATEGORY_",UPPER(Pokemon!B931))</f>
        <v/>
      </c>
      <c r="B960" s="29">
        <f>B958</f>
        <v/>
      </c>
      <c r="C960" s="29">
        <f>C958</f>
        <v/>
      </c>
      <c r="D960" s="29">
        <f>D958</f>
        <v/>
      </c>
      <c r="E960" s="29">
        <f>E958</f>
        <v/>
      </c>
      <c r="F960" s="29">
        <f>F958</f>
        <v/>
      </c>
      <c r="G960" s="29">
        <f>G958</f>
        <v/>
      </c>
      <c r="H960" s="29">
        <f>H958</f>
        <v/>
      </c>
      <c r="I960" s="29">
        <f>I958</f>
        <v/>
      </c>
      <c r="J960" s="29">
        <f>J958</f>
        <v/>
      </c>
      <c r="K960" s="29">
        <f>F960</f>
        <v/>
      </c>
    </row>
    <row r="961">
      <c r="A961" s="29">
        <f>CONCATENATE("CATEGORY_",UPPER(Pokemon!B932))</f>
        <v/>
      </c>
      <c r="B961" s="29" t="inlineStr">
        <is>
          <t>Parrot</t>
        </is>
      </c>
      <c r="C961" s="29" t="inlineStr">
        <is>
          <t>インコ</t>
        </is>
      </c>
      <c r="D961" s="29" t="inlineStr">
        <is>
          <t>Perroquet</t>
        </is>
      </c>
      <c r="E961" s="29" t="inlineStr">
        <is>
          <t>Sittich</t>
        </is>
      </c>
      <c r="F961" s="29" t="inlineStr">
        <is>
          <t>Loro</t>
        </is>
      </c>
      <c r="G961" s="29" t="inlineStr">
        <is>
          <t>Pappagallo</t>
        </is>
      </c>
      <c r="H961" s="29" t="inlineStr">
        <is>
          <t>잉꼬</t>
        </is>
      </c>
      <c r="I961" s="29">
        <f>IFERROR(__xludf.DUMMYFUNCTION("GOOGLETRANSLATE(J961,""zh_HANS"",""zh_HANT"")"),"鸚鵡")</f>
        <v/>
      </c>
      <c r="J961" s="29" t="inlineStr">
        <is>
          <t>鹦鹉</t>
        </is>
      </c>
      <c r="K961" s="29">
        <f>F961</f>
        <v/>
      </c>
    </row>
    <row r="962">
      <c r="A962" s="29">
        <f>CONCATENATE("CATEGORY_",UPPER(Pokemon!B933))</f>
        <v/>
      </c>
      <c r="B962" s="29" t="inlineStr">
        <is>
          <t>Rock Salt</t>
        </is>
      </c>
      <c r="C962" s="29" t="inlineStr">
        <is>
          <t>がんえん</t>
        </is>
      </c>
      <c r="D962" s="29" t="inlineStr">
        <is>
          <t>Halite</t>
        </is>
      </c>
      <c r="E962" s="29" t="inlineStr">
        <is>
          <t>Steinsalz</t>
        </is>
      </c>
      <c r="F962" s="29" t="inlineStr">
        <is>
          <t>Halita</t>
        </is>
      </c>
      <c r="G962" s="29" t="inlineStr">
        <is>
          <t>Salgemma</t>
        </is>
      </c>
      <c r="H962" s="29" t="inlineStr">
        <is>
          <t>암염</t>
        </is>
      </c>
      <c r="I962" s="29">
        <f>IFERROR(__xludf.DUMMYFUNCTION("GOOGLETRANSLATE(J962,""zh_HANS"",""zh_HANT"")"),"岩鹽")</f>
        <v/>
      </c>
      <c r="J962" s="29" t="inlineStr">
        <is>
          <t>岩盐</t>
        </is>
      </c>
      <c r="K962" s="29">
        <f>F962</f>
        <v/>
      </c>
    </row>
    <row r="963">
      <c r="A963" s="29">
        <f>CONCATENATE("CATEGORY_",UPPER(Pokemon!B934))</f>
        <v/>
      </c>
      <c r="B963" s="29">
        <f>B962</f>
        <v/>
      </c>
      <c r="C963" s="29">
        <f>C962</f>
        <v/>
      </c>
      <c r="D963" s="29">
        <f>D962</f>
        <v/>
      </c>
      <c r="E963" s="29">
        <f>E962</f>
        <v/>
      </c>
      <c r="F963" s="29">
        <f>F962</f>
        <v/>
      </c>
      <c r="G963" s="29">
        <f>G962</f>
        <v/>
      </c>
      <c r="H963" s="29">
        <f>H962</f>
        <v/>
      </c>
      <c r="I963" s="29">
        <f>I962</f>
        <v/>
      </c>
      <c r="J963" s="29">
        <f>J962</f>
        <v/>
      </c>
      <c r="K963" s="29">
        <f>F963</f>
        <v/>
      </c>
    </row>
    <row r="964">
      <c r="A964" s="29">
        <f>CONCATENATE("CATEGORY_",UPPER(Pokemon!B935))</f>
        <v/>
      </c>
      <c r="B964" s="29">
        <f>B962</f>
        <v/>
      </c>
      <c r="C964" s="29">
        <f>C962</f>
        <v/>
      </c>
      <c r="D964" s="29">
        <f>D962</f>
        <v/>
      </c>
      <c r="E964" s="29">
        <f>E962</f>
        <v/>
      </c>
      <c r="F964" s="29">
        <f>F962</f>
        <v/>
      </c>
      <c r="G964" s="29">
        <f>G962</f>
        <v/>
      </c>
      <c r="H964" s="29">
        <f>H962</f>
        <v/>
      </c>
      <c r="I964" s="29">
        <f>I962</f>
        <v/>
      </c>
      <c r="J964" s="29">
        <f>J962</f>
        <v/>
      </c>
      <c r="K964" s="29">
        <f>F964</f>
        <v/>
      </c>
    </row>
    <row r="965">
      <c r="A965" s="29">
        <f>CONCATENATE("CATEGORY_",UPPER(Pokemon!B980))</f>
        <v/>
      </c>
      <c r="B965" s="29" t="inlineStr">
        <is>
          <t>Rage Monkey</t>
        </is>
      </c>
      <c r="C965" s="29" t="inlineStr">
        <is>
          <t>ふんどざる</t>
        </is>
      </c>
      <c r="D965" s="29" t="inlineStr">
        <is>
          <t>Singe Furax</t>
        </is>
      </c>
      <c r="E965" s="29" t="inlineStr">
        <is>
          <t>Zornaffen</t>
        </is>
      </c>
      <c r="F965" s="29" t="inlineStr">
        <is>
          <t>Mono Furia</t>
        </is>
      </c>
      <c r="G965" s="29" t="inlineStr">
        <is>
          <t>Irascimmia</t>
        </is>
      </c>
      <c r="H965" s="29" t="inlineStr">
        <is>
          <t>분노숭이</t>
        </is>
      </c>
      <c r="I965" s="29">
        <f>IFERROR(__xludf.DUMMYFUNCTION("GOOGLETRANSLATE(J965,""zh_HANS"",""zh_HANT"")"),"憤怒猴")</f>
        <v/>
      </c>
      <c r="J965" s="29" t="inlineStr">
        <is>
          <t>愤怒猴</t>
        </is>
      </c>
      <c r="K965" s="29">
        <f>F965</f>
        <v/>
      </c>
    </row>
    <row r="966">
      <c r="A966" s="29">
        <f>CONCATENATE("CATEGORY_",UPPER(Pokemon!B936))</f>
        <v/>
      </c>
      <c r="B966" s="29" t="inlineStr">
        <is>
          <t>Fire Child</t>
        </is>
      </c>
      <c r="C966" s="29" t="inlineStr">
        <is>
          <t>ひのこ</t>
        </is>
      </c>
      <c r="D966" s="29" t="inlineStr">
        <is>
          <t>Enfant Feu</t>
        </is>
      </c>
      <c r="E966" s="29" t="inlineStr">
        <is>
          <t>Feuerkind</t>
        </is>
      </c>
      <c r="F966" s="29" t="inlineStr">
        <is>
          <t>Piroescudo</t>
        </is>
      </c>
      <c r="G966" s="29" t="inlineStr">
        <is>
          <t>Infantigneo</t>
        </is>
      </c>
      <c r="H966" s="29" t="inlineStr">
        <is>
          <t>불의아이</t>
        </is>
      </c>
      <c r="I966" s="29">
        <f>J966</f>
        <v/>
      </c>
      <c r="J966" s="29" t="inlineStr">
        <is>
          <t>小火星</t>
        </is>
      </c>
      <c r="K966" s="29">
        <f>F966</f>
        <v/>
      </c>
    </row>
    <row r="967">
      <c r="A967" s="29">
        <f>CONCATENATE("CATEGORY_",UPPER(Pokemon!B937))</f>
        <v/>
      </c>
      <c r="B967" s="29" t="inlineStr">
        <is>
          <t>Fire Warrior</t>
        </is>
      </c>
      <c r="C967" s="29" t="inlineStr">
        <is>
          <t>ひのせんし</t>
        </is>
      </c>
      <c r="D967" s="29" t="inlineStr">
        <is>
          <t>Feu Guerrier</t>
        </is>
      </c>
      <c r="E967" s="29" t="inlineStr">
        <is>
          <t>Feuerrüstungs</t>
        </is>
      </c>
      <c r="F967" s="29" t="inlineStr">
        <is>
          <t>Piroguerrero</t>
        </is>
      </c>
      <c r="G967" s="29" t="inlineStr">
        <is>
          <t>Guerrigneo</t>
        </is>
      </c>
      <c r="H967" s="29" t="inlineStr">
        <is>
          <t>불의전사</t>
        </is>
      </c>
      <c r="I967" s="29">
        <f>IFERROR(__xludf.DUMMYFUNCTION("GOOGLETRANSLATE(J967,""zh_HANS"",""zh_HANT"")"),"火戰士")</f>
        <v/>
      </c>
      <c r="J967" s="29" t="inlineStr">
        <is>
          <t>火战士</t>
        </is>
      </c>
      <c r="K967" s="29">
        <f>F967</f>
        <v/>
      </c>
    </row>
    <row r="968">
      <c r="A968" s="29">
        <f>CONCATENATE("CATEGORY_",UPPER(Pokemon!B938))</f>
        <v/>
      </c>
      <c r="B968" s="29" t="inlineStr">
        <is>
          <t>Fire Blades</t>
        </is>
      </c>
      <c r="C968" s="29" t="inlineStr">
        <is>
          <t>ひのけんし</t>
        </is>
      </c>
      <c r="D968" s="29" t="inlineStr">
        <is>
          <t>Feu Bretteur</t>
        </is>
      </c>
      <c r="E968" s="29" t="inlineStr">
        <is>
          <t>Feuerklingen</t>
        </is>
      </c>
      <c r="F968" s="29" t="inlineStr">
        <is>
          <t>Piroespada</t>
        </is>
      </c>
      <c r="G968" s="29" t="inlineStr">
        <is>
          <t>Spadaccigneo</t>
        </is>
      </c>
      <c r="H968" s="29" t="inlineStr">
        <is>
          <t>불의검사</t>
        </is>
      </c>
      <c r="I968" s="29">
        <f>IFERROR(__xludf.DUMMYFUNCTION("GOOGLETRANSLATE(J968,""zh_HANS"",""zh_HANT"")"),"火劍士")</f>
        <v/>
      </c>
      <c r="J968" s="29" t="inlineStr">
        <is>
          <t>火剑士</t>
        </is>
      </c>
      <c r="K968" s="29">
        <f>F968</f>
        <v/>
      </c>
    </row>
    <row r="969">
      <c r="A969" s="29">
        <f>CONCATENATE("CATEGORY_",UPPER(Pokemon!B939))</f>
        <v/>
      </c>
      <c r="B969" s="29" t="inlineStr">
        <is>
          <t>EleTadpole</t>
        </is>
      </c>
      <c r="C969" s="29">
        <f>CONCATENATE("でんき",C62)</f>
        <v/>
      </c>
      <c r="D969" s="29" t="inlineStr">
        <is>
          <t>Électêtard</t>
        </is>
      </c>
      <c r="E969" s="29" t="inlineStr">
        <is>
          <t>Stromquappen</t>
        </is>
      </c>
      <c r="F969" s="29" t="inlineStr">
        <is>
          <t>Electrocuajo</t>
        </is>
      </c>
      <c r="G969" s="29" t="inlineStr">
        <is>
          <t>Amperino</t>
        </is>
      </c>
      <c r="H969" s="29" t="inlineStr">
        <is>
          <t>전기올챙이</t>
        </is>
      </c>
      <c r="I969" s="29">
        <f>IFERROR(__xludf.DUMMYFUNCTION("GOOGLETRANSLATE(J969,""zh_HANS"",""zh_HANT"")"),"電蝌蚪")</f>
        <v/>
      </c>
      <c r="J969" s="29">
        <f>CONCATENATE("电",J62)</f>
        <v/>
      </c>
      <c r="K969" s="29">
        <f>F969</f>
        <v/>
      </c>
    </row>
    <row r="970">
      <c r="A970" s="29">
        <f>CONCATENATE("CATEGORY_",UPPER(Pokemon!B940))</f>
        <v/>
      </c>
      <c r="B970" s="29" t="inlineStr">
        <is>
          <t>EleFrog</t>
        </is>
      </c>
      <c r="C970" s="29" t="inlineStr">
        <is>
          <t>でんきがえる</t>
        </is>
      </c>
      <c r="D970" s="29" t="inlineStr">
        <is>
          <t>Élecrapaud</t>
        </is>
      </c>
      <c r="E970" s="29" t="inlineStr">
        <is>
          <t>Stromfrosch</t>
        </is>
      </c>
      <c r="F970" s="29" t="inlineStr">
        <is>
          <t>Electrorrana</t>
        </is>
      </c>
      <c r="G970" s="29" t="inlineStr">
        <is>
          <t>Amperana</t>
        </is>
      </c>
      <c r="H970" s="29" t="inlineStr">
        <is>
          <t>전기개구리</t>
        </is>
      </c>
      <c r="I970" s="29">
        <f>IFERROR(__xludf.DUMMYFUNCTION("GOOGLETRANSLATE(J970,""zh_HANS"",""zh_HANT"")"),"電蛙")</f>
        <v/>
      </c>
      <c r="J970" s="29" t="inlineStr">
        <is>
          <t>电蛙</t>
        </is>
      </c>
      <c r="K970" s="29">
        <f>F970</f>
        <v/>
      </c>
    </row>
    <row r="971">
      <c r="A971" s="29">
        <f>CONCATENATE("CATEGORY_",UPPER(Pokemon!B941))</f>
        <v/>
      </c>
      <c r="B971" s="29" t="inlineStr">
        <is>
          <t>Storm Petrel</t>
        </is>
      </c>
      <c r="C971" s="29" t="inlineStr">
        <is>
          <t>うみつばめ</t>
        </is>
      </c>
      <c r="D971" s="29" t="inlineStr">
        <is>
          <t>Océanite</t>
        </is>
      </c>
      <c r="E971" s="29" t="inlineStr">
        <is>
          <t>Sturmvogel</t>
        </is>
      </c>
      <c r="F971" s="29" t="inlineStr">
        <is>
          <t>Paíño</t>
        </is>
      </c>
      <c r="G971" s="29" t="inlineStr">
        <is>
          <t>Idrobatide</t>
        </is>
      </c>
      <c r="H971" s="29" t="inlineStr">
        <is>
          <t>바다제비</t>
        </is>
      </c>
      <c r="I971" s="29">
        <f>J971</f>
        <v/>
      </c>
      <c r="J971" s="29" t="inlineStr">
        <is>
          <t>海燕</t>
        </is>
      </c>
      <c r="K971" s="29">
        <f>F971</f>
        <v/>
      </c>
    </row>
    <row r="972">
      <c r="A972" s="29">
        <f>CONCATENATE("CATEGORY_",UPPER(Pokemon!B942))</f>
        <v/>
      </c>
      <c r="B972" s="29" t="inlineStr">
        <is>
          <t>Frigatebird</t>
        </is>
      </c>
      <c r="C972" s="29" t="inlineStr">
        <is>
          <t>ぐんかんどり</t>
        </is>
      </c>
      <c r="D972" s="29" t="inlineStr">
        <is>
          <t>Frégate</t>
        </is>
      </c>
      <c r="E972" s="29" t="inlineStr">
        <is>
          <t>Fregattvogel</t>
        </is>
      </c>
      <c r="F972" s="29" t="inlineStr">
        <is>
          <t>Fregata</t>
        </is>
      </c>
      <c r="G972" s="29">
        <f>F972</f>
        <v/>
      </c>
      <c r="H972" s="29" t="inlineStr">
        <is>
          <t>군함조</t>
        </is>
      </c>
      <c r="I972" s="29">
        <f>IFERROR(__xludf.DUMMYFUNCTION("GOOGLETRANSLATE(J972,""zh_HANS"",""zh_HANT"")"),"軍艦鳥")</f>
        <v/>
      </c>
      <c r="J972" s="29" t="inlineStr">
        <is>
          <t>军舰鸟</t>
        </is>
      </c>
      <c r="K972" s="29">
        <f>F972</f>
        <v/>
      </c>
    </row>
    <row r="973">
      <c r="A973" s="29">
        <f>CONCATENATE("CATEGORY_",UPPER(Pokemon!B983))</f>
        <v/>
      </c>
      <c r="B973" s="29">
        <f>B220</f>
        <v/>
      </c>
      <c r="C973" s="29">
        <f>C220</f>
        <v/>
      </c>
      <c r="D973" s="29">
        <f>D220</f>
        <v/>
      </c>
      <c r="E973" s="29">
        <f>E220</f>
        <v/>
      </c>
      <c r="F973" s="29">
        <f>F220</f>
        <v/>
      </c>
      <c r="G973" s="29">
        <f>G220</f>
        <v/>
      </c>
      <c r="H973" s="29">
        <f>H220</f>
        <v/>
      </c>
      <c r="I973" s="29">
        <f>I220</f>
        <v/>
      </c>
      <c r="J973" s="29">
        <f>J220</f>
        <v/>
      </c>
      <c r="K973" s="29">
        <f>F973</f>
        <v/>
      </c>
    </row>
    <row r="974">
      <c r="A974" s="29">
        <f>CONCATENATE("CATEGORY_",UPPER(Pokemon!B982))</f>
        <v/>
      </c>
      <c r="B974" s="29">
        <f>B217</f>
        <v/>
      </c>
      <c r="C974" s="29">
        <f>C217</f>
        <v/>
      </c>
      <c r="D974" s="29">
        <f>D217</f>
        <v/>
      </c>
      <c r="E974" s="29">
        <f>E217</f>
        <v/>
      </c>
      <c r="F974" s="29">
        <f>F217</f>
        <v/>
      </c>
      <c r="G974" s="29">
        <f>G217</f>
        <v/>
      </c>
      <c r="H974" s="29">
        <f>H217</f>
        <v/>
      </c>
      <c r="I974" s="29">
        <f>I217</f>
        <v/>
      </c>
      <c r="J974" s="29">
        <f>J217</f>
        <v/>
      </c>
      <c r="K974" s="29">
        <f>F974</f>
        <v/>
      </c>
    </row>
    <row r="975">
      <c r="A975" s="29">
        <f>CONCATENATE("CATEGORY_",UPPER(Pokemon!B943))</f>
        <v/>
      </c>
      <c r="B975" s="29" t="inlineStr">
        <is>
          <t>Rascal</t>
        </is>
      </c>
      <c r="C975" s="29" t="inlineStr">
        <is>
          <t>わかぞう</t>
        </is>
      </c>
      <c r="D975" s="29" t="inlineStr">
        <is>
          <t>Jeunot</t>
        </is>
      </c>
      <c r="E975" s="29" t="inlineStr">
        <is>
          <t>Halbstark</t>
        </is>
      </c>
      <c r="F975" s="29" t="inlineStr">
        <is>
          <t>Bisoño</t>
        </is>
      </c>
      <c r="G975" s="29" t="inlineStr">
        <is>
          <t>Rompicollo</t>
        </is>
      </c>
      <c r="H975" s="29" t="inlineStr">
        <is>
          <t>애송이</t>
        </is>
      </c>
      <c r="I975" s="29">
        <f>IFERROR(__xludf.DUMMYFUNCTION("GOOGLETRANSLATE(J975,""zh_HANS"",""zh_HANT"")"),"小輩")</f>
        <v/>
      </c>
      <c r="J975" s="29" t="inlineStr">
        <is>
          <t>小辈</t>
        </is>
      </c>
      <c r="K975" s="29">
        <f>F975</f>
        <v/>
      </c>
    </row>
    <row r="976">
      <c r="A976" s="29">
        <f>CONCATENATE("CATEGORY_",UPPER(Pokemon!B944))</f>
        <v/>
      </c>
      <c r="B976" s="29" t="inlineStr">
        <is>
          <t>Boss</t>
        </is>
      </c>
      <c r="C976" s="29" t="inlineStr">
        <is>
          <t>おやぶん</t>
        </is>
      </c>
      <c r="D976" s="29" t="inlineStr">
        <is>
          <t>Parrain</t>
        </is>
      </c>
      <c r="E976" s="29" t="inlineStr">
        <is>
          <t>Oberhaupt</t>
        </is>
      </c>
      <c r="F976" s="29" t="inlineStr">
        <is>
          <t>Jefazo</t>
        </is>
      </c>
      <c r="G976" s="29">
        <f>B976</f>
        <v/>
      </c>
      <c r="H976" s="29" t="inlineStr">
        <is>
          <t>두목</t>
        </is>
      </c>
      <c r="I976" s="29">
        <f>J976</f>
        <v/>
      </c>
      <c r="J976" s="29" t="inlineStr">
        <is>
          <t>大佬</t>
        </is>
      </c>
      <c r="K976" s="29">
        <f>F976</f>
        <v/>
      </c>
    </row>
    <row r="977">
      <c r="A977" s="29">
        <f>CONCATENATE("CATEGORY_",UPPER(Pokemon!B945))</f>
        <v/>
      </c>
      <c r="B977" s="29" t="inlineStr">
        <is>
          <t>Toxic Mouse</t>
        </is>
      </c>
      <c r="C977" s="29" t="inlineStr">
        <is>
          <t>どくねずみ</t>
        </is>
      </c>
      <c r="D977" s="29" t="inlineStr">
        <is>
          <t>Souris Venin</t>
        </is>
      </c>
      <c r="E977" s="29" t="inlineStr">
        <is>
          <t>Giftmaus</t>
        </is>
      </c>
      <c r="F977" s="29">
        <f>CONCATENATE(F20," Veneno")</f>
        <v/>
      </c>
      <c r="G977" s="29" t="inlineStr">
        <is>
          <t>Velentopo</t>
        </is>
      </c>
      <c r="H977" s="29" t="inlineStr">
        <is>
          <t>독쥐</t>
        </is>
      </c>
      <c r="I977" s="29">
        <f>J977</f>
        <v/>
      </c>
      <c r="J977" s="29" t="inlineStr">
        <is>
          <t>毒鼠</t>
        </is>
      </c>
      <c r="K977" s="29">
        <f>F977</f>
        <v/>
      </c>
    </row>
    <row r="978">
      <c r="A978" s="29">
        <f>CONCATENATE("CATEGORY_",UPPER(Pokemon!B946))</f>
        <v/>
      </c>
      <c r="B978" s="29" t="inlineStr">
        <is>
          <t>Toxic Monkey</t>
        </is>
      </c>
      <c r="C978" s="29" t="inlineStr">
        <is>
          <t>どくざる</t>
        </is>
      </c>
      <c r="D978" s="29" t="inlineStr">
        <is>
          <t>Singe Venin</t>
        </is>
      </c>
      <c r="E978" s="29" t="inlineStr">
        <is>
          <t>Giftaffen</t>
        </is>
      </c>
      <c r="F978" s="29" t="inlineStr">
        <is>
          <t>Mono Veneno</t>
        </is>
      </c>
      <c r="G978" s="29" t="inlineStr">
        <is>
          <t>Velenprimate</t>
        </is>
      </c>
      <c r="H978" s="29" t="inlineStr">
        <is>
          <t>독원숭이</t>
        </is>
      </c>
      <c r="I978" s="29" t="inlineStr">
        <is>
          <t>毒猴</t>
        </is>
      </c>
      <c r="J978" s="29">
        <f>I978</f>
        <v/>
      </c>
      <c r="K978" s="29">
        <f>F978</f>
        <v/>
      </c>
    </row>
    <row r="979">
      <c r="A979" s="29">
        <f>CONCATENATE("CATEGORY_",UPPER(Pokemon!B947))</f>
        <v/>
      </c>
      <c r="B979" s="29" t="inlineStr">
        <is>
          <t>Tumbleweed</t>
        </is>
      </c>
      <c r="C979" s="29" t="inlineStr">
        <is>
          <t>ころがりぐさ</t>
        </is>
      </c>
      <c r="D979" s="29" t="inlineStr">
        <is>
          <t>Virevoltant</t>
        </is>
      </c>
      <c r="E979" s="29" t="inlineStr">
        <is>
          <t>Rollgras</t>
        </is>
      </c>
      <c r="F979" s="29" t="inlineStr">
        <is>
          <t>Estepicursor</t>
        </is>
      </c>
      <c r="G979" s="29" t="inlineStr">
        <is>
          <t>Rotolerba</t>
        </is>
      </c>
      <c r="H979" s="29" t="inlineStr">
        <is>
          <t>회전초</t>
        </is>
      </c>
      <c r="I979" s="29">
        <f>IFERROR(__xludf.DUMMYFUNCTION("GOOGLETRANSLATE(J979,""zh_HANS"",""zh_HANT"")"),"滾草")</f>
        <v/>
      </c>
      <c r="J979" s="29" t="inlineStr">
        <is>
          <t>滚草</t>
        </is>
      </c>
      <c r="K979" s="29">
        <f>F979</f>
        <v/>
      </c>
    </row>
    <row r="980">
      <c r="A980" s="29">
        <f>CONCATENATE("CATEGORY_",UPPER(Pokemon!B948))</f>
        <v/>
      </c>
      <c r="B980" s="29">
        <f>B979</f>
        <v/>
      </c>
      <c r="C980" s="29">
        <f>C979</f>
        <v/>
      </c>
      <c r="D980" s="29">
        <f>D979</f>
        <v/>
      </c>
      <c r="E980" s="29">
        <f>E979</f>
        <v/>
      </c>
      <c r="F980" s="29">
        <f>F979</f>
        <v/>
      </c>
      <c r="G980" s="29">
        <f>G979</f>
        <v/>
      </c>
      <c r="H980" s="29">
        <f>H979</f>
        <v/>
      </c>
      <c r="I980" s="29">
        <f>I979</f>
        <v/>
      </c>
      <c r="J980" s="29">
        <f>J979</f>
        <v/>
      </c>
      <c r="K980" s="29">
        <f>F980</f>
        <v/>
      </c>
    </row>
    <row r="981">
      <c r="A981" s="29">
        <f>CONCATENATE("CATEGORY_",UPPER(Pokemon!B949))</f>
        <v/>
      </c>
      <c r="B981" s="29" t="inlineStr">
        <is>
          <t>Woodear</t>
        </is>
      </c>
      <c r="C981" s="29" t="inlineStr">
        <is>
          <t>きくらげ</t>
        </is>
      </c>
      <c r="D981" s="29" t="inlineStr">
        <is>
          <t>Champiméduse</t>
        </is>
      </c>
      <c r="E981" s="29" t="inlineStr">
        <is>
          <t>Quallenpilz</t>
        </is>
      </c>
      <c r="F981" s="29" t="inlineStr">
        <is>
          <t>Auricularia</t>
        </is>
      </c>
      <c r="G981" s="29">
        <f>F981</f>
        <v/>
      </c>
      <c r="H981" s="29" t="inlineStr">
        <is>
          <t>목이버섯</t>
        </is>
      </c>
      <c r="I981" s="29">
        <f>J981</f>
        <v/>
      </c>
      <c r="J981" s="29" t="inlineStr">
        <is>
          <t>木耳</t>
        </is>
      </c>
      <c r="K981" s="29">
        <f>F981</f>
        <v/>
      </c>
    </row>
    <row r="982">
      <c r="A982" s="29">
        <f>CONCATENATE("CATEGORY_",UPPER(Pokemon!B950))</f>
        <v/>
      </c>
      <c r="B982" s="29">
        <f>B981</f>
        <v/>
      </c>
      <c r="C982" s="29">
        <f>C981</f>
        <v/>
      </c>
      <c r="D982" s="29">
        <f>D981</f>
        <v/>
      </c>
      <c r="E982" s="29">
        <f>E981</f>
        <v/>
      </c>
      <c r="F982" s="29">
        <f>F981</f>
        <v/>
      </c>
      <c r="G982" s="29">
        <f>F981</f>
        <v/>
      </c>
      <c r="H982" s="29">
        <f>H981</f>
        <v/>
      </c>
      <c r="I982" s="29">
        <f>I981</f>
        <v/>
      </c>
      <c r="J982" s="29">
        <f>J981</f>
        <v/>
      </c>
      <c r="K982" s="29">
        <f>F982</f>
        <v/>
      </c>
    </row>
    <row r="983">
      <c r="A983" s="29">
        <f>CONCATENATE("CATEGORY_",UPPER(Pokemon!B951))</f>
        <v/>
      </c>
      <c r="B983" s="29" t="inlineStr">
        <is>
          <t>Ambush</t>
        </is>
      </c>
      <c r="C983" s="29" t="inlineStr">
        <is>
          <t>まちぶせ</t>
        </is>
      </c>
      <c r="D983" s="29" t="inlineStr">
        <is>
          <t>Embuscade</t>
        </is>
      </c>
      <c r="E983" s="29" t="inlineStr">
        <is>
          <t>Lauer</t>
        </is>
      </c>
      <c r="F983" s="29" t="inlineStr">
        <is>
          <t>Emboscada</t>
        </is>
      </c>
      <c r="G983" s="29" t="inlineStr">
        <is>
          <t>Agguato</t>
        </is>
      </c>
      <c r="H983" s="29" t="inlineStr">
        <is>
          <t>매복</t>
        </is>
      </c>
      <c r="I983" s="29" t="inlineStr">
        <is>
          <t>埋伏</t>
        </is>
      </c>
      <c r="J983" s="29">
        <f>I983</f>
        <v/>
      </c>
      <c r="K983" s="29">
        <f>F983</f>
        <v/>
      </c>
    </row>
    <row r="984">
      <c r="A984" s="29">
        <f>CONCATENATE("CATEGORY_",UPPER(Pokemon!B952))</f>
        <v/>
      </c>
      <c r="B984" s="29" t="inlineStr">
        <is>
          <t>Spicy Pepper</t>
        </is>
      </c>
      <c r="C984" s="29" t="inlineStr">
        <is>
          <t>ハバネロ</t>
        </is>
      </c>
      <c r="D984" s="29" t="inlineStr">
        <is>
          <t>Habanero</t>
        </is>
      </c>
      <c r="E984" s="29">
        <f>D984</f>
        <v/>
      </c>
      <c r="F984" s="29">
        <f>D984</f>
        <v/>
      </c>
      <c r="G984" s="29">
        <f>D984</f>
        <v/>
      </c>
      <c r="H984" s="29" t="inlineStr">
        <is>
          <t>하바네로</t>
        </is>
      </c>
      <c r="I984" s="29">
        <f>IFERROR(__xludf.DUMMYFUNCTION("GOOGLETRANSLATE(J984,""zh_HANS"",""zh_HANT"")"),"熱辣")</f>
        <v/>
      </c>
      <c r="J984" s="29" t="inlineStr">
        <is>
          <t>热辣</t>
        </is>
      </c>
      <c r="K984" s="29">
        <f>F984</f>
        <v/>
      </c>
    </row>
    <row r="985">
      <c r="A985" s="29">
        <f>CONCATENATE("CATEGORY_",UPPER(Pokemon!B953))</f>
        <v/>
      </c>
      <c r="B985" s="29">
        <f>B984</f>
        <v/>
      </c>
      <c r="C985" s="29">
        <f>C984</f>
        <v/>
      </c>
      <c r="D985" s="29">
        <f>D984</f>
        <v/>
      </c>
      <c r="E985" s="29">
        <f>D984</f>
        <v/>
      </c>
      <c r="F985" s="29">
        <f>F984</f>
        <v/>
      </c>
      <c r="G985" s="29">
        <f>G984</f>
        <v/>
      </c>
      <c r="H985" s="29">
        <f>H984</f>
        <v/>
      </c>
      <c r="I985" s="29">
        <f>I984</f>
        <v/>
      </c>
      <c r="J985" s="29">
        <f>J984</f>
        <v/>
      </c>
      <c r="K985" s="29">
        <f>F985</f>
        <v/>
      </c>
    </row>
    <row r="986">
      <c r="A986" s="29">
        <f>CONCATENATE("CATEGORY_",UPPER(Pokemon!B954))</f>
        <v/>
      </c>
      <c r="B986" s="29" t="inlineStr">
        <is>
          <t>Rolling</t>
        </is>
      </c>
      <c r="C986" s="29" t="inlineStr">
        <is>
          <t>ころがし</t>
        </is>
      </c>
      <c r="D986" s="29" t="inlineStr">
        <is>
          <t>Rouleur</t>
        </is>
      </c>
      <c r="E986" s="29" t="inlineStr">
        <is>
          <t>Wälz</t>
        </is>
      </c>
      <c r="F986" s="29" t="inlineStr">
        <is>
          <t>Pelotero</t>
        </is>
      </c>
      <c r="G986" s="29" t="inlineStr">
        <is>
          <t>Rotolatore</t>
        </is>
      </c>
      <c r="H986" s="29" t="inlineStr">
        <is>
          <t>굴리기</t>
        </is>
      </c>
      <c r="I986" s="29">
        <f>IFERROR(__xludf.DUMMYFUNCTION("GOOGLETRANSLATE(J986,""zh_HANS"",""zh_HANT"")"),"捲動")</f>
        <v/>
      </c>
      <c r="J986" s="29" t="inlineStr">
        <is>
          <t>滚动</t>
        </is>
      </c>
      <c r="K986" s="29">
        <f>F986</f>
        <v/>
      </c>
    </row>
    <row r="987">
      <c r="A987" s="29">
        <f>CONCATENATE("CATEGORY_",UPPER(Pokemon!B955))</f>
        <v/>
      </c>
      <c r="B987" s="29">
        <f>B986</f>
        <v/>
      </c>
      <c r="C987" s="29">
        <f>C986</f>
        <v/>
      </c>
      <c r="D987" s="29">
        <f>D986</f>
        <v/>
      </c>
      <c r="E987" s="29">
        <f>E986</f>
        <v/>
      </c>
      <c r="F987" s="29">
        <f>F986</f>
        <v/>
      </c>
      <c r="G987" s="29">
        <f>G986</f>
        <v/>
      </c>
      <c r="H987" s="29">
        <f>H986</f>
        <v/>
      </c>
      <c r="I987" s="29">
        <f>I986</f>
        <v/>
      </c>
      <c r="J987" s="29">
        <f>J986</f>
        <v/>
      </c>
      <c r="K987" s="29">
        <f>F987</f>
        <v/>
      </c>
    </row>
    <row r="988">
      <c r="A988" s="29">
        <f>CONCATENATE("CATEGORY_",UPPER(Pokemon!B956))</f>
        <v/>
      </c>
      <c r="B988" s="29" t="inlineStr">
        <is>
          <t>Frill</t>
        </is>
      </c>
      <c r="C988" s="29" t="inlineStr">
        <is>
          <t>フリル</t>
        </is>
      </c>
      <c r="D988" s="29" t="inlineStr">
        <is>
          <t>Froufrou</t>
        </is>
      </c>
      <c r="E988" s="29" t="inlineStr">
        <is>
          <t>Rüschen</t>
        </is>
      </c>
      <c r="F988" s="29" t="inlineStr">
        <is>
          <t>Volantes</t>
        </is>
      </c>
      <c r="G988" s="29" t="inlineStr">
        <is>
          <t>Volant</t>
        </is>
      </c>
      <c r="H988" s="29" t="inlineStr">
        <is>
          <t>프릴</t>
        </is>
      </c>
      <c r="I988" s="29">
        <f>IFERROR(__xludf.DUMMYFUNCTION("GOOGLETRANSLATE(J988,""zh_HANS"",""zh_HANT"")"),"褶邊")</f>
        <v/>
      </c>
      <c r="J988" s="29" t="inlineStr">
        <is>
          <t>褶边</t>
        </is>
      </c>
      <c r="K988" s="29">
        <f>F988</f>
        <v/>
      </c>
    </row>
    <row r="989">
      <c r="A989" s="29">
        <f>CONCATENATE("CATEGORY_",UPPER(Pokemon!B957))</f>
        <v/>
      </c>
      <c r="B989" s="29" t="inlineStr">
        <is>
          <t>Ostrich</t>
        </is>
      </c>
      <c r="C989" s="29" t="inlineStr">
        <is>
          <t>ダチョウ</t>
        </is>
      </c>
      <c r="D989" s="29" t="inlineStr">
        <is>
          <t>Autruche</t>
        </is>
      </c>
      <c r="E989" s="29" t="inlineStr">
        <is>
          <t>Strauß</t>
        </is>
      </c>
      <c r="F989" s="29" t="inlineStr">
        <is>
          <t>Avestruz</t>
        </is>
      </c>
      <c r="G989" s="29" t="inlineStr">
        <is>
          <t>Struzzo</t>
        </is>
      </c>
      <c r="H989" s="29" t="inlineStr">
        <is>
          <t>타조</t>
        </is>
      </c>
      <c r="I989" s="29">
        <f>IFERROR(__xludf.DUMMYFUNCTION("GOOGLETRANSLATE(J989,""zh_HANS"",""zh_HANT"")"),"鴕鳥")</f>
        <v/>
      </c>
      <c r="J989" s="29" t="inlineStr">
        <is>
          <t>鸵鸟</t>
        </is>
      </c>
      <c r="K989" s="29">
        <f>F989</f>
        <v/>
      </c>
    </row>
    <row r="990">
      <c r="A990" s="29">
        <f>CONCATENATE("CATEGORY_",UPPER(Pokemon!B958))</f>
        <v/>
      </c>
      <c r="B990" s="29" t="inlineStr">
        <is>
          <t>Metalsmith</t>
        </is>
      </c>
      <c r="C990" s="29" t="inlineStr">
        <is>
          <t>かなうち</t>
        </is>
      </c>
      <c r="D990" s="29" t="inlineStr">
        <is>
          <t>Forge</t>
        </is>
      </c>
      <c r="E990" s="29" t="inlineStr">
        <is>
          <t>Schmied</t>
        </is>
      </c>
      <c r="F990" s="29" t="inlineStr">
        <is>
          <t>Forga</t>
        </is>
      </c>
      <c r="G990" s="29" t="inlineStr">
        <is>
          <t>Forgiatore</t>
        </is>
      </c>
      <c r="H990" s="29" t="inlineStr">
        <is>
          <t>대장장이</t>
        </is>
      </c>
      <c r="I990" s="29">
        <f>IFERROR(__xludf.DUMMYFUNCTION("GOOGLETRANSLATE(J990,""zh_HANS"",""zh_HANT"")"),"錘煉")</f>
        <v/>
      </c>
      <c r="J990" s="29" t="inlineStr">
        <is>
          <t>锤炼</t>
        </is>
      </c>
      <c r="K990" s="29">
        <f>F990</f>
        <v/>
      </c>
    </row>
    <row r="991">
      <c r="A991" s="29">
        <f>CONCATENATE("CATEGORY_",UPPER(Pokemon!B959))</f>
        <v/>
      </c>
      <c r="B991" s="29" t="inlineStr">
        <is>
          <t>Hammer</t>
        </is>
      </c>
      <c r="C991" s="29" t="inlineStr">
        <is>
          <t>ハンマー</t>
        </is>
      </c>
      <c r="D991" s="29" t="inlineStr">
        <is>
          <t>Marteau</t>
        </is>
      </c>
      <c r="E991" s="29">
        <f>B991</f>
        <v/>
      </c>
      <c r="F991" s="29" t="inlineStr">
        <is>
          <t>Martillo</t>
        </is>
      </c>
      <c r="G991" s="29" t="inlineStr">
        <is>
          <t>Martello</t>
        </is>
      </c>
      <c r="H991" s="29" t="inlineStr">
        <is>
          <t>해머</t>
        </is>
      </c>
      <c r="I991" s="29">
        <f>IFERROR(__xludf.DUMMYFUNCTION("GOOGLETRANSLATE(J991,""zh_HANS"",""zh_HANT"")"),"錘子")</f>
        <v/>
      </c>
      <c r="J991" s="29" t="inlineStr">
        <is>
          <t>锤子</t>
        </is>
      </c>
      <c r="K991" s="29">
        <f>F991</f>
        <v/>
      </c>
    </row>
    <row r="992">
      <c r="A992" s="29">
        <f>CONCATENATE("CATEGORY_",UPPER(Pokemon!B960))</f>
        <v/>
      </c>
      <c r="B992" s="29">
        <f>B991</f>
        <v/>
      </c>
      <c r="C992" s="29">
        <f>C991</f>
        <v/>
      </c>
      <c r="D992" s="29">
        <f>D991</f>
        <v/>
      </c>
      <c r="E992" s="29">
        <f>E991</f>
        <v/>
      </c>
      <c r="F992" s="29">
        <f>F991</f>
        <v/>
      </c>
      <c r="G992" s="29">
        <f>G991</f>
        <v/>
      </c>
      <c r="H992" s="29">
        <f>H991</f>
        <v/>
      </c>
      <c r="I992" s="29">
        <f>I991</f>
        <v/>
      </c>
      <c r="J992" s="29">
        <f>J991</f>
        <v/>
      </c>
      <c r="K992" s="29">
        <f>F992</f>
        <v/>
      </c>
    </row>
    <row r="993">
      <c r="A993" s="29">
        <f>CONCATENATE("CATEGORY_",UPPER(Pokemon!B961))</f>
        <v/>
      </c>
      <c r="B993" s="29" t="inlineStr">
        <is>
          <t>Garden Eel</t>
        </is>
      </c>
      <c r="C993" s="29" t="inlineStr">
        <is>
          <t>あなご</t>
        </is>
      </c>
      <c r="D993" s="29" t="inlineStr">
        <is>
          <t>Congre</t>
        </is>
      </c>
      <c r="E993" s="29" t="inlineStr">
        <is>
          <t>Meeraal</t>
        </is>
      </c>
      <c r="F993" s="29" t="inlineStr">
        <is>
          <t>Cóngrido</t>
        </is>
      </c>
      <c r="G993" s="29" t="inlineStr">
        <is>
          <t>Grongo</t>
        </is>
      </c>
      <c r="H993" s="29" t="inlineStr">
        <is>
          <t>정원장어</t>
        </is>
      </c>
      <c r="I993" s="29">
        <f>IFERROR(__xludf.DUMMYFUNCTION("GOOGLETRANSLATE(J993,""zh_HANS"",""zh_HANT"")"),"糯鰻")</f>
        <v/>
      </c>
      <c r="J993" s="29" t="inlineStr">
        <is>
          <t>糯鳗</t>
        </is>
      </c>
      <c r="K993" s="29">
        <f>F993</f>
        <v/>
      </c>
    </row>
    <row r="994">
      <c r="A994" s="29">
        <f>CONCATENATE("CATEGORY_",UPPER(Pokemon!B962))</f>
        <v/>
      </c>
      <c r="B994" s="29">
        <f>B993</f>
        <v/>
      </c>
      <c r="C994" s="29">
        <f>C993</f>
        <v/>
      </c>
      <c r="D994" s="29">
        <f>D993</f>
        <v/>
      </c>
      <c r="E994" s="29">
        <f>E993</f>
        <v/>
      </c>
      <c r="F994" s="29">
        <f>F993</f>
        <v/>
      </c>
      <c r="G994" s="29">
        <f>G993</f>
        <v/>
      </c>
      <c r="H994" s="29">
        <f>H993</f>
        <v/>
      </c>
      <c r="I994" s="29">
        <f>I993</f>
        <v/>
      </c>
      <c r="J994" s="29">
        <f>J993</f>
        <v/>
      </c>
      <c r="K994" s="29">
        <f>F994</f>
        <v/>
      </c>
    </row>
    <row r="995">
      <c r="A995" s="29">
        <f>CONCATENATE("CATEGORY_",UPPER(Pokemon!B963))</f>
        <v/>
      </c>
      <c r="B995" s="29" t="inlineStr">
        <is>
          <t>Item Drop</t>
        </is>
      </c>
      <c r="C995" s="29" t="inlineStr">
        <is>
          <t>あとしもの</t>
        </is>
      </c>
      <c r="D995" s="29" t="inlineStr">
        <is>
          <t>Délesteur</t>
        </is>
      </c>
      <c r="E995" s="29" t="inlineStr">
        <is>
          <t>Abwurf</t>
        </is>
      </c>
      <c r="F995" s="29" t="inlineStr">
        <is>
          <t>Arrojador</t>
        </is>
      </c>
      <c r="G995" s="29" t="inlineStr">
        <is>
          <t>Gettaoggetti</t>
        </is>
      </c>
      <c r="H995" s="29" t="inlineStr">
        <is>
          <t>낙하물</t>
        </is>
      </c>
      <c r="I995" s="29">
        <f>IFERROR(__xludf.DUMMYFUNCTION("GOOGLETRANSLATE(J995,""zh_HANS"",""zh_HANT"")"),"掉東西")</f>
        <v/>
      </c>
      <c r="J995" s="29" t="inlineStr">
        <is>
          <t>掉东西</t>
        </is>
      </c>
      <c r="K995" s="29">
        <f>F995</f>
        <v/>
      </c>
    </row>
    <row r="996">
      <c r="A996" s="29">
        <f>CONCATENATE("CATEGORY_",UPPER(Pokemon!B964))</f>
        <v/>
      </c>
      <c r="B996" s="29" t="inlineStr">
        <is>
          <t>Dolphin</t>
        </is>
      </c>
      <c r="C996" s="29" t="inlineStr">
        <is>
          <t>イルカ</t>
        </is>
      </c>
      <c r="D996" s="29" t="inlineStr">
        <is>
          <t>Dauphin</t>
        </is>
      </c>
      <c r="E996" s="29" t="inlineStr">
        <is>
          <t>Delfin</t>
        </is>
      </c>
      <c r="F996" s="29" t="inlineStr">
        <is>
          <t>Delfín</t>
        </is>
      </c>
      <c r="G996" s="29" t="inlineStr">
        <is>
          <t>Delfino</t>
        </is>
      </c>
      <c r="H996" s="29" t="inlineStr">
        <is>
          <t>돌고래</t>
        </is>
      </c>
      <c r="I996" s="29">
        <f>J996</f>
        <v/>
      </c>
      <c r="J996" s="29" t="inlineStr">
        <is>
          <t>海豚</t>
        </is>
      </c>
      <c r="K996" s="29">
        <f>F996</f>
        <v/>
      </c>
    </row>
    <row r="997">
      <c r="A997" s="29">
        <f>CONCATENATE("CATEGORY_",UPPER(Pokemon!B965))</f>
        <v/>
      </c>
      <c r="B997" s="29">
        <f>B996</f>
        <v/>
      </c>
      <c r="C997" s="29">
        <f>C996</f>
        <v/>
      </c>
      <c r="D997" s="29">
        <f>D996</f>
        <v/>
      </c>
      <c r="E997" s="29">
        <f>E996</f>
        <v/>
      </c>
      <c r="F997" s="29">
        <f>F996</f>
        <v/>
      </c>
      <c r="G997" s="29">
        <f>G996</f>
        <v/>
      </c>
      <c r="H997" s="29">
        <f>H996</f>
        <v/>
      </c>
      <c r="I997" s="29">
        <f>I996</f>
        <v/>
      </c>
      <c r="J997" s="29">
        <f>J996</f>
        <v/>
      </c>
      <c r="K997" s="29">
        <f>F997</f>
        <v/>
      </c>
    </row>
    <row r="998">
      <c r="A998" s="29">
        <f>CONCATENATE(A997,"-H")</f>
        <v/>
      </c>
      <c r="B998" s="29" t="inlineStr">
        <is>
          <t>Hero</t>
        </is>
      </c>
      <c r="C998" s="29" t="inlineStr">
        <is>
          <t>ヒーロー</t>
        </is>
      </c>
      <c r="D998" s="29" t="inlineStr">
        <is>
          <t>Super Héros</t>
        </is>
      </c>
      <c r="E998" s="29" t="inlineStr">
        <is>
          <t>Superheld</t>
        </is>
      </c>
      <c r="F998" s="29" t="inlineStr">
        <is>
          <t>Héroe</t>
        </is>
      </c>
      <c r="G998" s="29" t="inlineStr">
        <is>
          <t>Eroe</t>
        </is>
      </c>
      <c r="H998" s="29" t="inlineStr">
        <is>
          <t>히어로</t>
        </is>
      </c>
      <c r="I998" s="29">
        <f>J998</f>
        <v/>
      </c>
      <c r="J998" s="29" t="inlineStr">
        <is>
          <t>英雄</t>
        </is>
      </c>
      <c r="K998" s="29">
        <f>F998</f>
        <v/>
      </c>
    </row>
    <row r="999">
      <c r="A999" s="29">
        <f>CONCATENATE("CATEGORY_",UPPER(Pokemon!B966))</f>
        <v/>
      </c>
      <c r="B999" s="29" t="inlineStr">
        <is>
          <t>Single-Cyl</t>
        </is>
      </c>
      <c r="C999" s="29" t="inlineStr">
        <is>
          <t>たんきとう</t>
        </is>
      </c>
      <c r="D999" s="29" t="inlineStr">
        <is>
          <t>Monocylindre</t>
        </is>
      </c>
      <c r="E999" s="29" t="inlineStr">
        <is>
          <t>Einzylinder</t>
        </is>
      </c>
      <c r="F999" s="29" t="inlineStr">
        <is>
          <t>Monocilindro</t>
        </is>
      </c>
      <c r="G999" s="29">
        <f>F999</f>
        <v/>
      </c>
      <c r="H999" s="29" t="inlineStr">
        <is>
          <t>단기통</t>
        </is>
      </c>
      <c r="I999" s="29">
        <f>IFERROR(__xludf.DUMMYFUNCTION("GOOGLETRANSLATE(J999,""zh_HANS"",""zh_HANT"")"),"單汽缸")</f>
        <v/>
      </c>
      <c r="J999" s="29" t="inlineStr">
        <is>
          <t>单汽缸</t>
        </is>
      </c>
      <c r="K999" s="29">
        <f>F999</f>
        <v/>
      </c>
    </row>
    <row r="1000">
      <c r="A1000" s="29">
        <f>CONCATENATE("CATEGORY_",UPPER(Pokemon!B967))</f>
        <v/>
      </c>
      <c r="B1000" s="29" t="inlineStr">
        <is>
          <t>Multi-Cyl</t>
        </is>
      </c>
      <c r="C1000" s="29" t="inlineStr">
        <is>
          <t>たきとう</t>
        </is>
      </c>
      <c r="D1000" s="29" t="inlineStr">
        <is>
          <t>Polycylindre</t>
        </is>
      </c>
      <c r="E1000" s="29" t="inlineStr">
        <is>
          <t>Mehrzylinder</t>
        </is>
      </c>
      <c r="F1000" s="29" t="inlineStr">
        <is>
          <t>Policilindro</t>
        </is>
      </c>
      <c r="G1000" s="29">
        <f>F1000</f>
        <v/>
      </c>
      <c r="H1000" s="29" t="inlineStr">
        <is>
          <t>다기통</t>
        </is>
      </c>
      <c r="I1000" s="29">
        <f>J1000</f>
        <v/>
      </c>
      <c r="J1000" s="29" t="inlineStr">
        <is>
          <t>多汽缸</t>
        </is>
      </c>
      <c r="K1000" s="29">
        <f>F1000</f>
        <v/>
      </c>
    </row>
    <row r="1001">
      <c r="A1001" s="29">
        <f>CONCATENATE("CATEGORY_",UPPER(Pokemon!B968))</f>
        <v/>
      </c>
      <c r="B1001" s="29">
        <f>B695</f>
        <v/>
      </c>
      <c r="C1001" s="29">
        <f>C695</f>
        <v/>
      </c>
      <c r="D1001" s="29">
        <f>D695</f>
        <v/>
      </c>
      <c r="E1001" s="29">
        <f>E695</f>
        <v/>
      </c>
      <c r="F1001" s="29">
        <f>F695</f>
        <v/>
      </c>
      <c r="G1001" s="29">
        <f>G695</f>
        <v/>
      </c>
      <c r="H1001" s="29">
        <f>H695</f>
        <v/>
      </c>
      <c r="I1001" s="29">
        <f>I695</f>
        <v/>
      </c>
      <c r="J1001" s="29">
        <f>J695</f>
        <v/>
      </c>
      <c r="K1001" s="29">
        <f>F1001</f>
        <v/>
      </c>
    </row>
    <row r="1002">
      <c r="A1002" s="29">
        <f>CONCATENATE("CATEGORY_",UPPER(Pokemon!B969))</f>
        <v/>
      </c>
      <c r="B1002" s="29" t="inlineStr">
        <is>
          <t>Earthworm</t>
        </is>
      </c>
      <c r="C1002" s="29" t="inlineStr">
        <is>
          <t>ミミズ</t>
        </is>
      </c>
      <c r="D1002" s="29" t="inlineStr">
        <is>
          <t>Ver de Terre</t>
        </is>
      </c>
      <c r="E1002" s="29" t="inlineStr">
        <is>
          <t>Regenwurm</t>
        </is>
      </c>
      <c r="F1002" s="29" t="inlineStr">
        <is>
          <t>Lombriz</t>
        </is>
      </c>
      <c r="G1002" s="29" t="inlineStr">
        <is>
          <t>Lombrico</t>
        </is>
      </c>
      <c r="H1002" s="29" t="inlineStr">
        <is>
          <t>지렁이</t>
        </is>
      </c>
      <c r="I1002" s="29">
        <f>J1002</f>
        <v/>
      </c>
      <c r="J1002" s="29" t="inlineStr">
        <is>
          <t>蚯蚓</t>
        </is>
      </c>
      <c r="K1002" s="29">
        <f>F1002</f>
        <v/>
      </c>
    </row>
    <row r="1003">
      <c r="A1003" s="29">
        <f>CONCATENATE("CATEGORY_",UPPER(Pokemon!B970))</f>
        <v/>
      </c>
      <c r="B1003" s="29">
        <f>B540</f>
        <v/>
      </c>
      <c r="C1003" s="29">
        <f>C540</f>
        <v/>
      </c>
      <c r="D1003" s="29">
        <f>D540</f>
        <v/>
      </c>
      <c r="E1003" s="29">
        <f>E540</f>
        <v/>
      </c>
      <c r="F1003" s="29">
        <f>F540</f>
        <v/>
      </c>
      <c r="G1003" s="29">
        <f>G540</f>
        <v/>
      </c>
      <c r="H1003" s="29">
        <f>H540</f>
        <v/>
      </c>
      <c r="I1003" s="29">
        <f>I540</f>
        <v/>
      </c>
      <c r="J1003" s="29">
        <f>J540</f>
        <v/>
      </c>
      <c r="K1003" s="29">
        <f>F1003</f>
        <v/>
      </c>
    </row>
    <row r="1004">
      <c r="A1004" s="29">
        <f>CONCATENATE("CATEGORY_",UPPER(Pokemon!B971))</f>
        <v/>
      </c>
      <c r="B1004" s="29">
        <f>B1003</f>
        <v/>
      </c>
      <c r="C1004" s="29">
        <f>C1003</f>
        <v/>
      </c>
      <c r="D1004" s="29">
        <f>D1003</f>
        <v/>
      </c>
      <c r="E1004" s="29">
        <f>E1003</f>
        <v/>
      </c>
      <c r="F1004" s="29">
        <f>F1003</f>
        <v/>
      </c>
      <c r="G1004" s="29">
        <f>G1003</f>
        <v/>
      </c>
      <c r="H1004" s="29">
        <f>H1003</f>
        <v/>
      </c>
      <c r="I1004" s="29">
        <f>I1003</f>
        <v/>
      </c>
      <c r="J1004" s="29">
        <f>J1003</f>
        <v/>
      </c>
      <c r="K1004" s="29">
        <f>F1004</f>
        <v/>
      </c>
    </row>
    <row r="1005">
      <c r="A1005" s="29">
        <f>CONCATENATE("CATEGORY_",UPPER(Pokemon!B972))</f>
        <v/>
      </c>
      <c r="B1005" s="29" t="inlineStr">
        <is>
          <t>Ghost Dog</t>
        </is>
      </c>
      <c r="C1005" s="29" t="inlineStr">
        <is>
          <t>おばけいぬ</t>
        </is>
      </c>
      <c r="D1005" s="29" t="inlineStr">
        <is>
          <t>Fantôchien</t>
        </is>
      </c>
      <c r="E1005" s="29" t="inlineStr">
        <is>
          <t>Geisterhund</t>
        </is>
      </c>
      <c r="F1005" s="29" t="inlineStr">
        <is>
          <t>Can Fantasma</t>
        </is>
      </c>
      <c r="G1005" s="29" t="inlineStr">
        <is>
          <t>Cantasma</t>
        </is>
      </c>
      <c r="H1005" s="29" t="inlineStr">
        <is>
          <t>유령개</t>
        </is>
      </c>
      <c r="I1005" s="29" t="inlineStr">
        <is>
          <t>鬼犬</t>
        </is>
      </c>
      <c r="J1005" s="29">
        <f>I1005</f>
        <v/>
      </c>
      <c r="K1005" s="29">
        <f>F1005</f>
        <v/>
      </c>
    </row>
    <row r="1006">
      <c r="A1006" s="29">
        <f>CONCATENATE("CATEGORY_",UPPER(Pokemon!B973))</f>
        <v/>
      </c>
      <c r="B1006" s="29">
        <f>B1005</f>
        <v/>
      </c>
      <c r="C1006" s="29">
        <f>C1005</f>
        <v/>
      </c>
      <c r="D1006" s="29">
        <f>D1005</f>
        <v/>
      </c>
      <c r="E1006" s="29">
        <f>E1005</f>
        <v/>
      </c>
      <c r="F1006" s="29">
        <f>F1005</f>
        <v/>
      </c>
      <c r="G1006" s="29">
        <f>G1005</f>
        <v/>
      </c>
      <c r="H1006" s="29">
        <f>H1005</f>
        <v/>
      </c>
      <c r="I1006" s="29">
        <f>I1005</f>
        <v/>
      </c>
      <c r="J1006" s="29">
        <f>J1005</f>
        <v/>
      </c>
      <c r="K1006" s="29">
        <f>F1006</f>
        <v/>
      </c>
    </row>
    <row r="1007">
      <c r="A1007" s="29">
        <f>CONCATENATE("CATEGORY_",UPPER(Pokemon!B974))</f>
        <v/>
      </c>
      <c r="B1007" s="29">
        <f>Abilities!B29</f>
        <v/>
      </c>
      <c r="C1007" s="29">
        <f>Abilities!C29</f>
        <v/>
      </c>
      <c r="D1007" s="29">
        <f>Abilities!D29</f>
        <v/>
      </c>
      <c r="E1007" s="29">
        <f>CONCATENATE(Abilities!E29,"n")</f>
        <v/>
      </c>
      <c r="F1007" s="29">
        <f>Abilities!F29</f>
        <v/>
      </c>
      <c r="G1007" s="29">
        <f>Abilities!G29</f>
        <v/>
      </c>
      <c r="H1007" s="29">
        <f>Abilities!H29</f>
        <v/>
      </c>
      <c r="I1007" s="29">
        <f>Abilities!I29</f>
        <v/>
      </c>
      <c r="J1007" s="29">
        <f>Abilities!J29</f>
        <v/>
      </c>
      <c r="K1007" s="29">
        <f>F1007</f>
        <v/>
      </c>
    </row>
    <row r="1008">
      <c r="A1008" s="29">
        <f>CONCATENATE("CATEGORY_",UPPER(Pokemon!B975))</f>
        <v/>
      </c>
      <c r="B1008" s="29" t="inlineStr">
        <is>
          <t>Terra Whale</t>
        </is>
      </c>
      <c r="C1008" s="29" t="inlineStr">
        <is>
          <t>りくくじら</t>
        </is>
      </c>
      <c r="D1008" s="29" t="inlineStr">
        <is>
          <t>Baleinapied</t>
        </is>
      </c>
      <c r="E1008" s="29" t="inlineStr">
        <is>
          <t>Landwal</t>
        </is>
      </c>
      <c r="F1008" s="29" t="inlineStr">
        <is>
          <t>Geoballena</t>
        </is>
      </c>
      <c r="G1008" s="29" t="inlineStr">
        <is>
          <t>Balenottera</t>
        </is>
      </c>
      <c r="H1008" s="29" t="inlineStr">
        <is>
          <t>육지고래</t>
        </is>
      </c>
      <c r="I1008" s="29" t="inlineStr">
        <is>
          <t>陸鯨</t>
        </is>
      </c>
      <c r="J1008" s="29">
        <f>IFERROR(__xludf.DUMMYFUNCTION("GOOGLETRANSLATE(I1008, ""zh_HANT"",""zh_HANS"")"),"陆鲸")</f>
        <v/>
      </c>
      <c r="K1008" s="29">
        <f>F1008</f>
        <v/>
      </c>
    </row>
    <row r="1009">
      <c r="A1009" s="29">
        <f>CONCATENATE("CATEGORY_",UPPER(Pokemon!B976))</f>
        <v/>
      </c>
      <c r="B1009" s="29">
        <f>B1008</f>
        <v/>
      </c>
      <c r="C1009" s="29">
        <f>C1008</f>
        <v/>
      </c>
      <c r="D1009" s="29">
        <f>D1008</f>
        <v/>
      </c>
      <c r="E1009" s="29">
        <f>E1008</f>
        <v/>
      </c>
      <c r="F1009" s="29">
        <f>F1008</f>
        <v/>
      </c>
      <c r="G1009" s="29">
        <f>G1008</f>
        <v/>
      </c>
      <c r="H1009" s="29">
        <f>H1008</f>
        <v/>
      </c>
      <c r="I1009" s="29">
        <f>I1008</f>
        <v/>
      </c>
      <c r="J1009" s="29">
        <f>J1008</f>
        <v/>
      </c>
      <c r="K1009" s="29">
        <f>F1009</f>
        <v/>
      </c>
    </row>
    <row r="1010">
      <c r="A1010" s="29">
        <f>CONCATENATE("CATEGORY_",UPPER(Pokemon!B984))</f>
        <v/>
      </c>
      <c r="B1010" s="29" t="inlineStr">
        <is>
          <t>Big Blade</t>
        </is>
      </c>
      <c r="C1010" s="29" t="inlineStr">
        <is>
          <t>だいとう</t>
        </is>
      </c>
      <c r="D1010" s="29" t="inlineStr">
        <is>
          <t>Pourfendant</t>
        </is>
      </c>
      <c r="E1010" s="29" t="inlineStr">
        <is>
          <t>Langschwert</t>
        </is>
      </c>
      <c r="F1010" s="29" t="inlineStr">
        <is>
          <t>Gran Espada</t>
        </is>
      </c>
      <c r="G1010" s="29" t="inlineStr">
        <is>
          <t>Granspada</t>
        </is>
      </c>
      <c r="H1010" s="29" t="inlineStr">
        <is>
          <t>대도</t>
        </is>
      </c>
      <c r="I1010" s="29">
        <f>J1010</f>
        <v/>
      </c>
      <c r="J1010" s="29" t="inlineStr">
        <is>
          <t>大刀</t>
        </is>
      </c>
      <c r="K1010" s="29">
        <f>F1010</f>
        <v/>
      </c>
    </row>
    <row r="1011">
      <c r="A1011" s="29">
        <f>CONCATENATE("CATEGORY_",UPPER(Pokemon!B977))</f>
        <v/>
      </c>
      <c r="B1011" s="29" t="inlineStr">
        <is>
          <t>Jettison</t>
        </is>
      </c>
      <c r="C1011" s="29" t="inlineStr">
        <is>
          <t>きりはなし</t>
        </is>
      </c>
      <c r="D1011" s="29" t="inlineStr">
        <is>
          <t>Décharné</t>
        </is>
      </c>
      <c r="E1011" s="29" t="inlineStr">
        <is>
          <t>Abtrennungs</t>
        </is>
      </c>
      <c r="F1011" s="29" t="inlineStr">
        <is>
          <t>Sueltalastre</t>
        </is>
      </c>
      <c r="G1011" s="29" t="inlineStr">
        <is>
          <t>Separazione</t>
        </is>
      </c>
      <c r="H1011" s="29" t="inlineStr">
        <is>
          <t>분리</t>
        </is>
      </c>
      <c r="I1011" s="29">
        <f>J1011</f>
        <v/>
      </c>
      <c r="J1011" s="29" t="inlineStr">
        <is>
          <t>卸除</t>
        </is>
      </c>
      <c r="K1011" s="29">
        <f>F1011</f>
        <v/>
      </c>
    </row>
    <row r="1012">
      <c r="A1012" s="29">
        <f>CONCATENATE("CATEGORY_",UPPER(Pokemon!B978))</f>
        <v/>
      </c>
      <c r="B1012" s="29" t="inlineStr">
        <is>
          <t>Big Catfish</t>
        </is>
      </c>
      <c r="C1012" s="29" t="inlineStr">
        <is>
          <t>おおなまず</t>
        </is>
      </c>
      <c r="D1012" s="29" t="inlineStr">
        <is>
          <t>Grand Silure</t>
        </is>
      </c>
      <c r="E1012" s="29" t="inlineStr">
        <is>
          <t>Großwels</t>
        </is>
      </c>
      <c r="F1012" s="29" t="inlineStr">
        <is>
          <t>Gran Siluro</t>
        </is>
      </c>
      <c r="G1012" s="29" t="inlineStr">
        <is>
          <t>Pescegattone</t>
        </is>
      </c>
      <c r="H1012" s="29" t="inlineStr">
        <is>
          <t>큰메기</t>
        </is>
      </c>
      <c r="I1012" s="29">
        <f>IFERROR(__xludf.DUMMYFUNCTION("GOOGLETRANSLATE(J1012,""zh_HANS"",""zh_HANT"")"),"大鯰")</f>
        <v/>
      </c>
      <c r="J1012" s="29" t="inlineStr">
        <is>
          <t>大鲶</t>
        </is>
      </c>
      <c r="K1012" s="29">
        <f>F1012</f>
        <v/>
      </c>
    </row>
    <row r="1013">
      <c r="A1013" s="29">
        <f>CONCATENATE("CATEGORY_",UPPER(Pokemon!B979))</f>
        <v/>
      </c>
      <c r="B1013" s="29">
        <f>Abilities!B251</f>
        <v/>
      </c>
      <c r="C1013" s="29">
        <f>Abilities!C251</f>
        <v/>
      </c>
      <c r="D1013" s="29">
        <f>Abilities!D251</f>
        <v/>
      </c>
      <c r="E1013" s="29">
        <f>CONCATENATE(Abilities!E251,"n")</f>
        <v/>
      </c>
      <c r="F1013" s="29">
        <f>Abilities!F251</f>
        <v/>
      </c>
      <c r="G1013" s="29" t="inlineStr">
        <is>
          <t>Mimetico</t>
        </is>
      </c>
      <c r="H1013" s="29">
        <f>Abilities!H251</f>
        <v/>
      </c>
      <c r="I1013" s="29">
        <f>Abilities!I251</f>
        <v/>
      </c>
      <c r="J1013" s="29">
        <f>Abilities!J251</f>
        <v/>
      </c>
      <c r="K1013" s="29">
        <f>F1013</f>
        <v/>
      </c>
    </row>
    <row r="1014">
      <c r="A1014" s="29">
        <f>CONCATENATE("CATEGORY_",SUBSTITUTE(UPPER(Pokemon!B985)," ",""))</f>
        <v/>
      </c>
      <c r="B1014" s="29" t="inlineStr">
        <is>
          <t>Paradox</t>
        </is>
      </c>
      <c r="C1014" s="29" t="inlineStr">
        <is>
          <t>パラドックス</t>
        </is>
      </c>
      <c r="D1014" s="29">
        <f>CONCATENATE(B1014,"e")</f>
        <v/>
      </c>
      <c r="E1014" s="29">
        <f>B1014</f>
        <v/>
      </c>
      <c r="F1014" s="29" t="inlineStr">
        <is>
          <t>Paradoja</t>
        </is>
      </c>
      <c r="G1014" s="29" t="inlineStr">
        <is>
          <t>Paradosso</t>
        </is>
      </c>
      <c r="H1014" s="29" t="inlineStr">
        <is>
          <t>패러독스</t>
        </is>
      </c>
      <c r="I1014" s="29">
        <f>IFERROR(__xludf.DUMMYFUNCTION("GOOGLETRANSLATE(J1014,""zh_HANS"",""zh_HANT"")"),"悖謬")</f>
        <v/>
      </c>
      <c r="J1014" s="29" t="inlineStr">
        <is>
          <t>悖谬</t>
        </is>
      </c>
      <c r="K1014" s="29">
        <f>F1014</f>
        <v/>
      </c>
    </row>
    <row r="1015">
      <c r="A1015" s="29">
        <f>CONCATENATE("CATEGORY_",SUBSTITUTE(UPPER(Pokemon!B986)," ",""))</f>
        <v/>
      </c>
      <c r="B1015" s="29">
        <f>B1014</f>
        <v/>
      </c>
      <c r="C1015" s="29">
        <f>C1014</f>
        <v/>
      </c>
      <c r="D1015" s="29">
        <f>D1014</f>
        <v/>
      </c>
      <c r="E1015" s="29">
        <f>E1014</f>
        <v/>
      </c>
      <c r="F1015" s="29">
        <f>F1014</f>
        <v/>
      </c>
      <c r="G1015" s="29">
        <f>G1014</f>
        <v/>
      </c>
      <c r="H1015" s="29">
        <f>H1014</f>
        <v/>
      </c>
      <c r="I1015" s="29">
        <f>I1014</f>
        <v/>
      </c>
      <c r="J1015" s="29">
        <f>J1014</f>
        <v/>
      </c>
      <c r="K1015" s="29">
        <f>F1015</f>
        <v/>
      </c>
    </row>
    <row r="1016">
      <c r="A1016" s="29">
        <f>CONCATENATE("CATEGORY_",SUBSTITUTE(UPPER(Pokemon!B987)," ",""))</f>
        <v/>
      </c>
      <c r="B1016" s="29">
        <f>B1014</f>
        <v/>
      </c>
      <c r="C1016" s="29">
        <f>C1014</f>
        <v/>
      </c>
      <c r="D1016" s="29">
        <f>D1014</f>
        <v/>
      </c>
      <c r="E1016" s="29">
        <f>E1014</f>
        <v/>
      </c>
      <c r="F1016" s="29">
        <f>F1014</f>
        <v/>
      </c>
      <c r="G1016" s="29">
        <f>G1014</f>
        <v/>
      </c>
      <c r="H1016" s="29">
        <f>H1014</f>
        <v/>
      </c>
      <c r="I1016" s="29">
        <f>I1014</f>
        <v/>
      </c>
      <c r="J1016" s="29">
        <f>J1014</f>
        <v/>
      </c>
      <c r="K1016" s="29">
        <f>F1016</f>
        <v/>
      </c>
    </row>
    <row r="1017">
      <c r="A1017" s="29">
        <f>CONCATENATE("CATEGORY_",SUBSTITUTE(UPPER(Pokemon!B988)," ",""))</f>
        <v/>
      </c>
      <c r="B1017" s="29">
        <f>B1014</f>
        <v/>
      </c>
      <c r="C1017" s="29">
        <f>C1014</f>
        <v/>
      </c>
      <c r="D1017" s="29">
        <f>D1014</f>
        <v/>
      </c>
      <c r="E1017" s="29">
        <f>E1014</f>
        <v/>
      </c>
      <c r="F1017" s="29">
        <f>F1014</f>
        <v/>
      </c>
      <c r="G1017" s="29">
        <f>G1014</f>
        <v/>
      </c>
      <c r="H1017" s="29">
        <f>H1014</f>
        <v/>
      </c>
      <c r="I1017" s="29">
        <f>I1014</f>
        <v/>
      </c>
      <c r="J1017" s="29">
        <f>J1014</f>
        <v/>
      </c>
      <c r="K1017" s="29">
        <f>F1017</f>
        <v/>
      </c>
    </row>
    <row r="1018">
      <c r="A1018" s="29">
        <f>CONCATENATE("CATEGORY_",SUBSTITUTE(UPPER(Pokemon!B989)," ",""))</f>
        <v/>
      </c>
      <c r="B1018" s="29">
        <f>B1014</f>
        <v/>
      </c>
      <c r="C1018" s="29">
        <f>C1014</f>
        <v/>
      </c>
      <c r="D1018" s="29">
        <f>D1014</f>
        <v/>
      </c>
      <c r="E1018" s="29">
        <f>E1014</f>
        <v/>
      </c>
      <c r="F1018" s="29">
        <f>F1014</f>
        <v/>
      </c>
      <c r="G1018" s="29">
        <f>G1014</f>
        <v/>
      </c>
      <c r="H1018" s="29">
        <f>H1014</f>
        <v/>
      </c>
      <c r="I1018" s="29">
        <f>I1014</f>
        <v/>
      </c>
      <c r="J1018" s="29">
        <f>J1014</f>
        <v/>
      </c>
      <c r="K1018" s="29">
        <f>F1018</f>
        <v/>
      </c>
    </row>
    <row r="1019">
      <c r="A1019" s="29">
        <f>CONCATENATE("CATEGORY_",SUBSTITUTE(UPPER(Pokemon!B990)," ",""))</f>
        <v/>
      </c>
      <c r="B1019" s="29">
        <f>B1014</f>
        <v/>
      </c>
      <c r="C1019" s="29">
        <f>C1014</f>
        <v/>
      </c>
      <c r="D1019" s="29">
        <f>D1014</f>
        <v/>
      </c>
      <c r="E1019" s="29">
        <f>E1014</f>
        <v/>
      </c>
      <c r="F1019" s="29">
        <f>F1014</f>
        <v/>
      </c>
      <c r="G1019" s="29">
        <f>G1014</f>
        <v/>
      </c>
      <c r="H1019" s="29">
        <f>H1014</f>
        <v/>
      </c>
      <c r="I1019" s="29">
        <f>I1014</f>
        <v/>
      </c>
      <c r="J1019" s="29">
        <f>J1014</f>
        <v/>
      </c>
      <c r="K1019" s="29">
        <f>F1019</f>
        <v/>
      </c>
    </row>
    <row r="1020">
      <c r="A1020" s="29">
        <f>CONCATENATE("CATEGORY_",SUBSTITUTE(UPPER(Pokemon!B991)," ",""))</f>
        <v/>
      </c>
      <c r="B1020" s="29">
        <f>B1014</f>
        <v/>
      </c>
      <c r="C1020" s="29">
        <f>C1014</f>
        <v/>
      </c>
      <c r="D1020" s="29">
        <f>D1014</f>
        <v/>
      </c>
      <c r="E1020" s="29">
        <f>E1014</f>
        <v/>
      </c>
      <c r="F1020" s="29">
        <f>F1014</f>
        <v/>
      </c>
      <c r="G1020" s="29">
        <f>G1014</f>
        <v/>
      </c>
      <c r="H1020" s="29">
        <f>H1014</f>
        <v/>
      </c>
      <c r="I1020" s="29">
        <f>I1014</f>
        <v/>
      </c>
      <c r="J1020" s="29">
        <f>J1014</f>
        <v/>
      </c>
      <c r="K1020" s="29">
        <f>F1020</f>
        <v/>
      </c>
    </row>
    <row r="1021">
      <c r="A1021" s="29">
        <f>CONCATENATE("CATEGORY_",SUBSTITUTE(UPPER(Pokemon!B992)," ",""))</f>
        <v/>
      </c>
      <c r="B1021" s="29">
        <f>B1014</f>
        <v/>
      </c>
      <c r="C1021" s="29">
        <f>C1014</f>
        <v/>
      </c>
      <c r="D1021" s="29">
        <f>D1014</f>
        <v/>
      </c>
      <c r="E1021" s="29">
        <f>E1014</f>
        <v/>
      </c>
      <c r="F1021" s="29">
        <f>F1014</f>
        <v/>
      </c>
      <c r="G1021" s="29">
        <f>G1014</f>
        <v/>
      </c>
      <c r="H1021" s="29">
        <f>H1014</f>
        <v/>
      </c>
      <c r="I1021" s="29">
        <f>I1014</f>
        <v/>
      </c>
      <c r="J1021" s="29">
        <f>J1014</f>
        <v/>
      </c>
      <c r="K1021" s="29">
        <f>F1021</f>
        <v/>
      </c>
    </row>
    <row r="1022">
      <c r="A1022" s="29">
        <f>CONCATENATE("CATEGORY_",SUBSTITUTE(UPPER(Pokemon!B993)," ",""))</f>
        <v/>
      </c>
      <c r="B1022" s="29">
        <f>B1014</f>
        <v/>
      </c>
      <c r="C1022" s="29">
        <f>C1014</f>
        <v/>
      </c>
      <c r="D1022" s="29">
        <f>D1014</f>
        <v/>
      </c>
      <c r="E1022" s="29">
        <f>E1014</f>
        <v/>
      </c>
      <c r="F1022" s="29">
        <f>F1014</f>
        <v/>
      </c>
      <c r="G1022" s="29">
        <f>G1014</f>
        <v/>
      </c>
      <c r="H1022" s="29">
        <f>H1014</f>
        <v/>
      </c>
      <c r="I1022" s="29">
        <f>I1014</f>
        <v/>
      </c>
      <c r="J1022" s="29">
        <f>J1014</f>
        <v/>
      </c>
      <c r="K1022" s="29">
        <f>F1022</f>
        <v/>
      </c>
    </row>
    <row r="1023">
      <c r="A1023" s="29">
        <f>CONCATENATE("CATEGORY_",SUBSTITUTE(UPPER(Pokemon!B994)," ",""))</f>
        <v/>
      </c>
      <c r="B1023" s="29">
        <f>B1014</f>
        <v/>
      </c>
      <c r="C1023" s="29">
        <f>C1014</f>
        <v/>
      </c>
      <c r="D1023" s="29">
        <f>D1014</f>
        <v/>
      </c>
      <c r="E1023" s="29">
        <f>E1014</f>
        <v/>
      </c>
      <c r="F1023" s="29">
        <f>F1014</f>
        <v/>
      </c>
      <c r="G1023" s="29">
        <f>G1014</f>
        <v/>
      </c>
      <c r="H1023" s="29">
        <f>H1014</f>
        <v/>
      </c>
      <c r="I1023" s="29">
        <f>I1014</f>
        <v/>
      </c>
      <c r="J1023" s="29">
        <f>J1014</f>
        <v/>
      </c>
      <c r="K1023" s="29">
        <f>F1023</f>
        <v/>
      </c>
    </row>
    <row r="1024">
      <c r="A1024" s="29">
        <f>CONCATENATE("CATEGORY_",SUBSTITUTE(UPPER(Pokemon!B995)," ",""))</f>
        <v/>
      </c>
      <c r="B1024" s="29">
        <f>B1014</f>
        <v/>
      </c>
      <c r="C1024" s="29">
        <f>C1014</f>
        <v/>
      </c>
      <c r="D1024" s="29">
        <f>D1014</f>
        <v/>
      </c>
      <c r="E1024" s="29">
        <f>E1014</f>
        <v/>
      </c>
      <c r="F1024" s="29">
        <f>F1014</f>
        <v/>
      </c>
      <c r="G1024" s="29">
        <f>G1014</f>
        <v/>
      </c>
      <c r="H1024" s="29">
        <f>H1014</f>
        <v/>
      </c>
      <c r="I1024" s="29">
        <f>I1014</f>
        <v/>
      </c>
      <c r="J1024" s="29">
        <f>J1014</f>
        <v/>
      </c>
      <c r="K1024" s="29">
        <f>F1024</f>
        <v/>
      </c>
    </row>
    <row r="1025">
      <c r="A1025" s="29">
        <f>CONCATENATE("CATEGORY_",SUBSTITUTE(UPPER(Pokemon!B996)," ",""))</f>
        <v/>
      </c>
      <c r="B1025" s="29">
        <f>B1014</f>
        <v/>
      </c>
      <c r="C1025" s="29">
        <f>C1014</f>
        <v/>
      </c>
      <c r="D1025" s="29">
        <f>D1014</f>
        <v/>
      </c>
      <c r="E1025" s="29">
        <f>E1014</f>
        <v/>
      </c>
      <c r="F1025" s="29">
        <f>F1014</f>
        <v/>
      </c>
      <c r="G1025" s="29">
        <f>G1014</f>
        <v/>
      </c>
      <c r="H1025" s="29">
        <f>H1014</f>
        <v/>
      </c>
      <c r="I1025" s="29">
        <f>I1014</f>
        <v/>
      </c>
      <c r="J1025" s="29">
        <f>J1014</f>
        <v/>
      </c>
      <c r="K1025" s="29">
        <f>F1025</f>
        <v/>
      </c>
    </row>
    <row r="1026">
      <c r="A1026" s="29">
        <f>CONCATENATE("CATEGORY_",UPPER(Pokemon!B997))</f>
        <v/>
      </c>
      <c r="B1026" s="29" t="inlineStr">
        <is>
          <t>Ice Fin</t>
        </is>
      </c>
      <c r="C1026" s="29" t="inlineStr">
        <is>
          <t>こおりビレ</t>
        </is>
      </c>
      <c r="D1026" s="29" t="inlineStr">
        <is>
          <t>Glaçaileron</t>
        </is>
      </c>
      <c r="E1026" s="29" t="inlineStr">
        <is>
          <t>Eisfinnen</t>
        </is>
      </c>
      <c r="F1026" s="29" t="inlineStr">
        <is>
          <t>Aleta Hielo</t>
        </is>
      </c>
      <c r="G1026" s="29" t="inlineStr">
        <is>
          <t>Gelopinna</t>
        </is>
      </c>
      <c r="H1026" s="29" t="inlineStr">
        <is>
          <t>얼음지느러미</t>
        </is>
      </c>
      <c r="I1026" s="29">
        <f>IFERROR(__xludf.DUMMYFUNCTION("GOOGLETRANSLATE(J1026,""zh_HANS"",""zh_HANT"")"),"冰鰭")</f>
        <v/>
      </c>
      <c r="J1026" s="29" t="inlineStr">
        <is>
          <t>冰鳍</t>
        </is>
      </c>
      <c r="K1026" s="29">
        <f>F1026</f>
        <v/>
      </c>
    </row>
    <row r="1027">
      <c r="A1027" s="29">
        <f>CONCATENATE("CATEGORY_",UPPER(Pokemon!B998))</f>
        <v/>
      </c>
      <c r="B1027" s="29">
        <f>B1026</f>
        <v/>
      </c>
      <c r="C1027" s="29">
        <f>C1026</f>
        <v/>
      </c>
      <c r="D1027" s="29">
        <f>D1026</f>
        <v/>
      </c>
      <c r="E1027" s="29">
        <f>E1026</f>
        <v/>
      </c>
      <c r="F1027" s="29">
        <f>F1026</f>
        <v/>
      </c>
      <c r="G1027" s="29">
        <f>G1026</f>
        <v/>
      </c>
      <c r="H1027" s="29">
        <f>H1026</f>
        <v/>
      </c>
      <c r="I1027" s="29">
        <f>I1026</f>
        <v/>
      </c>
      <c r="J1027" s="29">
        <f>J1026</f>
        <v/>
      </c>
      <c r="K1027" s="29">
        <f>F1027</f>
        <v/>
      </c>
    </row>
    <row r="1028">
      <c r="A1028" s="29">
        <f>CONCATENATE("CATEGORY_",UPPER(Pokemon!B999))</f>
        <v/>
      </c>
      <c r="B1028" s="29" t="inlineStr">
        <is>
          <t>Ice Dragon</t>
        </is>
      </c>
      <c r="C1028" s="29" t="inlineStr">
        <is>
          <t>ひょうりゅう</t>
        </is>
      </c>
      <c r="D1028" s="29" t="inlineStr">
        <is>
          <t>Dragon Glace</t>
        </is>
      </c>
      <c r="E1028" s="29" t="inlineStr">
        <is>
          <t>Eisdrachen</t>
        </is>
      </c>
      <c r="F1028" s="29">
        <f>CONCATENATE(F157," Hielo")</f>
        <v/>
      </c>
      <c r="G1028" s="29" t="inlineStr">
        <is>
          <t>Gelodrago</t>
        </is>
      </c>
      <c r="H1028" s="29" t="inlineStr">
        <is>
          <t>빙룡</t>
        </is>
      </c>
      <c r="I1028" s="29">
        <f>IFERROR(__xludf.DUMMYFUNCTION("GOOGLETRANSLATE(J1028,""zh_HANS"",""zh_HANT"")"),"冰龍")</f>
        <v/>
      </c>
      <c r="J1028" s="29" t="inlineStr">
        <is>
          <t>冰龙</t>
        </is>
      </c>
      <c r="K1028" s="29">
        <f>F1028</f>
        <v/>
      </c>
    </row>
    <row r="1029">
      <c r="A1029" s="29">
        <f>CONCATENATE("CATEGORY_",UPPER(Pokemon!B1000))</f>
        <v/>
      </c>
      <c r="B1029" s="29" t="inlineStr">
        <is>
          <t>Coin Chest</t>
        </is>
      </c>
      <c r="C1029" s="29" t="inlineStr">
        <is>
          <t>たからばこ</t>
        </is>
      </c>
      <c r="D1029" s="29" t="inlineStr">
        <is>
          <t>Coffrotrésor</t>
        </is>
      </c>
      <c r="E1029" s="29" t="inlineStr">
        <is>
          <t>Schatztruhen</t>
        </is>
      </c>
      <c r="F1029" s="29" t="inlineStr">
        <is>
          <t>Cofre</t>
        </is>
      </c>
      <c r="G1029" s="29" t="inlineStr">
        <is>
          <t>Scrigno</t>
        </is>
      </c>
      <c r="H1029" s="29" t="inlineStr">
        <is>
          <t>보물상자</t>
        </is>
      </c>
      <c r="I1029" s="29">
        <f>IFERROR(__xludf.DUMMYFUNCTION("GOOGLETRANSLATE(J1029,""zh_HANS"",""zh_HANT"")"),"寶箱")</f>
        <v/>
      </c>
      <c r="J1029" s="29" t="inlineStr">
        <is>
          <t>宝箱</t>
        </is>
      </c>
      <c r="K1029" s="29">
        <f>F1029</f>
        <v/>
      </c>
    </row>
    <row r="1030">
      <c r="A1030" s="29">
        <f>CONCATENATE(A1029,"-R")</f>
        <v/>
      </c>
      <c r="B1030" s="29" t="inlineStr">
        <is>
          <t>Coin Hunter</t>
        </is>
      </c>
      <c r="C1030" s="29" t="inlineStr">
        <is>
          <t>たからさがし</t>
        </is>
      </c>
      <c r="D1030" s="29" t="inlineStr">
        <is>
          <t>Chassotrésor</t>
        </is>
      </c>
      <c r="E1030" s="29" t="inlineStr">
        <is>
          <t>Schatzsucher</t>
        </is>
      </c>
      <c r="F1030" s="29" t="inlineStr">
        <is>
          <t>Cazatesoros</t>
        </is>
      </c>
      <c r="G1030" s="29" t="inlineStr">
        <is>
          <t>Trovatesori</t>
        </is>
      </c>
      <c r="H1030" s="29">
        <f>H1029</f>
        <v/>
      </c>
      <c r="I1030" s="29">
        <f>IFERROR(__xludf.DUMMYFUNCTION("GOOGLETRANSLATE(J1030,""zh_HANS"",""zh_HANT"")"),"尋寶")</f>
        <v/>
      </c>
      <c r="J1030" s="29" t="inlineStr">
        <is>
          <t>寻宝</t>
        </is>
      </c>
      <c r="K1030" s="29">
        <f>F1030</f>
        <v/>
      </c>
    </row>
    <row r="1031">
      <c r="A1031" s="29">
        <f>CONCATENATE("CATEGORY_",UPPER(Pokemon!B1001))</f>
        <v/>
      </c>
      <c r="B1031" s="29" t="inlineStr">
        <is>
          <t>Coin Entity</t>
        </is>
      </c>
      <c r="C1031" s="29" t="inlineStr">
        <is>
          <t>たからもの</t>
        </is>
      </c>
      <c r="D1031" s="29" t="inlineStr">
        <is>
          <t>Trésor Animé</t>
        </is>
      </c>
      <c r="E1031" s="29" t="inlineStr">
        <is>
          <t>Schatzwesen</t>
        </is>
      </c>
      <c r="F1031" s="29" t="inlineStr">
        <is>
          <t>Tesoro</t>
        </is>
      </c>
      <c r="G1031" s="29" t="inlineStr">
        <is>
          <t>Tesoro</t>
        </is>
      </c>
      <c r="H1031" s="29" t="inlineStr">
        <is>
          <t>보물생명체</t>
        </is>
      </c>
      <c r="I1031" s="29">
        <f>IFERROR(__xludf.DUMMYFUNCTION("GOOGLETRANSLATE(J1031,""zh_HANS"",""zh_HANT"")"),"寶者")</f>
        <v/>
      </c>
      <c r="J1031" s="29" t="inlineStr">
        <is>
          <t>宝者</t>
        </is>
      </c>
      <c r="K1031" s="29">
        <f>F1031</f>
        <v/>
      </c>
    </row>
    <row r="1032">
      <c r="A1032" s="29">
        <f>CONCATENATE("CATEGORY_",SUBSTITUTE(UPPER(Pokemon!B1002),"-",""))</f>
        <v/>
      </c>
      <c r="B1032" s="29" t="inlineStr">
        <is>
          <t>Ruinous</t>
        </is>
      </c>
      <c r="C1032" s="29" t="inlineStr">
        <is>
          <t>さいやく</t>
        </is>
      </c>
      <c r="D1032" s="29" t="inlineStr">
        <is>
          <t>Fléau</t>
        </is>
      </c>
      <c r="E1032" s="29" t="inlineStr">
        <is>
          <t>Unheils</t>
        </is>
      </c>
      <c r="F1032" s="29" t="inlineStr">
        <is>
          <t>Debacle</t>
        </is>
      </c>
      <c r="G1032" s="29" t="inlineStr">
        <is>
          <t>Disgrazia</t>
        </is>
      </c>
      <c r="H1032" s="29" t="inlineStr">
        <is>
          <t>재액</t>
        </is>
      </c>
      <c r="I1032" s="29">
        <f>IFERROR(__xludf.DUMMYFUNCTION("GOOGLETRANSLATE(J1032,""zh_HANS"",""zh_HANT"")"),"災厄")</f>
        <v/>
      </c>
      <c r="J1032" s="29" t="inlineStr">
        <is>
          <t>灾厄</t>
        </is>
      </c>
      <c r="K1032" s="29">
        <f>F1032</f>
        <v/>
      </c>
    </row>
    <row r="1033">
      <c r="A1033" s="29">
        <f>CONCATENATE("CATEGORY_",SUBSTITUTE(UPPER(Pokemon!B1003),"-",""))</f>
        <v/>
      </c>
      <c r="B1033" s="29">
        <f>B1032</f>
        <v/>
      </c>
      <c r="C1033" s="29">
        <f>C1032</f>
        <v/>
      </c>
      <c r="D1033" s="29">
        <f>D1032</f>
        <v/>
      </c>
      <c r="E1033" s="29">
        <f>E1032</f>
        <v/>
      </c>
      <c r="F1033" s="29">
        <f>F1032</f>
        <v/>
      </c>
      <c r="G1033" s="29">
        <f>G1032</f>
        <v/>
      </c>
      <c r="H1033" s="29">
        <f>H1032</f>
        <v/>
      </c>
      <c r="I1033" s="29">
        <f>I1032</f>
        <v/>
      </c>
      <c r="J1033" s="29">
        <f>J1032</f>
        <v/>
      </c>
      <c r="K1033" s="29">
        <f>F1033</f>
        <v/>
      </c>
    </row>
    <row r="1034">
      <c r="A1034" s="29">
        <f>CONCATENATE("CATEGORY_",SUBSTITUTE(UPPER(Pokemon!B1004),"-",""))</f>
        <v/>
      </c>
      <c r="B1034" s="29">
        <f>B1032</f>
        <v/>
      </c>
      <c r="C1034" s="29">
        <f>C1032</f>
        <v/>
      </c>
      <c r="D1034" s="29">
        <f>D1032</f>
        <v/>
      </c>
      <c r="E1034" s="29">
        <f>E1032</f>
        <v/>
      </c>
      <c r="F1034" s="29">
        <f>F1032</f>
        <v/>
      </c>
      <c r="G1034" s="29">
        <f>G1032</f>
        <v/>
      </c>
      <c r="H1034" s="29">
        <f>H1032</f>
        <v/>
      </c>
      <c r="I1034" s="29">
        <f>I1032</f>
        <v/>
      </c>
      <c r="J1034" s="29">
        <f>J1032</f>
        <v/>
      </c>
      <c r="K1034" s="29">
        <f>F1034</f>
        <v/>
      </c>
    </row>
    <row r="1035">
      <c r="A1035" s="29">
        <f>CONCATENATE("CATEGORY_",SUBSTITUTE(UPPER(Pokemon!B1005),"-",""))</f>
        <v/>
      </c>
      <c r="B1035" s="29">
        <f>B1032</f>
        <v/>
      </c>
      <c r="C1035" s="29">
        <f>C1032</f>
        <v/>
      </c>
      <c r="D1035" s="29">
        <f>D1032</f>
        <v/>
      </c>
      <c r="E1035" s="29">
        <f>E1032</f>
        <v/>
      </c>
      <c r="F1035" s="29">
        <f>F1032</f>
        <v/>
      </c>
      <c r="G1035" s="29">
        <f>G1032</f>
        <v/>
      </c>
      <c r="H1035" s="29">
        <f>H1032</f>
        <v/>
      </c>
      <c r="I1035" s="29">
        <f>I1032</f>
        <v/>
      </c>
      <c r="J1035" s="29">
        <f>J1032</f>
        <v/>
      </c>
      <c r="K1035" s="29">
        <f>F1035</f>
        <v/>
      </c>
    </row>
    <row r="1036">
      <c r="A1036" s="29">
        <f>CONCATENATE("CATEGORY_",SUBSTITUTE(UPPER(Pokemon!B1006)," ",""))</f>
        <v/>
      </c>
      <c r="B1036" s="29">
        <f>B1014</f>
        <v/>
      </c>
      <c r="C1036" s="29">
        <f>C1014</f>
        <v/>
      </c>
      <c r="D1036" s="29">
        <f>D1014</f>
        <v/>
      </c>
      <c r="E1036" s="29">
        <f>E1014</f>
        <v/>
      </c>
      <c r="F1036" s="29">
        <f>F1014</f>
        <v/>
      </c>
      <c r="G1036" s="29">
        <f>G1014</f>
        <v/>
      </c>
      <c r="H1036" s="29">
        <f>H1014</f>
        <v/>
      </c>
      <c r="I1036" s="29">
        <f>I1014</f>
        <v/>
      </c>
      <c r="J1036" s="29">
        <f>J1014</f>
        <v/>
      </c>
      <c r="K1036" s="29">
        <f>F1036</f>
        <v/>
      </c>
    </row>
    <row r="1037">
      <c r="A1037" s="29">
        <f>CONCATENATE("CATEGORY_",SUBSTITUTE(UPPER(Pokemon!B1007)," ",""))</f>
        <v/>
      </c>
      <c r="B1037" s="29">
        <f>B1014</f>
        <v/>
      </c>
      <c r="C1037" s="29">
        <f>C1014</f>
        <v/>
      </c>
      <c r="D1037" s="29">
        <f>D1014</f>
        <v/>
      </c>
      <c r="E1037" s="29">
        <f>E1014</f>
        <v/>
      </c>
      <c r="F1037" s="29">
        <f>F1014</f>
        <v/>
      </c>
      <c r="G1037" s="29">
        <f>G1014</f>
        <v/>
      </c>
      <c r="H1037" s="29">
        <f>H1014</f>
        <v/>
      </c>
      <c r="I1037" s="29">
        <f>I1014</f>
        <v/>
      </c>
      <c r="J1037" s="29">
        <f>J1014</f>
        <v/>
      </c>
      <c r="K1037" s="29">
        <f>F1037</f>
        <v/>
      </c>
    </row>
    <row r="1038">
      <c r="A1038" s="29">
        <f>CONCATENATE("CATEGORY_",UPPER(Pokemon!B1008))</f>
        <v/>
      </c>
      <c r="B1038" s="29">
        <f>B1016</f>
        <v/>
      </c>
      <c r="C1038" s="29">
        <f>C1016</f>
        <v/>
      </c>
      <c r="D1038" s="29">
        <f>D1016</f>
        <v/>
      </c>
      <c r="E1038" s="29">
        <f>E1016</f>
        <v/>
      </c>
      <c r="F1038" s="29">
        <f>F1016</f>
        <v/>
      </c>
      <c r="G1038" s="29">
        <f>G1016</f>
        <v/>
      </c>
      <c r="H1038" s="29">
        <f>H1016</f>
        <v/>
      </c>
      <c r="I1038" s="29">
        <f>I1016</f>
        <v/>
      </c>
      <c r="J1038" s="29">
        <f>J1016</f>
        <v/>
      </c>
      <c r="K1038" s="29">
        <f>F1038</f>
        <v/>
      </c>
    </row>
    <row r="1039">
      <c r="A1039" s="29">
        <f>CONCATENATE("CATEGORY_",UPPER(Pokemon!B1009))</f>
        <v/>
      </c>
      <c r="B1039" s="29">
        <f>B1017</f>
        <v/>
      </c>
      <c r="C1039" s="29">
        <f>C1017</f>
        <v/>
      </c>
      <c r="D1039" s="29">
        <f>D1017</f>
        <v/>
      </c>
      <c r="E1039" s="29">
        <f>E1017</f>
        <v/>
      </c>
      <c r="F1039" s="29">
        <f>F1017</f>
        <v/>
      </c>
      <c r="G1039" s="29">
        <f>G1017</f>
        <v/>
      </c>
      <c r="H1039" s="29">
        <f>H1017</f>
        <v/>
      </c>
      <c r="I1039" s="29">
        <f>I1017</f>
        <v/>
      </c>
      <c r="J1039" s="29">
        <f>J1017</f>
        <v/>
      </c>
      <c r="K1039" s="29">
        <f>F1039</f>
        <v/>
      </c>
    </row>
    <row r="1040">
      <c r="A1040" s="29">
        <f>CONCATENATE("CATEGORY_",SUBSTITUTE(UPPER(Pokemon!B1010)," ",""))</f>
        <v/>
      </c>
      <c r="B1040" s="29">
        <f>B1014</f>
        <v/>
      </c>
      <c r="C1040" s="29">
        <f>C1014</f>
        <v/>
      </c>
      <c r="D1040" s="29">
        <f>D1014</f>
        <v/>
      </c>
      <c r="E1040" s="29">
        <f>E1014</f>
        <v/>
      </c>
      <c r="F1040" s="29">
        <f>F1014</f>
        <v/>
      </c>
      <c r="G1040" s="29">
        <f>G1014</f>
        <v/>
      </c>
      <c r="H1040" s="29">
        <f>H1014</f>
        <v/>
      </c>
      <c r="I1040" s="29">
        <f>I1014</f>
        <v/>
      </c>
      <c r="J1040" s="29">
        <f>J1014</f>
        <v/>
      </c>
      <c r="K1040" s="29">
        <f>F1040</f>
        <v/>
      </c>
    </row>
    <row r="1041">
      <c r="A1041" s="29">
        <f>CONCATENATE("CATEGORY_",SUBSTITUTE(UPPER(Pokemon!B1011)," ",""))</f>
        <v/>
      </c>
      <c r="B1041" s="29">
        <f>B1014</f>
        <v/>
      </c>
      <c r="C1041" s="29">
        <f>C1014</f>
        <v/>
      </c>
      <c r="D1041" s="29">
        <f>D1014</f>
        <v/>
      </c>
      <c r="E1041" s="29">
        <f>E1014</f>
        <v/>
      </c>
      <c r="F1041" s="29">
        <f>F1014</f>
        <v/>
      </c>
      <c r="G1041" s="29">
        <f>G1014</f>
        <v/>
      </c>
      <c r="H1041" s="29">
        <f>H1014</f>
        <v/>
      </c>
      <c r="I1041" s="29">
        <f>I1014</f>
        <v/>
      </c>
      <c r="J1041" s="29">
        <f>J1014</f>
        <v/>
      </c>
      <c r="K1041" s="29">
        <f>F1041</f>
        <v/>
      </c>
    </row>
    <row r="1042">
      <c r="A1042" s="29">
        <f>CONCATENATE("CATEGORY_",SUBSTITUTE(UPPER(Pokemon!B1012)," ",""))</f>
        <v/>
      </c>
      <c r="B1042" s="29" t="inlineStr">
        <is>
          <t>Candy Apple</t>
        </is>
      </c>
      <c r="C1042" s="29" t="inlineStr">
        <is>
          <t>りんごあめ</t>
        </is>
      </c>
      <c r="D1042" s="29" t="inlineStr">
        <is>
          <t>Sirop Pomme</t>
        </is>
      </c>
      <c r="E1042" s="29" t="inlineStr">
        <is>
          <t>Apfelsirup</t>
        </is>
      </c>
      <c r="F1042" s="29" t="inlineStr">
        <is>
          <t>Manzamelo</t>
        </is>
      </c>
      <c r="G1042" s="29" t="inlineStr">
        <is>
          <t>Pomelassa</t>
        </is>
      </c>
      <c r="H1042" s="29" t="inlineStr">
        <is>
          <t>사과사탕</t>
        </is>
      </c>
      <c r="I1042" s="29">
        <f>IFERROR(__xludf.DUMMYFUNCTION("GOOGLETRANSLATE(J1042,""zh_HANS"",""zh_HANT"")"),"糖蘋果")</f>
        <v/>
      </c>
      <c r="J1042" s="29" t="inlineStr">
        <is>
          <t>糖苹果</t>
        </is>
      </c>
      <c r="K1042" s="29">
        <f>F1042</f>
        <v/>
      </c>
    </row>
    <row r="1043">
      <c r="A1043" s="29">
        <f>CONCATENATE("CATEGORY_",SUBSTITUTE(UPPER(Pokemon!B1013)," ",""))</f>
        <v/>
      </c>
      <c r="B1043" s="29" t="inlineStr">
        <is>
          <t>Matcha</t>
        </is>
      </c>
      <c r="C1043" s="29" t="inlineStr">
        <is>
          <t>まっちゃ</t>
        </is>
      </c>
      <c r="D1043" s="29">
        <f>B1043</f>
        <v/>
      </c>
      <c r="E1043" s="29">
        <f>B1043</f>
        <v/>
      </c>
      <c r="F1043" s="29">
        <f>B1043</f>
        <v/>
      </c>
      <c r="G1043" s="29">
        <f>B1043</f>
        <v/>
      </c>
      <c r="H1043" s="29" t="inlineStr">
        <is>
          <t>말차</t>
        </is>
      </c>
      <c r="I1043" s="29">
        <f>J1043</f>
        <v/>
      </c>
      <c r="J1043" s="29" t="inlineStr">
        <is>
          <t>抹茶</t>
        </is>
      </c>
      <c r="K1043" s="29">
        <f>F1043</f>
        <v/>
      </c>
    </row>
    <row r="1044">
      <c r="A1044" s="29">
        <f>CONCATENATE("CATEGORY_",SUBSTITUTE(UPPER(Pokemon!B1014)," ",""))</f>
        <v/>
      </c>
      <c r="B1044" s="29">
        <f>B1043</f>
        <v/>
      </c>
      <c r="C1044" s="29">
        <f>C1043</f>
        <v/>
      </c>
      <c r="D1044" s="29">
        <f>D1043</f>
        <v/>
      </c>
      <c r="E1044" s="29">
        <f>E1043</f>
        <v/>
      </c>
      <c r="F1044" s="29">
        <f>F1043</f>
        <v/>
      </c>
      <c r="G1044" s="29">
        <f>G1043</f>
        <v/>
      </c>
      <c r="H1044" s="29">
        <f>H1043</f>
        <v/>
      </c>
      <c r="I1044" s="29">
        <f>I1043</f>
        <v/>
      </c>
      <c r="J1044" s="29">
        <f>J1043</f>
        <v/>
      </c>
      <c r="K1044" s="29">
        <f>F1044</f>
        <v/>
      </c>
    </row>
    <row r="1045">
      <c r="A1045" s="29">
        <f>CONCATENATE("CATEGORY_",SUBSTITUTE(UPPER(Pokemon!B1015)," ",""))</f>
        <v/>
      </c>
      <c r="B1045" s="29" t="inlineStr">
        <is>
          <t>Retainer</t>
        </is>
      </c>
      <c r="C1045" s="29" t="inlineStr">
        <is>
          <t>けらい</t>
        </is>
      </c>
      <c r="D1045" s="29" t="inlineStr">
        <is>
          <t>Serviteur</t>
        </is>
      </c>
      <c r="E1045" s="29" t="inlineStr">
        <is>
          <t>Lakaien</t>
        </is>
      </c>
      <c r="F1045" s="29" t="inlineStr">
        <is>
          <t>Esbirro</t>
        </is>
      </c>
      <c r="G1045" s="29" t="inlineStr">
        <is>
          <t>Servo</t>
        </is>
      </c>
      <c r="H1045" s="29" t="inlineStr">
        <is>
          <t>수하</t>
        </is>
      </c>
      <c r="I1045" s="29">
        <f>IFERROR(__xludf.DUMMYFUNCTION("GOOGLETRANSLATE(J1045,""zh_HANS"",""zh_HANT"")"),"隨從")</f>
        <v/>
      </c>
      <c r="J1045" s="29" t="inlineStr">
        <is>
          <t>随从</t>
        </is>
      </c>
      <c r="K1045" s="29">
        <f>F1045</f>
        <v/>
      </c>
    </row>
    <row r="1046">
      <c r="A1046" s="29">
        <f>CONCATENATE("CATEGORY_",SUBSTITUTE(UPPER(Pokemon!B1016)," ",""))</f>
        <v/>
      </c>
      <c r="B1046" s="29">
        <f>B1045</f>
        <v/>
      </c>
      <c r="C1046" s="29">
        <f>C1045</f>
        <v/>
      </c>
      <c r="D1046" s="29">
        <f>D1045</f>
        <v/>
      </c>
      <c r="E1046" s="29">
        <f>E1045</f>
        <v/>
      </c>
      <c r="F1046" s="29">
        <f>F1045</f>
        <v/>
      </c>
      <c r="G1046" s="29">
        <f>G1045</f>
        <v/>
      </c>
      <c r="H1046" s="29">
        <f>H1045</f>
        <v/>
      </c>
      <c r="I1046" s="29">
        <f>I1045</f>
        <v/>
      </c>
      <c r="J1046" s="29">
        <f>J1045</f>
        <v/>
      </c>
      <c r="K1046" s="29">
        <f>F1046</f>
        <v/>
      </c>
    </row>
    <row r="1047">
      <c r="A1047" s="29">
        <f>CONCATENATE("CATEGORY_",SUBSTITUTE(UPPER(Pokemon!B1017)," ",""))</f>
        <v/>
      </c>
      <c r="B1047" s="29">
        <f>B1045</f>
        <v/>
      </c>
      <c r="C1047" s="29">
        <f>C1045</f>
        <v/>
      </c>
      <c r="D1047" s="29">
        <f>D1045</f>
        <v/>
      </c>
      <c r="E1047" s="29">
        <f>E1045</f>
        <v/>
      </c>
      <c r="F1047" s="29">
        <f>F1045</f>
        <v/>
      </c>
      <c r="G1047" s="29">
        <f>G1045</f>
        <v/>
      </c>
      <c r="H1047" s="29">
        <f>H1045</f>
        <v/>
      </c>
      <c r="I1047" s="29">
        <f>I1045</f>
        <v/>
      </c>
      <c r="J1047" s="29">
        <f>J1045</f>
        <v/>
      </c>
      <c r="K1047" s="29">
        <f>F1047</f>
        <v/>
      </c>
    </row>
    <row r="1048">
      <c r="A1048" s="29">
        <f>CONCATENATE("CATEGORY_",SUBSTITUTE(UPPER(Pokemon!B1018)," ",""))</f>
        <v/>
      </c>
      <c r="B1048" s="29" t="inlineStr">
        <is>
          <t>Mask</t>
        </is>
      </c>
      <c r="C1048" s="29" t="inlineStr">
        <is>
          <t>おめん</t>
        </is>
      </c>
      <c r="D1048" s="29" t="inlineStr">
        <is>
          <t>Masque</t>
        </is>
      </c>
      <c r="E1048" s="29">
        <f>CONCATENATE(B1048,"en")</f>
        <v/>
      </c>
      <c r="F1048" s="29" t="inlineStr">
        <is>
          <t>Máscara</t>
        </is>
      </c>
      <c r="G1048" s="29" t="inlineStr">
        <is>
          <t>Maschera</t>
        </is>
      </c>
      <c r="H1048" s="29" t="inlineStr">
        <is>
          <t>가면</t>
        </is>
      </c>
      <c r="I1048" s="29" t="inlineStr">
        <is>
          <t>面具</t>
        </is>
      </c>
      <c r="J1048" s="29">
        <f>I1048</f>
        <v/>
      </c>
      <c r="K1048" s="29">
        <f>F1048</f>
        <v/>
      </c>
    </row>
    <row r="1049">
      <c r="A1049" s="29">
        <f>CONCATENATE("CATEGORY_",SUBSTITUTE(UPPER(Pokemon!B1019)," ",""))</f>
        <v/>
      </c>
      <c r="B1049" s="29">
        <f>B911</f>
        <v/>
      </c>
      <c r="C1049" s="29">
        <f>C911</f>
        <v/>
      </c>
      <c r="D1049" s="29">
        <f>D911</f>
        <v/>
      </c>
      <c r="E1049" s="29">
        <f>E911</f>
        <v/>
      </c>
      <c r="F1049" s="29">
        <f>F911</f>
        <v/>
      </c>
      <c r="G1049" s="29">
        <f>G911</f>
        <v/>
      </c>
      <c r="H1049" s="29">
        <f>H911</f>
        <v/>
      </c>
      <c r="I1049" s="29">
        <f>I911</f>
        <v/>
      </c>
      <c r="J1049" s="29">
        <f>J911</f>
        <v/>
      </c>
      <c r="K1049" s="29">
        <f>F1049</f>
        <v/>
      </c>
    </row>
    <row r="1050">
      <c r="A1050" s="29">
        <f>CONCATENATE("CATEGORY_",SUBSTITUTE(UPPER(Pokemon!B1020)," ",""))</f>
        <v/>
      </c>
      <c r="B1050" s="29" t="inlineStr">
        <is>
          <t>Apple Hydra</t>
        </is>
      </c>
      <c r="C1050" s="29" t="inlineStr">
        <is>
          <t>りんごオロチ</t>
        </is>
      </c>
      <c r="D1050" s="29" t="inlineStr">
        <is>
          <t>Hydre Pomme</t>
        </is>
      </c>
      <c r="E1050" s="29" t="inlineStr">
        <is>
          <t>Apfelhydra</t>
        </is>
      </c>
      <c r="F1050" s="29" t="inlineStr">
        <is>
          <t>Manzanhidra</t>
        </is>
      </c>
      <c r="G1050" s="29" t="inlineStr">
        <is>
          <t>Pomidra</t>
        </is>
      </c>
      <c r="H1050" s="29" t="inlineStr">
        <is>
          <t>사과이무기</t>
        </is>
      </c>
      <c r="I1050" s="29">
        <f>IFERROR(__xludf.DUMMYFUNCTION("GOOGLETRANSLATE(J1050,""zh_HANS"",""zh_HANT"")"),"糖青蘋果")</f>
        <v/>
      </c>
      <c r="J1050" s="29" t="inlineStr">
        <is>
          <t>糖青苹果</t>
        </is>
      </c>
      <c r="K1050" s="29">
        <f>F1050</f>
        <v/>
      </c>
    </row>
    <row r="1051">
      <c r="A1051" s="29">
        <f>CONCATENATE("CATEGORY_",SUBSTITUTE(UPPER(Pokemon!B1021)," ",""))</f>
        <v/>
      </c>
      <c r="B1051" s="29">
        <f>B1017</f>
        <v/>
      </c>
      <c r="C1051" s="29">
        <f>C1017</f>
        <v/>
      </c>
      <c r="D1051" s="29">
        <f>D1017</f>
        <v/>
      </c>
      <c r="E1051" s="29">
        <f>E1017</f>
        <v/>
      </c>
      <c r="F1051" s="29">
        <f>F1017</f>
        <v/>
      </c>
      <c r="G1051" s="29">
        <f>G1017</f>
        <v/>
      </c>
      <c r="H1051" s="29">
        <f>H1017</f>
        <v/>
      </c>
      <c r="I1051" s="29">
        <f>I1017</f>
        <v/>
      </c>
      <c r="J1051" s="29">
        <f>J1017</f>
        <v/>
      </c>
      <c r="K1051" s="29">
        <f>F1051</f>
        <v/>
      </c>
    </row>
    <row r="1052">
      <c r="A1052" s="29">
        <f>CONCATENATE("CATEGORY_",SUBSTITUTE(UPPER(Pokemon!B1022)," ",""))</f>
        <v/>
      </c>
      <c r="B1052" s="29">
        <f>B1017</f>
        <v/>
      </c>
      <c r="C1052" s="29">
        <f>C1017</f>
        <v/>
      </c>
      <c r="D1052" s="29">
        <f>D1017</f>
        <v/>
      </c>
      <c r="E1052" s="29">
        <f>E1017</f>
        <v/>
      </c>
      <c r="F1052" s="29">
        <f>F1017</f>
        <v/>
      </c>
      <c r="G1052" s="29">
        <f>G1017</f>
        <v/>
      </c>
      <c r="H1052" s="29">
        <f>H1017</f>
        <v/>
      </c>
      <c r="I1052" s="29">
        <f>I1017</f>
        <v/>
      </c>
      <c r="J1052" s="29">
        <f>J1017</f>
        <v/>
      </c>
      <c r="K1052" s="29">
        <f>F1052</f>
        <v/>
      </c>
    </row>
    <row r="1053">
      <c r="A1053" s="29">
        <f>CONCATENATE("CATEGORY_",SUBSTITUTE(UPPER(Pokemon!B1023)," ",""))</f>
        <v/>
      </c>
      <c r="B1053" s="29">
        <f>B1017</f>
        <v/>
      </c>
      <c r="C1053" s="29">
        <f>C1017</f>
        <v/>
      </c>
      <c r="D1053" s="29">
        <f>D1017</f>
        <v/>
      </c>
      <c r="E1053" s="29">
        <f>E1017</f>
        <v/>
      </c>
      <c r="F1053" s="29">
        <f>F1017</f>
        <v/>
      </c>
      <c r="G1053" s="29">
        <f>G1017</f>
        <v/>
      </c>
      <c r="H1053" s="29">
        <f>H1017</f>
        <v/>
      </c>
      <c r="I1053" s="29">
        <f>I1017</f>
        <v/>
      </c>
      <c r="J1053" s="29">
        <f>J1017</f>
        <v/>
      </c>
      <c r="K1053" s="29">
        <f>F1053</f>
        <v/>
      </c>
    </row>
    <row r="1054">
      <c r="A1054" s="29">
        <f>CONCATENATE("CATEGORY_",SUBSTITUTE(UPPER(Pokemon!B1024)," ",""))</f>
        <v/>
      </c>
      <c r="B1054" s="29">
        <f>B1017</f>
        <v/>
      </c>
      <c r="C1054" s="29">
        <f>C1017</f>
        <v/>
      </c>
      <c r="D1054" s="29">
        <f>D1017</f>
        <v/>
      </c>
      <c r="E1054" s="29">
        <f>E1017</f>
        <v/>
      </c>
      <c r="F1054" s="29">
        <f>F1017</f>
        <v/>
      </c>
      <c r="G1054" s="29">
        <f>G1017</f>
        <v/>
      </c>
      <c r="H1054" s="29">
        <f>H1017</f>
        <v/>
      </c>
      <c r="I1054" s="29">
        <f>I1017</f>
        <v/>
      </c>
      <c r="J1054" s="29">
        <f>J1017</f>
        <v/>
      </c>
      <c r="K1054" s="29">
        <f>F1054</f>
        <v/>
      </c>
    </row>
    <row r="1055">
      <c r="A1055" s="29">
        <f>CONCATENATE("CATEGORY_",SUBSTITUTE(UPPER(Pokemon!B1025)," ",""))</f>
        <v/>
      </c>
      <c r="B1055" s="29" t="inlineStr">
        <is>
          <t>Tera</t>
        </is>
      </c>
      <c r="C1055" s="29" t="inlineStr">
        <is>
          <t>テラスタル</t>
        </is>
      </c>
      <c r="D1055" s="29" t="inlineStr">
        <is>
          <t>Téracristal</t>
        </is>
      </c>
      <c r="E1055" s="29" t="inlineStr">
        <is>
          <t>Terakristall</t>
        </is>
      </c>
      <c r="F1055" s="29" t="inlineStr">
        <is>
          <t>Teracristal</t>
        </is>
      </c>
      <c r="G1055" s="29">
        <f>F1055</f>
        <v/>
      </c>
      <c r="H1055" s="29" t="inlineStr">
        <is>
          <t>테라스탈포</t>
        </is>
      </c>
      <c r="I1055" s="29" t="inlineStr">
        <is>
          <t>太晶</t>
        </is>
      </c>
      <c r="J1055" s="29">
        <f>I1055</f>
        <v/>
      </c>
      <c r="K1055" s="29">
        <f>F1055</f>
        <v/>
      </c>
    </row>
    <row r="1056">
      <c r="A1056" s="29">
        <f>CONCATENATE("CATEGORY_",SUBSTITUTE(UPPER(Pokemon!B1026)," ",""))</f>
        <v/>
      </c>
      <c r="B1056" s="29" t="inlineStr">
        <is>
          <t>Subjugation</t>
        </is>
      </c>
      <c r="C1056" s="29" t="inlineStr">
        <is>
          <t>しはい</t>
        </is>
      </c>
      <c r="D1056" s="29" t="inlineStr">
        <is>
          <t>Emprise</t>
        </is>
      </c>
      <c r="E1056" s="29" t="inlineStr">
        <is>
          <t>Knechtungs</t>
        </is>
      </c>
      <c r="F1056" s="29" t="inlineStr">
        <is>
          <t>Controlador</t>
        </is>
      </c>
      <c r="G1056" s="29" t="inlineStr">
        <is>
          <t>Dominio</t>
        </is>
      </c>
      <c r="H1056" s="29" t="inlineStr">
        <is>
          <t>지배</t>
        </is>
      </c>
      <c r="I1056" s="29" t="inlineStr">
        <is>
          <t>支配</t>
        </is>
      </c>
      <c r="J1056" s="29">
        <f>I1056</f>
        <v/>
      </c>
      <c r="K1056" s="29">
        <f>F1056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1:Z20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2.63" defaultRowHeight="15.75" customHeight="1"/>
  <cols>
    <col width="20.38" customWidth="1" style="31" min="1" max="1"/>
    <col width="6.75" customWidth="1" style="31" min="8" max="8"/>
    <col width="8.880000000000001" customWidth="1" style="31" min="9" max="9"/>
    <col width="8.75" customWidth="1" style="31" min="10" max="10"/>
  </cols>
  <sheetData>
    <row r="1">
      <c r="A1" s="2">
        <f>Pokemon!A1</f>
        <v/>
      </c>
      <c r="B1" s="2">
        <f>Pokemon!B1</f>
        <v/>
      </c>
      <c r="C1" s="2">
        <f>Pokemon!C1</f>
        <v/>
      </c>
      <c r="D1" s="2">
        <f>Pokemon!D1</f>
        <v/>
      </c>
      <c r="E1" s="2">
        <f>Pokemon!E1</f>
        <v/>
      </c>
      <c r="F1" s="2">
        <f>Pokemon!F1</f>
        <v/>
      </c>
      <c r="G1" s="2">
        <f>Pokemon!G1</f>
        <v/>
      </c>
      <c r="H1" s="2">
        <f>Pokemon!H1</f>
        <v/>
      </c>
      <c r="I1" s="2">
        <f>Pokemon!I1</f>
        <v/>
      </c>
      <c r="J1" s="2">
        <f>Pokemon!J1</f>
        <v/>
      </c>
      <c r="K1" s="2">
        <f>Pokemon!K1</f>
        <v/>
      </c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</row>
    <row r="2">
      <c r="A2" s="29">
        <f>CONCATENATE("NAME_TYPE_", UPPER(B2))</f>
        <v/>
      </c>
      <c r="B2" s="29" t="inlineStr">
        <is>
          <t>Normal</t>
        </is>
      </c>
      <c r="C2" s="29" t="inlineStr">
        <is>
          <t>ノーマル</t>
        </is>
      </c>
      <c r="D2" s="29">
        <f>B2</f>
        <v/>
      </c>
      <c r="E2" s="29">
        <f>B2</f>
        <v/>
      </c>
      <c r="F2" s="29">
        <f>B2</f>
        <v/>
      </c>
      <c r="G2" s="29" t="inlineStr">
        <is>
          <t>Normale</t>
        </is>
      </c>
      <c r="H2" s="29" t="inlineStr">
        <is>
          <t>노말</t>
        </is>
      </c>
      <c r="I2" s="29">
        <f>J2</f>
        <v/>
      </c>
      <c r="J2" s="29" t="inlineStr">
        <is>
          <t>一般</t>
        </is>
      </c>
      <c r="K2" s="29">
        <f>F2</f>
        <v/>
      </c>
    </row>
    <row r="3">
      <c r="A3" s="29">
        <f>CONCATENATE("NAME_TYPE_", UPPER(B3))</f>
        <v/>
      </c>
      <c r="B3" s="29" t="inlineStr">
        <is>
          <t>Fighting</t>
        </is>
      </c>
      <c r="C3" s="29" t="inlineStr">
        <is>
          <t>かくとう</t>
        </is>
      </c>
      <c r="D3" s="29" t="inlineStr">
        <is>
          <t>Combat</t>
        </is>
      </c>
      <c r="E3" s="29" t="inlineStr">
        <is>
          <t>Kampf</t>
        </is>
      </c>
      <c r="F3" s="29" t="inlineStr">
        <is>
          <t>Lucha</t>
        </is>
      </c>
      <c r="G3" s="29" t="inlineStr">
        <is>
          <t>Lotta</t>
        </is>
      </c>
      <c r="H3" s="29" t="inlineStr">
        <is>
          <t>격투</t>
        </is>
      </c>
      <c r="I3" s="29">
        <f>IFERROR(__xludf.DUMMYFUNCTION("GOOGLETRANSLATE(J3,""zh_HANS"",""zh_HANT"")"),"格鬥")</f>
        <v/>
      </c>
      <c r="J3" s="29" t="inlineStr">
        <is>
          <t>格斗</t>
        </is>
      </c>
      <c r="K3" s="29">
        <f>F3</f>
        <v/>
      </c>
    </row>
    <row r="4">
      <c r="A4" s="29">
        <f>CONCATENATE("NAME_TYPE_", UPPER(B4))</f>
        <v/>
      </c>
      <c r="B4" s="29" t="inlineStr">
        <is>
          <t>Flying</t>
        </is>
      </c>
      <c r="C4" s="29" t="inlineStr">
        <is>
          <t>ひこう</t>
        </is>
      </c>
      <c r="D4" s="29" t="inlineStr">
        <is>
          <t>Vol</t>
        </is>
      </c>
      <c r="E4" s="29" t="inlineStr">
        <is>
          <t>Flug</t>
        </is>
      </c>
      <c r="F4" s="29" t="inlineStr">
        <is>
          <t>Volador</t>
        </is>
      </c>
      <c r="G4" s="29" t="inlineStr">
        <is>
          <t>Volante</t>
        </is>
      </c>
      <c r="H4" s="29" t="inlineStr">
        <is>
          <t>비행</t>
        </is>
      </c>
      <c r="I4" s="29">
        <f>IFERROR(__xludf.DUMMYFUNCTION("GOOGLETRANSLATE(J4,""zh_HANS"",""zh_HANT"")"),"飛行")</f>
        <v/>
      </c>
      <c r="J4" s="29" t="inlineStr">
        <is>
          <t>飞行</t>
        </is>
      </c>
      <c r="K4" s="29">
        <f>F4</f>
        <v/>
      </c>
    </row>
    <row r="5">
      <c r="A5" s="29">
        <f>CONCATENATE("NAME_TYPE_", UPPER(B5))</f>
        <v/>
      </c>
      <c r="B5" s="29" t="inlineStr">
        <is>
          <t>Poison</t>
        </is>
      </c>
      <c r="C5" s="29" t="inlineStr">
        <is>
          <t>どく</t>
        </is>
      </c>
      <c r="D5" s="29">
        <f>B5</f>
        <v/>
      </c>
      <c r="E5" s="29" t="inlineStr">
        <is>
          <t>Gift</t>
        </is>
      </c>
      <c r="F5" s="29" t="inlineStr">
        <is>
          <t>Veneno</t>
        </is>
      </c>
      <c r="G5" s="29" t="inlineStr">
        <is>
          <t>Veleno</t>
        </is>
      </c>
      <c r="H5" s="29" t="inlineStr">
        <is>
          <t>독</t>
        </is>
      </c>
      <c r="I5" s="29">
        <f>J5</f>
        <v/>
      </c>
      <c r="J5" s="29" t="inlineStr">
        <is>
          <t>毒</t>
        </is>
      </c>
      <c r="K5" s="29">
        <f>F5</f>
        <v/>
      </c>
    </row>
    <row r="6">
      <c r="A6" s="29">
        <f>CONCATENATE("NAME_TYPE_", UPPER(B6))</f>
        <v/>
      </c>
      <c r="B6" s="29" t="inlineStr">
        <is>
          <t>Ground</t>
        </is>
      </c>
      <c r="C6" s="29" t="inlineStr">
        <is>
          <t>じめん</t>
        </is>
      </c>
      <c r="D6" s="29" t="inlineStr">
        <is>
          <t>Sol</t>
        </is>
      </c>
      <c r="E6" s="29" t="inlineStr">
        <is>
          <t>Boden</t>
        </is>
      </c>
      <c r="F6" s="29" t="inlineStr">
        <is>
          <t>Tierra</t>
        </is>
      </c>
      <c r="G6" s="29" t="inlineStr">
        <is>
          <t>Terra</t>
        </is>
      </c>
      <c r="H6" s="29" t="inlineStr">
        <is>
          <t>땅</t>
        </is>
      </c>
      <c r="I6" s="29">
        <f>J6</f>
        <v/>
      </c>
      <c r="J6" s="29" t="inlineStr">
        <is>
          <t>地面</t>
        </is>
      </c>
      <c r="K6" s="29">
        <f>F6</f>
        <v/>
      </c>
    </row>
    <row r="7">
      <c r="A7" s="29">
        <f>CONCATENATE("NAME_TYPE_", UPPER(B7))</f>
        <v/>
      </c>
      <c r="B7" s="29" t="inlineStr">
        <is>
          <t>Rock</t>
        </is>
      </c>
      <c r="C7" s="29" t="inlineStr">
        <is>
          <t>いわ</t>
        </is>
      </c>
      <c r="D7" s="29" t="inlineStr">
        <is>
          <t>Roche</t>
        </is>
      </c>
      <c r="E7" s="29" t="inlineStr">
        <is>
          <t>Gestein</t>
        </is>
      </c>
      <c r="F7" s="29" t="inlineStr">
        <is>
          <t>Roca</t>
        </is>
      </c>
      <c r="G7" s="29" t="inlineStr">
        <is>
          <t>Roccia</t>
        </is>
      </c>
      <c r="H7" s="29" t="inlineStr">
        <is>
          <t>바위</t>
        </is>
      </c>
      <c r="I7" s="29">
        <f>J7</f>
        <v/>
      </c>
      <c r="J7" s="29" t="inlineStr">
        <is>
          <t>岩石</t>
        </is>
      </c>
      <c r="K7" s="29">
        <f>F7</f>
        <v/>
      </c>
    </row>
    <row r="8">
      <c r="A8" s="29">
        <f>CONCATENATE("NAME_TYPE_", UPPER(B8))</f>
        <v/>
      </c>
      <c r="B8" s="29" t="inlineStr">
        <is>
          <t>Bug</t>
        </is>
      </c>
      <c r="C8" s="29" t="inlineStr">
        <is>
          <t>むし</t>
        </is>
      </c>
      <c r="D8" s="29" t="inlineStr">
        <is>
          <t>Insecte</t>
        </is>
      </c>
      <c r="E8" s="29" t="inlineStr">
        <is>
          <t>Käfer</t>
        </is>
      </c>
      <c r="F8" s="29" t="inlineStr">
        <is>
          <t>Bicho</t>
        </is>
      </c>
      <c r="G8" s="29" t="inlineStr">
        <is>
          <t>Coleottero</t>
        </is>
      </c>
      <c r="H8" s="29" t="inlineStr">
        <is>
          <t>벌레</t>
        </is>
      </c>
      <c r="I8" s="15">
        <f>IFERROR(__xludf.DUMMYFUNCTION("GOOGLETRANSLATE(J8,""zh_HANS"",""zh_HANT"")"),"蟲")</f>
        <v/>
      </c>
      <c r="J8" s="29" t="inlineStr">
        <is>
          <t>虫</t>
        </is>
      </c>
      <c r="K8" s="29">
        <f>F8</f>
        <v/>
      </c>
    </row>
    <row r="9">
      <c r="A9" s="29">
        <f>CONCATENATE("NAME_TYPE_", UPPER(B9))</f>
        <v/>
      </c>
      <c r="B9" s="29" t="inlineStr">
        <is>
          <t>Ghost</t>
        </is>
      </c>
      <c r="C9" s="29" t="inlineStr">
        <is>
          <t>ゴースト</t>
        </is>
      </c>
      <c r="D9" s="29" t="inlineStr">
        <is>
          <t>Spectre</t>
        </is>
      </c>
      <c r="E9" s="29" t="inlineStr">
        <is>
          <t>Geist</t>
        </is>
      </c>
      <c r="F9" s="29" t="inlineStr">
        <is>
          <t>Fantasma</t>
        </is>
      </c>
      <c r="G9" s="29" t="inlineStr">
        <is>
          <t>Spettro</t>
        </is>
      </c>
      <c r="H9" s="29" t="inlineStr">
        <is>
          <t>고스트</t>
        </is>
      </c>
      <c r="I9" s="15">
        <f>IFERROR(__xludf.DUMMYFUNCTION("GOOGLETRANSLATE(J9,""zh_HANS"",""zh_HANT"")"),"幽靈")</f>
        <v/>
      </c>
      <c r="J9" s="29" t="inlineStr">
        <is>
          <t>幽灵</t>
        </is>
      </c>
      <c r="K9" s="29">
        <f>F9</f>
        <v/>
      </c>
    </row>
    <row r="10">
      <c r="A10" s="29">
        <f>CONCATENATE("NAME_TYPE_", UPPER(B10))</f>
        <v/>
      </c>
      <c r="B10" s="29" t="inlineStr">
        <is>
          <t>Steel</t>
        </is>
      </c>
      <c r="C10" s="29" t="inlineStr">
        <is>
          <t>はがね</t>
        </is>
      </c>
      <c r="D10" s="29" t="inlineStr">
        <is>
          <t>Acier</t>
        </is>
      </c>
      <c r="E10" s="29" t="inlineStr">
        <is>
          <t>Stahl</t>
        </is>
      </c>
      <c r="F10" s="29" t="inlineStr">
        <is>
          <t>Acero</t>
        </is>
      </c>
      <c r="G10" s="29" t="inlineStr">
        <is>
          <t>Acciaio</t>
        </is>
      </c>
      <c r="H10" s="29" t="inlineStr">
        <is>
          <t>강철</t>
        </is>
      </c>
      <c r="I10" s="15">
        <f>IFERROR(__xludf.DUMMYFUNCTION("GOOGLETRANSLATE(J10,""zh_HANS"",""zh_HANT"")"),"鋼")</f>
        <v/>
      </c>
      <c r="J10" s="29" t="inlineStr">
        <is>
          <t>钢</t>
        </is>
      </c>
      <c r="K10" s="29">
        <f>F10</f>
        <v/>
      </c>
    </row>
    <row r="11">
      <c r="A11" s="29">
        <f>CONCATENATE("NAME_TYPE_", UPPER(B11))</f>
        <v/>
      </c>
      <c r="B11" s="29" t="inlineStr">
        <is>
          <t>Fire</t>
        </is>
      </c>
      <c r="C11" s="29" t="inlineStr">
        <is>
          <t>ほのお</t>
        </is>
      </c>
      <c r="D11" s="29" t="inlineStr">
        <is>
          <t>Feu</t>
        </is>
      </c>
      <c r="E11" s="29" t="inlineStr">
        <is>
          <t>Feuer</t>
        </is>
      </c>
      <c r="F11" s="29" t="inlineStr">
        <is>
          <t>Fuego</t>
        </is>
      </c>
      <c r="G11" s="29" t="inlineStr">
        <is>
          <t>Fuoco</t>
        </is>
      </c>
      <c r="H11" s="29" t="inlineStr">
        <is>
          <t>불꽃</t>
        </is>
      </c>
      <c r="I11" s="29" t="inlineStr">
        <is>
          <t>火</t>
        </is>
      </c>
      <c r="J11" s="29">
        <f>I11</f>
        <v/>
      </c>
      <c r="K11" s="29">
        <f>F11</f>
        <v/>
      </c>
    </row>
    <row r="12">
      <c r="A12" s="29">
        <f>CONCATENATE("NAME_TYPE_", UPPER(B12))</f>
        <v/>
      </c>
      <c r="B12" s="29" t="inlineStr">
        <is>
          <t>Water</t>
        </is>
      </c>
      <c r="C12" s="29" t="inlineStr">
        <is>
          <t>みず</t>
        </is>
      </c>
      <c r="D12" s="29" t="inlineStr">
        <is>
          <t>Eau</t>
        </is>
      </c>
      <c r="E12" s="29" t="inlineStr">
        <is>
          <t>Wasser</t>
        </is>
      </c>
      <c r="F12" s="29" t="inlineStr">
        <is>
          <t>Agua</t>
        </is>
      </c>
      <c r="G12" s="29" t="inlineStr">
        <is>
          <t>Acqua</t>
        </is>
      </c>
      <c r="H12" s="29" t="inlineStr">
        <is>
          <t>물</t>
        </is>
      </c>
      <c r="I12" s="29" t="inlineStr">
        <is>
          <t>水</t>
        </is>
      </c>
      <c r="J12" s="29">
        <f>I12</f>
        <v/>
      </c>
      <c r="K12" s="29">
        <f>F12</f>
        <v/>
      </c>
    </row>
    <row r="13">
      <c r="A13" s="29">
        <f>CONCATENATE("NAME_TYPE_", UPPER(B13))</f>
        <v/>
      </c>
      <c r="B13" s="29" t="inlineStr">
        <is>
          <t>Grass</t>
        </is>
      </c>
      <c r="C13" s="29" t="inlineStr">
        <is>
          <t>くさ</t>
        </is>
      </c>
      <c r="D13" s="29" t="inlineStr">
        <is>
          <t>Plante</t>
        </is>
      </c>
      <c r="E13" s="29" t="inlineStr">
        <is>
          <t>Pflanze</t>
        </is>
      </c>
      <c r="F13" s="29" t="inlineStr">
        <is>
          <t>Planta</t>
        </is>
      </c>
      <c r="G13" s="29" t="inlineStr">
        <is>
          <t>Erba</t>
        </is>
      </c>
      <c r="H13" s="29" t="inlineStr">
        <is>
          <t>풀</t>
        </is>
      </c>
      <c r="I13" s="29" t="inlineStr">
        <is>
          <t>草</t>
        </is>
      </c>
      <c r="J13" s="29">
        <f>I13</f>
        <v/>
      </c>
      <c r="K13" s="29">
        <f>F13</f>
        <v/>
      </c>
    </row>
    <row r="14">
      <c r="A14" s="29">
        <f>CONCATENATE("NAME_TYPE_", UPPER(B14))</f>
        <v/>
      </c>
      <c r="B14" s="29" t="inlineStr">
        <is>
          <t>Electric</t>
        </is>
      </c>
      <c r="C14" s="29" t="inlineStr">
        <is>
          <t>でんき</t>
        </is>
      </c>
      <c r="D14" s="29" t="inlineStr">
        <is>
          <t>Électrik</t>
        </is>
      </c>
      <c r="E14" s="29" t="inlineStr">
        <is>
          <t>Elektro</t>
        </is>
      </c>
      <c r="F14" s="29" t="inlineStr">
        <is>
          <t>Eléctrico</t>
        </is>
      </c>
      <c r="G14" s="29" t="inlineStr">
        <is>
          <t>Elettro</t>
        </is>
      </c>
      <c r="H14" s="29" t="inlineStr">
        <is>
          <t>전기</t>
        </is>
      </c>
      <c r="I14" s="29">
        <f>IFERROR(__xludf.DUMMYFUNCTION("GOOGLETRANSLATE(J14,""zh_HANS"",""zh_HANT"")"),"電")</f>
        <v/>
      </c>
      <c r="J14" s="29" t="inlineStr">
        <is>
          <t>电</t>
        </is>
      </c>
      <c r="K14" s="29">
        <f>F14</f>
        <v/>
      </c>
    </row>
    <row r="15">
      <c r="A15" s="29">
        <f>CONCATENATE("NAME_TYPE_", UPPER(B15))</f>
        <v/>
      </c>
      <c r="B15" s="29" t="inlineStr">
        <is>
          <t>Psychic</t>
        </is>
      </c>
      <c r="C15" s="29" t="inlineStr">
        <is>
          <t>エスパー</t>
        </is>
      </c>
      <c r="D15" s="29" t="inlineStr">
        <is>
          <t>Psy</t>
        </is>
      </c>
      <c r="E15" s="29" t="inlineStr">
        <is>
          <t>Psyscho</t>
        </is>
      </c>
      <c r="F15" s="29" t="inlineStr">
        <is>
          <t>Psíquico</t>
        </is>
      </c>
      <c r="G15" s="29" t="inlineStr">
        <is>
          <t>Psico</t>
        </is>
      </c>
      <c r="H15" s="29" t="inlineStr">
        <is>
          <t>에스퍼</t>
        </is>
      </c>
      <c r="I15" s="29">
        <f>J15</f>
        <v/>
      </c>
      <c r="J15" s="29" t="inlineStr">
        <is>
          <t>超能力</t>
        </is>
      </c>
      <c r="K15" s="29">
        <f>F15</f>
        <v/>
      </c>
    </row>
    <row r="16">
      <c r="A16" s="29">
        <f>CONCATENATE("NAME_TYPE_", UPPER(B16))</f>
        <v/>
      </c>
      <c r="B16" s="29" t="inlineStr">
        <is>
          <t>Ice</t>
        </is>
      </c>
      <c r="C16" s="29" t="inlineStr">
        <is>
          <t>こおり</t>
        </is>
      </c>
      <c r="D16" s="29" t="inlineStr">
        <is>
          <t>Glace</t>
        </is>
      </c>
      <c r="E16" s="29" t="inlineStr">
        <is>
          <t>Eis</t>
        </is>
      </c>
      <c r="F16" s="29" t="inlineStr">
        <is>
          <t>Hielo</t>
        </is>
      </c>
      <c r="G16" s="29" t="inlineStr">
        <is>
          <t>Ghiaccio</t>
        </is>
      </c>
      <c r="H16" s="29" t="inlineStr">
        <is>
          <t>얼음</t>
        </is>
      </c>
      <c r="I16" s="29">
        <f>J16</f>
        <v/>
      </c>
      <c r="J16" s="29" t="inlineStr">
        <is>
          <t>冰</t>
        </is>
      </c>
      <c r="K16" s="29">
        <f>F16</f>
        <v/>
      </c>
    </row>
    <row r="17">
      <c r="A17" s="29">
        <f>CONCATENATE("NAME_TYPE_", UPPER(B17))</f>
        <v/>
      </c>
      <c r="B17" s="29" t="inlineStr">
        <is>
          <t>Dragon</t>
        </is>
      </c>
      <c r="C17" s="29" t="inlineStr">
        <is>
          <t>ドラゴン</t>
        </is>
      </c>
      <c r="D17" s="29">
        <f>B17</f>
        <v/>
      </c>
      <c r="E17" s="29" t="inlineStr">
        <is>
          <t>Drache</t>
        </is>
      </c>
      <c r="F17" s="29" t="inlineStr">
        <is>
          <t>Dragón</t>
        </is>
      </c>
      <c r="G17" s="29" t="inlineStr">
        <is>
          <t>Drago</t>
        </is>
      </c>
      <c r="H17" s="29" t="inlineStr">
        <is>
          <t>드개곤</t>
        </is>
      </c>
      <c r="I17" s="29">
        <f>IFERROR(__xludf.DUMMYFUNCTION("GOOGLETRANSLATE(J17,""zh_HANS"",""zh_HANT"")"),"龍")</f>
        <v/>
      </c>
      <c r="J17" s="29" t="inlineStr">
        <is>
          <t>龙</t>
        </is>
      </c>
      <c r="K17" s="29">
        <f>F17</f>
        <v/>
      </c>
    </row>
    <row r="18">
      <c r="A18" s="29">
        <f>CONCATENATE("NAME_TYPE_", UPPER(B18))</f>
        <v/>
      </c>
      <c r="B18" s="29" t="inlineStr">
        <is>
          <t>Dark</t>
        </is>
      </c>
      <c r="C18" s="29" t="inlineStr">
        <is>
          <t>あく</t>
        </is>
      </c>
      <c r="D18" s="29" t="inlineStr">
        <is>
          <t>Ténèbres</t>
        </is>
      </c>
      <c r="E18" s="29" t="inlineStr">
        <is>
          <t>Unlicht</t>
        </is>
      </c>
      <c r="F18" s="29" t="inlineStr">
        <is>
          <t>Siniestro</t>
        </is>
      </c>
      <c r="G18" s="29" t="inlineStr">
        <is>
          <t>Buio</t>
        </is>
      </c>
      <c r="H18" s="29" t="inlineStr">
        <is>
          <t>악</t>
        </is>
      </c>
      <c r="I18" s="29">
        <f>IFERROR(__xludf.DUMMYFUNCTION("GOOGLETRANSLATE(J18,""zh_HANS"",""zh_HANT"")"),"惡")</f>
        <v/>
      </c>
      <c r="J18" s="29" t="inlineStr">
        <is>
          <t>恶</t>
        </is>
      </c>
      <c r="K18" s="29">
        <f>F18</f>
        <v/>
      </c>
    </row>
    <row r="19">
      <c r="A19" s="29">
        <f>CONCATENATE("NAME_TYPE_", UPPER(B19))</f>
        <v/>
      </c>
      <c r="B19" s="29" t="inlineStr">
        <is>
          <t>Fairy</t>
        </is>
      </c>
      <c r="C19" s="29" t="inlineStr">
        <is>
          <t>フェアリ</t>
        </is>
      </c>
      <c r="D19" s="29" t="inlineStr">
        <is>
          <t>Fée</t>
        </is>
      </c>
      <c r="E19" s="29" t="inlineStr">
        <is>
          <t>Fee</t>
        </is>
      </c>
      <c r="F19" s="29" t="inlineStr">
        <is>
          <t>Hada</t>
        </is>
      </c>
      <c r="G19" s="29" t="inlineStr">
        <is>
          <t>Folletto</t>
        </is>
      </c>
      <c r="H19" s="29" t="inlineStr">
        <is>
          <t>페어리</t>
        </is>
      </c>
      <c r="I19" s="29">
        <f>J19</f>
        <v/>
      </c>
      <c r="J19" s="29" t="inlineStr">
        <is>
          <t>妖精</t>
        </is>
      </c>
      <c r="K19" s="29">
        <f>F19</f>
        <v/>
      </c>
    </row>
    <row r="20">
      <c r="A20" s="29">
        <f>CONCATENATE("NAME_TYPE_", UPPER(B20))</f>
        <v/>
      </c>
      <c r="B20" s="29" t="inlineStr">
        <is>
          <t>Stellar</t>
        </is>
      </c>
      <c r="C20" s="29" t="inlineStr">
        <is>
          <t>ステラ</t>
        </is>
      </c>
      <c r="D20" s="29" t="inlineStr">
        <is>
          <t>Stellaire</t>
        </is>
      </c>
      <c r="E20" s="29">
        <f>B20</f>
        <v/>
      </c>
      <c r="F20" s="29" t="inlineStr">
        <is>
          <t>Astral</t>
        </is>
      </c>
      <c r="G20" s="29">
        <f>CONCATENATE(F20,"e")</f>
        <v/>
      </c>
      <c r="H20" s="29" t="inlineStr">
        <is>
          <t>스텔라</t>
        </is>
      </c>
      <c r="I20" s="29" t="inlineStr">
        <is>
          <t>星晶</t>
        </is>
      </c>
      <c r="J20" s="29">
        <f>I20</f>
        <v/>
      </c>
      <c r="K20" s="29">
        <f>F20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0" summaryRight="0"/>
    <pageSetUpPr/>
  </sheetPr>
  <dimension ref="A1:Z936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C2" sqref="C2"/>
    </sheetView>
  </sheetViews>
  <sheetFormatPr baseColWidth="8" defaultColWidth="12.63" defaultRowHeight="15.75" customHeight="1"/>
  <cols>
    <col width="42.13" customWidth="1" style="31" min="1" max="1"/>
    <col width="23.88" customWidth="1" style="31" min="2" max="2"/>
    <col width="24.63" customWidth="1" style="31" min="3" max="3"/>
    <col width="23.25" customWidth="1" style="31" min="4" max="4"/>
    <col width="22.5" customWidth="1" style="31" min="5" max="5"/>
    <col width="22.63" customWidth="1" style="31" min="6" max="6"/>
    <col width="22.5" customWidth="1" style="31" min="7" max="7"/>
    <col width="19.88" customWidth="1" style="31" min="8" max="8"/>
    <col width="14.25" customWidth="1" style="31" min="9" max="9"/>
    <col width="14.38" customWidth="1" style="31" min="10" max="10"/>
  </cols>
  <sheetData>
    <row r="1">
      <c r="A1" s="2">
        <f>Pokemon!A1</f>
        <v/>
      </c>
      <c r="B1" s="2">
        <f>Pokemon!B1</f>
        <v/>
      </c>
      <c r="C1" s="2">
        <f>Pokemon!C1</f>
        <v/>
      </c>
      <c r="D1" s="2">
        <f>Pokemon!D1</f>
        <v/>
      </c>
      <c r="E1" s="2">
        <f>Pokemon!E1</f>
        <v/>
      </c>
      <c r="F1" s="2">
        <f>Pokemon!F1</f>
        <v/>
      </c>
      <c r="G1" s="2">
        <f>Pokemon!G1</f>
        <v/>
      </c>
      <c r="H1" s="2">
        <f>Pokemon!H1</f>
        <v/>
      </c>
      <c r="I1" s="2">
        <f>Pokemon!I1</f>
        <v/>
      </c>
      <c r="J1" s="2">
        <f>Pokemon!J1</f>
        <v/>
      </c>
      <c r="K1" s="2">
        <f>Pokemon!K1</f>
        <v/>
      </c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</row>
    <row r="2">
      <c r="A2" s="29">
        <f>CONCATENATE("NAME_MOVE_", SUBSTITUTE(UPPER(B2), " ", ""))</f>
        <v/>
      </c>
      <c r="B2" s="29" t="inlineStr">
        <is>
          <t>Pound</t>
        </is>
      </c>
      <c r="C2" s="29" t="inlineStr">
        <is>
          <t>はたく</t>
        </is>
      </c>
      <c r="D2" s="29" t="inlineStr">
        <is>
          <t>Écras'Face</t>
        </is>
      </c>
      <c r="E2" s="29" t="inlineStr">
        <is>
          <t>Klaps</t>
        </is>
      </c>
      <c r="F2" s="29" t="inlineStr">
        <is>
          <t>Destructor</t>
        </is>
      </c>
      <c r="G2" s="29" t="inlineStr">
        <is>
          <t>Botta</t>
        </is>
      </c>
      <c r="H2" s="29" t="inlineStr">
        <is>
          <t>막치기</t>
        </is>
      </c>
      <c r="I2" s="29" t="inlineStr">
        <is>
          <t>拍擊</t>
        </is>
      </c>
      <c r="J2" s="29">
        <f>IFERROR(__xludf.DUMMYFUNCTION("GOOGLETRANSLATE(I2,""zh_HANT"",""zh_HANS"")"),"拍击")</f>
        <v/>
      </c>
      <c r="K2" s="29">
        <f>F2</f>
        <v/>
      </c>
    </row>
    <row r="3">
      <c r="A3" s="29">
        <f>CONCATENATE("NAME_MOVE_", SUBSTITUTE(UPPER(B3), " ", ""))</f>
        <v/>
      </c>
      <c r="B3" s="29" t="inlineStr">
        <is>
          <t>Karate Chop</t>
        </is>
      </c>
      <c r="C3" s="29" t="inlineStr">
        <is>
          <t>からてチョップ</t>
        </is>
      </c>
      <c r="D3" s="29" t="inlineStr">
        <is>
          <t>Poing Karaté</t>
        </is>
      </c>
      <c r="E3" s="29" t="inlineStr">
        <is>
          <t>Karateschlag</t>
        </is>
      </c>
      <c r="F3" s="29" t="inlineStr">
        <is>
          <t>Golpe Kárate</t>
        </is>
      </c>
      <c r="G3" s="29" t="inlineStr">
        <is>
          <t>Colpo Karate</t>
        </is>
      </c>
      <c r="H3" s="29" t="inlineStr">
        <is>
          <t>태권당수</t>
        </is>
      </c>
      <c r="I3" s="29" t="inlineStr">
        <is>
          <t>空手劈</t>
        </is>
      </c>
      <c r="J3" s="29">
        <f>I3</f>
        <v/>
      </c>
      <c r="K3" s="29">
        <f>F3</f>
        <v/>
      </c>
    </row>
    <row r="4">
      <c r="A4" s="29">
        <f>CONCATENATE("NAME_MOVE_", SUBSTITUTE(UPPER(B4), " ", ""))</f>
        <v/>
      </c>
      <c r="B4" s="29" t="inlineStr">
        <is>
          <t>Double Slap</t>
        </is>
      </c>
      <c r="C4" s="29" t="inlineStr">
        <is>
          <t>おうふくビンタ</t>
        </is>
      </c>
      <c r="D4" s="29" t="inlineStr">
        <is>
          <t>Torgnoles</t>
        </is>
      </c>
      <c r="E4" s="29" t="inlineStr">
        <is>
          <t>Duplexhieb</t>
        </is>
      </c>
      <c r="F4" s="29" t="inlineStr">
        <is>
          <t>Doble Bofetón</t>
        </is>
      </c>
      <c r="G4" s="29" t="inlineStr">
        <is>
          <t>Doppiasberla</t>
        </is>
      </c>
      <c r="H4" s="29" t="inlineStr">
        <is>
          <t>연속뺨치기</t>
        </is>
      </c>
      <c r="I4" s="29" t="inlineStr">
        <is>
          <t>連環巴掌</t>
        </is>
      </c>
      <c r="J4" s="29">
        <f>IFERROR(__xludf.DUMMYFUNCTION("GOOGLETRANSLATE(I4,""zh_HANT"",""zh_HANS"")"),"连环巴掌")</f>
        <v/>
      </c>
      <c r="K4" s="29">
        <f>F4</f>
        <v/>
      </c>
    </row>
    <row r="5">
      <c r="A5" s="29">
        <f>CONCATENATE("NAME_MOVE_", SUBSTITUTE(UPPER(B5), " ", ""))</f>
        <v/>
      </c>
      <c r="B5" s="29" t="inlineStr">
        <is>
          <t>Comet Punch</t>
        </is>
      </c>
      <c r="C5" s="29" t="inlineStr">
        <is>
          <t>れんぞくパンチ</t>
        </is>
      </c>
      <c r="D5" s="29" t="inlineStr">
        <is>
          <t>Poing Comète</t>
        </is>
      </c>
      <c r="E5" s="29" t="inlineStr">
        <is>
          <t>Kometenhieb</t>
        </is>
      </c>
      <c r="F5" s="29" t="inlineStr">
        <is>
          <t>Puño Cometa</t>
        </is>
      </c>
      <c r="G5" s="29" t="inlineStr">
        <is>
          <t>Cometapugno</t>
        </is>
      </c>
      <c r="H5" s="29" t="inlineStr">
        <is>
          <t>연속펀치</t>
        </is>
      </c>
      <c r="I5" s="29" t="inlineStr">
        <is>
          <t>連續拳</t>
        </is>
      </c>
      <c r="J5" s="29">
        <f>IFERROR(__xludf.DUMMYFUNCTION("GOOGLETRANSLATE(I5,""zh_HANT"",""zh_HANS"")"),"连续拳")</f>
        <v/>
      </c>
      <c r="K5" s="29">
        <f>F5</f>
        <v/>
      </c>
    </row>
    <row r="6">
      <c r="A6" s="29">
        <f>CONCATENATE("NAME_MOVE_", SUBSTITUTE(UPPER(B6), " ", ""))</f>
        <v/>
      </c>
      <c r="B6" s="29" t="inlineStr">
        <is>
          <t>Mega Punch</t>
        </is>
      </c>
      <c r="C6" s="29" t="inlineStr">
        <is>
          <t>メガトンパンチ</t>
        </is>
      </c>
      <c r="D6" s="29" t="inlineStr">
        <is>
          <t>Ultimapoing</t>
        </is>
      </c>
      <c r="E6" s="29" t="inlineStr">
        <is>
          <t>Megahieb</t>
        </is>
      </c>
      <c r="F6" s="29" t="inlineStr">
        <is>
          <t>Megapuño</t>
        </is>
      </c>
      <c r="G6" s="29" t="inlineStr">
        <is>
          <t>Megapugno</t>
        </is>
      </c>
      <c r="H6" s="29" t="inlineStr">
        <is>
          <t>메가톤펀치</t>
        </is>
      </c>
      <c r="I6" s="29" t="inlineStr">
        <is>
          <t>百萬噸重拳</t>
        </is>
      </c>
      <c r="J6" s="29">
        <f>IFERROR(__xludf.DUMMYFUNCTION("GOOGLETRANSLATE(I6,""zh_HANT"",""zh_HANS"")"),"百万吨重拳")</f>
        <v/>
      </c>
      <c r="K6" s="29">
        <f>F6</f>
        <v/>
      </c>
    </row>
    <row r="7">
      <c r="A7" s="29">
        <f>CONCATENATE("NAME_MOVE_", SUBSTITUTE(UPPER(B7), " ", ""))</f>
        <v/>
      </c>
      <c r="B7" s="29" t="inlineStr">
        <is>
          <t>Pay Day</t>
        </is>
      </c>
      <c r="C7" s="29" t="inlineStr">
        <is>
          <t>ネコにこばん</t>
        </is>
      </c>
      <c r="D7" s="29" t="inlineStr">
        <is>
          <t>Jackpot</t>
        </is>
      </c>
      <c r="E7" s="29" t="inlineStr">
        <is>
          <t>Zahltag</t>
        </is>
      </c>
      <c r="F7" s="29" t="inlineStr">
        <is>
          <t>Día de Pago</t>
        </is>
      </c>
      <c r="G7" s="29" t="inlineStr">
        <is>
          <t>Giornopaga</t>
        </is>
      </c>
      <c r="H7" s="29" t="inlineStr">
        <is>
          <t>고양이돈받기</t>
        </is>
      </c>
      <c r="I7" s="29" t="inlineStr">
        <is>
          <t>聚寶功</t>
        </is>
      </c>
      <c r="J7" s="29">
        <f>IFERROR(__xludf.DUMMYFUNCTION("GOOGLETRANSLATE(I7,""zh_HANT"",""zh_HANS"")"),"聚宝功")</f>
        <v/>
      </c>
      <c r="K7" s="29">
        <f>F7</f>
        <v/>
      </c>
    </row>
    <row r="8">
      <c r="A8" s="29">
        <f>CONCATENATE("NAME_MOVE_", SUBSTITUTE(UPPER(B8), " ", ""))</f>
        <v/>
      </c>
      <c r="B8" s="29" t="inlineStr">
        <is>
          <t>Fire Punch</t>
        </is>
      </c>
      <c r="C8" s="29" t="inlineStr">
        <is>
          <t>ほのおのパンチ</t>
        </is>
      </c>
      <c r="D8" s="29" t="inlineStr">
        <is>
          <t>Poing Feu</t>
        </is>
      </c>
      <c r="E8" s="29" t="inlineStr">
        <is>
          <t>Feuerschlag</t>
        </is>
      </c>
      <c r="F8" s="29" t="inlineStr">
        <is>
          <t>Puño Fuego</t>
        </is>
      </c>
      <c r="G8" s="29" t="inlineStr">
        <is>
          <t>Fuocopugno</t>
        </is>
      </c>
      <c r="H8" s="29" t="inlineStr">
        <is>
          <t>불꽃펀치</t>
        </is>
      </c>
      <c r="I8" s="29" t="inlineStr">
        <is>
          <t>火焰拳</t>
        </is>
      </c>
      <c r="J8" s="29">
        <f>I8</f>
        <v/>
      </c>
      <c r="K8" s="29">
        <f>F8</f>
        <v/>
      </c>
    </row>
    <row r="9">
      <c r="A9" s="29">
        <f>CONCATENATE("NAME_MOVE_", SUBSTITUTE(UPPER(B9), " ", ""))</f>
        <v/>
      </c>
      <c r="B9" s="29" t="inlineStr">
        <is>
          <t>Ice Punch</t>
        </is>
      </c>
      <c r="C9" s="29" t="inlineStr">
        <is>
          <t>らいとうパンチ</t>
        </is>
      </c>
      <c r="D9" s="29" t="inlineStr">
        <is>
          <t>Poing Glace</t>
        </is>
      </c>
      <c r="E9" s="29" t="inlineStr">
        <is>
          <t>Eishieb</t>
        </is>
      </c>
      <c r="F9" s="29" t="inlineStr">
        <is>
          <t>Puño Hielo</t>
        </is>
      </c>
      <c r="G9" s="29" t="inlineStr">
        <is>
          <t>Gelopugno</t>
        </is>
      </c>
      <c r="H9" s="29" t="inlineStr">
        <is>
          <t>냉동펀치</t>
        </is>
      </c>
      <c r="I9" s="29" t="inlineStr">
        <is>
          <t>冰凍拳</t>
        </is>
      </c>
      <c r="J9" s="29">
        <f>IFERROR(__xludf.DUMMYFUNCTION("GOOGLETRANSLATE(I9,""zh_HANT"",""zh_HANS"")"),"冰冻拳")</f>
        <v/>
      </c>
      <c r="K9" s="29">
        <f>F9</f>
        <v/>
      </c>
    </row>
    <row r="10">
      <c r="A10" s="29">
        <f>CONCATENATE("NAME_MOVE_", SUBSTITUTE(UPPER(B10), " ", ""))</f>
        <v/>
      </c>
      <c r="B10" s="29" t="inlineStr">
        <is>
          <t>Thunder Punch</t>
        </is>
      </c>
      <c r="C10" s="29" t="inlineStr">
        <is>
          <t>かみなりパンチ</t>
        </is>
      </c>
      <c r="D10" s="29" t="inlineStr">
        <is>
          <t>Poing Éclair</t>
        </is>
      </c>
      <c r="E10" s="29" t="inlineStr">
        <is>
          <t>Donnerschlag</t>
        </is>
      </c>
      <c r="F10" s="29" t="inlineStr">
        <is>
          <t>Puño Trueno</t>
        </is>
      </c>
      <c r="G10" s="29" t="inlineStr">
        <is>
          <t>Tuonopugno</t>
        </is>
      </c>
      <c r="H10" s="29" t="inlineStr">
        <is>
          <t>번개펀치</t>
        </is>
      </c>
      <c r="I10" s="29" t="inlineStr">
        <is>
          <t>雷電拳</t>
        </is>
      </c>
      <c r="J10" s="29">
        <f>IFERROR(__xludf.DUMMYFUNCTION("GOOGLETRANSLATE(I10,""zh_HANT"",""zh_HANS"")"),"雷电拳")</f>
        <v/>
      </c>
      <c r="K10" s="29">
        <f>F10</f>
        <v/>
      </c>
    </row>
    <row r="11">
      <c r="A11" s="29">
        <f>CONCATENATE("NAME_MOVE_", SUBSTITUTE(UPPER(B11), " ", ""))</f>
        <v/>
      </c>
      <c r="B11" s="29" t="inlineStr">
        <is>
          <t>Scratch</t>
        </is>
      </c>
      <c r="C11" s="29" t="inlineStr">
        <is>
          <t>ひっかく</t>
        </is>
      </c>
      <c r="D11" s="29" t="inlineStr">
        <is>
          <t>Griffe</t>
        </is>
      </c>
      <c r="E11" s="29" t="inlineStr">
        <is>
          <t>Kratzer</t>
        </is>
      </c>
      <c r="F11" s="29" t="inlineStr">
        <is>
          <t>Arañazo</t>
        </is>
      </c>
      <c r="G11" s="29" t="inlineStr">
        <is>
          <t>Graffio</t>
        </is>
      </c>
      <c r="H11" s="29" t="inlineStr">
        <is>
          <t>할퀴기</t>
        </is>
      </c>
      <c r="I11" s="29" t="inlineStr">
        <is>
          <t>抓</t>
        </is>
      </c>
      <c r="J11" s="29">
        <f>I11</f>
        <v/>
      </c>
      <c r="K11" s="29">
        <f>F11</f>
        <v/>
      </c>
    </row>
    <row r="12">
      <c r="A12" s="29">
        <f>CONCATENATE("NAME_MOVE_", SUBSTITUTE(UPPER(B12), " ", ""))</f>
        <v/>
      </c>
      <c r="B12" s="29" t="inlineStr">
        <is>
          <t>Vise Grip</t>
        </is>
      </c>
      <c r="C12" s="29" t="inlineStr">
        <is>
          <t>はさむ</t>
        </is>
      </c>
      <c r="D12" s="29" t="inlineStr">
        <is>
          <t>Force Poigne</t>
        </is>
      </c>
      <c r="E12" s="29" t="inlineStr">
        <is>
          <t>Klammer</t>
        </is>
      </c>
      <c r="F12" s="29" t="inlineStr">
        <is>
          <t>Agarre</t>
        </is>
      </c>
      <c r="G12" s="29" t="inlineStr">
        <is>
          <t>Presa</t>
        </is>
      </c>
      <c r="H12" s="29" t="inlineStr">
        <is>
          <t>찝기</t>
        </is>
      </c>
      <c r="I12" s="29" t="inlineStr">
        <is>
          <t>夾住</t>
        </is>
      </c>
      <c r="J12" s="29">
        <f>IFERROR(__xludf.DUMMYFUNCTION("GOOGLETRANSLATE(I12,""zh_HANT"",""zh_HANS"")"),"夹住")</f>
        <v/>
      </c>
      <c r="K12" s="29">
        <f>F12</f>
        <v/>
      </c>
    </row>
    <row r="13">
      <c r="A13" s="29">
        <f>CONCATENATE("NAME_MOVE_", SUBSTITUTE(UPPER(B13), " ", ""))</f>
        <v/>
      </c>
      <c r="B13" s="29" t="inlineStr">
        <is>
          <t>Guillotine</t>
        </is>
      </c>
      <c r="C13" s="29" t="inlineStr">
        <is>
          <t>はさみギロチン</t>
        </is>
      </c>
      <c r="D13" s="29">
        <f>B13</f>
        <v/>
      </c>
      <c r="E13" s="29">
        <f>B13</f>
        <v/>
      </c>
      <c r="F13" s="29" t="inlineStr">
        <is>
          <t>Guillotina</t>
        </is>
      </c>
      <c r="G13" s="29" t="inlineStr">
        <is>
          <t>Ghigliottina</t>
        </is>
      </c>
      <c r="H13" s="29" t="inlineStr">
        <is>
          <t>가위자르기</t>
        </is>
      </c>
      <c r="I13" s="29" t="inlineStr">
        <is>
          <t>斷頭鉗</t>
        </is>
      </c>
      <c r="J13" s="29" t="inlineStr">
        <is>
          <t>极落钳</t>
        </is>
      </c>
      <c r="K13" s="29">
        <f>F13</f>
        <v/>
      </c>
    </row>
    <row r="14">
      <c r="A14" s="29">
        <f>CONCATENATE("NAME_MOVE_", SUBSTITUTE(UPPER(B14), " ", ""))</f>
        <v/>
      </c>
      <c r="B14" s="29" t="inlineStr">
        <is>
          <t>Razor Wind</t>
        </is>
      </c>
      <c r="C14" s="29" t="inlineStr">
        <is>
          <t>かまいたち</t>
        </is>
      </c>
      <c r="D14" s="29" t="inlineStr">
        <is>
          <t>Coupe-Vent</t>
        </is>
      </c>
      <c r="E14" s="29" t="inlineStr">
        <is>
          <t>Klingensturm</t>
        </is>
      </c>
      <c r="F14" s="29" t="inlineStr">
        <is>
          <t>Viento Cortante</t>
        </is>
      </c>
      <c r="G14" s="29" t="inlineStr">
        <is>
          <t>Ventagliente</t>
        </is>
      </c>
      <c r="H14" s="29" t="inlineStr">
        <is>
          <t>칼바람</t>
        </is>
      </c>
      <c r="I14" s="29" t="inlineStr">
        <is>
          <t>旋風刀</t>
        </is>
      </c>
      <c r="J14" s="29">
        <f>IFERROR(__xludf.DUMMYFUNCTION("GOOGLETRANSLATE(I14,""zh_HANT"",""zh_HANS"")"),"旋风刀")</f>
        <v/>
      </c>
      <c r="K14" s="29">
        <f>F14</f>
        <v/>
      </c>
    </row>
    <row r="15">
      <c r="A15" s="29">
        <f>CONCATENATE("NAME_MOVE_", SUBSTITUTE(UPPER(B15), " ", ""))</f>
        <v/>
      </c>
      <c r="B15" s="29" t="inlineStr">
        <is>
          <t>Swords Dance</t>
        </is>
      </c>
      <c r="C15" s="29" t="inlineStr">
        <is>
          <t>つるぎのまい</t>
        </is>
      </c>
      <c r="D15" s="29" t="inlineStr">
        <is>
          <t>Danse-Lames</t>
        </is>
      </c>
      <c r="E15" s="29" t="inlineStr">
        <is>
          <t>Schwerttanz</t>
        </is>
      </c>
      <c r="F15" s="29" t="inlineStr">
        <is>
          <t>Danza Espada</t>
        </is>
      </c>
      <c r="G15" s="29">
        <f>SUBSTITUTE(F15," E","")</f>
        <v/>
      </c>
      <c r="H15" s="29" t="inlineStr">
        <is>
          <t>칼춤</t>
        </is>
      </c>
      <c r="I15" s="29" t="inlineStr">
        <is>
          <t>劍舞</t>
        </is>
      </c>
      <c r="J15" s="29">
        <f>IFERROR(__xludf.DUMMYFUNCTION("GOOGLETRANSLATE(I15,""zh_HANT"",""zh_HANS"")"),"剑舞")</f>
        <v/>
      </c>
      <c r="K15" s="29">
        <f>F15</f>
        <v/>
      </c>
    </row>
    <row r="16">
      <c r="A16" s="29">
        <f>CONCATENATE("NAME_MOVE_", SUBSTITUTE(UPPER(B16), " ", ""))</f>
        <v/>
      </c>
      <c r="B16" s="29" t="inlineStr">
        <is>
          <t>Cut</t>
        </is>
      </c>
      <c r="C16" s="29" t="inlineStr">
        <is>
          <t>いあいぎり</t>
        </is>
      </c>
      <c r="D16" s="29" t="inlineStr">
        <is>
          <t>Coupe</t>
        </is>
      </c>
      <c r="E16" s="29" t="inlineStr">
        <is>
          <t>Zerschneider</t>
        </is>
      </c>
      <c r="F16" s="29" t="inlineStr">
        <is>
          <t>Corte</t>
        </is>
      </c>
      <c r="G16" s="29" t="inlineStr">
        <is>
          <t>Taglio</t>
        </is>
      </c>
      <c r="H16" s="29" t="inlineStr">
        <is>
          <t>풀베기</t>
        </is>
      </c>
      <c r="I16" s="29" t="inlineStr">
        <is>
          <t>居合斬</t>
        </is>
      </c>
      <c r="J16" s="29" t="inlineStr">
        <is>
          <t>居合劈</t>
        </is>
      </c>
      <c r="K16" s="29">
        <f>F16</f>
        <v/>
      </c>
    </row>
    <row r="17">
      <c r="A17" s="29">
        <f>CONCATENATE("NAME_MOVE_", SUBSTITUTE(UPPER(B17), " ", ""))</f>
        <v/>
      </c>
      <c r="B17" s="29" t="inlineStr">
        <is>
          <t>Gust</t>
        </is>
      </c>
      <c r="C17" s="29" t="inlineStr">
        <is>
          <t>かざおこし</t>
        </is>
      </c>
      <c r="D17" s="29" t="inlineStr">
        <is>
          <t>Tornade</t>
        </is>
      </c>
      <c r="E17" s="29" t="inlineStr">
        <is>
          <t>Windstoß</t>
        </is>
      </c>
      <c r="F17" s="29" t="inlineStr">
        <is>
          <t>Tornado</t>
        </is>
      </c>
      <c r="G17" s="29" t="inlineStr">
        <is>
          <t>Raffica</t>
        </is>
      </c>
      <c r="H17" s="29" t="inlineStr">
        <is>
          <t>바람일으키기</t>
        </is>
      </c>
      <c r="I17" s="29" t="inlineStr">
        <is>
          <t>起風</t>
        </is>
      </c>
      <c r="J17" s="29">
        <f>IFERROR(__xludf.DUMMYFUNCTION("GOOGLETRANSLATE(I17,""zh_HANT"",""zh_HANS"")"),"起风")</f>
        <v/>
      </c>
      <c r="K17" s="29">
        <f>F17</f>
        <v/>
      </c>
    </row>
    <row r="18">
      <c r="A18" s="29">
        <f>CONCATENATE("NAME_MOVE_", SUBSTITUTE(UPPER(B18), " ", ""))</f>
        <v/>
      </c>
      <c r="B18" s="29" t="inlineStr">
        <is>
          <t>Wing Attack</t>
        </is>
      </c>
      <c r="C18" s="29" t="inlineStr">
        <is>
          <t>つばさでうつ</t>
        </is>
      </c>
      <c r="D18" s="29" t="inlineStr">
        <is>
          <t>Cru-Ailes</t>
        </is>
      </c>
      <c r="E18" s="29" t="inlineStr">
        <is>
          <t>Flügelschlag</t>
        </is>
      </c>
      <c r="F18" s="29" t="inlineStr">
        <is>
          <t>Ataque Ala</t>
        </is>
      </c>
      <c r="G18" s="29" t="inlineStr">
        <is>
          <t>Attacco d'Ala</t>
        </is>
      </c>
      <c r="H18" s="29" t="inlineStr">
        <is>
          <t>날개치기</t>
        </is>
      </c>
      <c r="I18" s="29" t="inlineStr">
        <is>
          <t>翅膀攻擊</t>
        </is>
      </c>
      <c r="J18" s="29">
        <f>IFERROR(__xludf.DUMMYFUNCTION("GOOGLETRANSLATE(I18,""zh_HANT"",""zh_HANS"")"),"翅膀攻击")</f>
        <v/>
      </c>
      <c r="K18" s="29">
        <f>F18</f>
        <v/>
      </c>
    </row>
    <row r="19">
      <c r="A19" s="29">
        <f>CONCATENATE("NAME_MOVE_", SUBSTITUTE(UPPER(B19), " ", ""))</f>
        <v/>
      </c>
      <c r="B19" s="29" t="inlineStr">
        <is>
          <t>Whirlwind</t>
        </is>
      </c>
      <c r="C19" s="29" t="inlineStr">
        <is>
          <t>ふきとばし</t>
        </is>
      </c>
      <c r="D19" s="29" t="inlineStr">
        <is>
          <t>Cyclone</t>
        </is>
      </c>
      <c r="E19" s="29" t="inlineStr">
        <is>
          <t>Wirbelwind</t>
        </is>
      </c>
      <c r="F19" s="29" t="inlineStr">
        <is>
          <t>Remolino</t>
        </is>
      </c>
      <c r="G19" s="29" t="inlineStr">
        <is>
          <t>Turbine</t>
        </is>
      </c>
      <c r="H19" s="29" t="inlineStr">
        <is>
          <t>날려버리기</t>
        </is>
      </c>
      <c r="I19" s="29" t="inlineStr">
        <is>
          <t>吹飛</t>
        </is>
      </c>
      <c r="J19" s="29">
        <f>IFERROR(__xludf.DUMMYFUNCTION("GOOGLETRANSLATE(I19,""zh_HANT"",""zh_HANS"")"),"吹飞")</f>
        <v/>
      </c>
      <c r="K19" s="29">
        <f>F19</f>
        <v/>
      </c>
    </row>
    <row r="20">
      <c r="A20" s="29">
        <f>CONCATENATE("NAME_MOVE_", SUBSTITUTE(UPPER(B20), " ", ""))</f>
        <v/>
      </c>
      <c r="B20" s="29" t="inlineStr">
        <is>
          <t>Fly</t>
        </is>
      </c>
      <c r="C20" s="29" t="inlineStr">
        <is>
          <t>そらをとぶ</t>
        </is>
      </c>
      <c r="D20" s="29" t="inlineStr">
        <is>
          <t>Vol</t>
        </is>
      </c>
      <c r="E20" s="29" t="inlineStr">
        <is>
          <t>Fliegen</t>
        </is>
      </c>
      <c r="F20" s="29" t="inlineStr">
        <is>
          <t>Vuelo</t>
        </is>
      </c>
      <c r="G20" s="29" t="inlineStr">
        <is>
          <t>Volo</t>
        </is>
      </c>
      <c r="H20" s="29" t="inlineStr">
        <is>
          <t>공중날기</t>
        </is>
      </c>
      <c r="I20" s="29" t="inlineStr">
        <is>
          <t>飛翔</t>
        </is>
      </c>
      <c r="J20" s="29">
        <f>IFERROR(__xludf.DUMMYFUNCTION("GOOGLETRANSLATE(I20,""zh_HANT"",""zh_HANS"")"),"飞翔")</f>
        <v/>
      </c>
      <c r="K20" s="29">
        <f>F20</f>
        <v/>
      </c>
    </row>
    <row r="21">
      <c r="A21" s="29">
        <f>CONCATENATE("NAME_MOVE_", SUBSTITUTE(UPPER(B21), " ", ""))</f>
        <v/>
      </c>
      <c r="B21" s="29" t="inlineStr">
        <is>
          <t>Bind</t>
        </is>
      </c>
      <c r="C21" s="29" t="inlineStr">
        <is>
          <t>しみつける</t>
        </is>
      </c>
      <c r="D21" s="29" t="inlineStr">
        <is>
          <t>Étreinte</t>
        </is>
      </c>
      <c r="E21" s="29" t="inlineStr">
        <is>
          <t>Klammergriff</t>
        </is>
      </c>
      <c r="F21" s="29" t="inlineStr">
        <is>
          <t>Atadura</t>
        </is>
      </c>
      <c r="G21" s="29" t="inlineStr">
        <is>
          <t>Legatutto</t>
        </is>
      </c>
      <c r="H21" s="29" t="inlineStr">
        <is>
          <t>조이기</t>
        </is>
      </c>
      <c r="I21" s="29" t="inlineStr">
        <is>
          <t>綁緊</t>
        </is>
      </c>
      <c r="J21" s="29">
        <f>IFERROR(__xludf.DUMMYFUNCTION("GOOGLETRANSLATE(I21,""zh_HANT"",""zh_HANS"")"),"绑紧")</f>
        <v/>
      </c>
      <c r="K21" s="29">
        <f>F21</f>
        <v/>
      </c>
    </row>
    <row r="22">
      <c r="A22" s="29">
        <f>CONCATENATE("NAME_MOVE_", SUBSTITUTE(UPPER(B22), " ", ""))</f>
        <v/>
      </c>
      <c r="B22" s="29" t="inlineStr">
        <is>
          <t>Slam</t>
        </is>
      </c>
      <c r="C22" s="29" t="inlineStr">
        <is>
          <t>たたけつける</t>
        </is>
      </c>
      <c r="D22" s="29" t="inlineStr">
        <is>
          <t>Souplesse</t>
        </is>
      </c>
      <c r="E22" s="29">
        <f>B22</f>
        <v/>
      </c>
      <c r="F22" s="29" t="inlineStr">
        <is>
          <t>Atizar</t>
        </is>
      </c>
      <c r="G22" s="29" t="inlineStr">
        <is>
          <t>Schianto</t>
        </is>
      </c>
      <c r="H22" s="29" t="inlineStr">
        <is>
          <t>힘껏치기</t>
        </is>
      </c>
      <c r="I22" s="29" t="inlineStr">
        <is>
          <t>摔打</t>
        </is>
      </c>
      <c r="J22" s="29">
        <f>I22</f>
        <v/>
      </c>
      <c r="K22" s="29">
        <f>F22</f>
        <v/>
      </c>
    </row>
    <row r="23">
      <c r="A23" s="29">
        <f>CONCATENATE("NAME_MOVE_", SUBSTITUTE(UPPER(B23), " ", ""))</f>
        <v/>
      </c>
      <c r="B23" s="29" t="inlineStr">
        <is>
          <t>Vine Whip</t>
        </is>
      </c>
      <c r="C23" s="29" t="inlineStr">
        <is>
          <t>つるのむち</t>
        </is>
      </c>
      <c r="D23" s="29" t="inlineStr">
        <is>
          <t>Fouet Lianes</t>
        </is>
      </c>
      <c r="E23" s="29" t="inlineStr">
        <is>
          <t>Rankenhieb</t>
        </is>
      </c>
      <c r="F23" s="29" t="inlineStr">
        <is>
          <t>Látigo Cepa</t>
        </is>
      </c>
      <c r="G23" s="29" t="inlineStr">
        <is>
          <t>Frustata</t>
        </is>
      </c>
      <c r="H23" s="29" t="inlineStr">
        <is>
          <t>덩굴채찍</t>
        </is>
      </c>
      <c r="I23" s="29" t="inlineStr">
        <is>
          <t>藤鞭</t>
        </is>
      </c>
      <c r="J23" s="29">
        <f>I23</f>
        <v/>
      </c>
      <c r="K23" s="29">
        <f>F23</f>
        <v/>
      </c>
    </row>
    <row r="24">
      <c r="A24" s="29">
        <f>CONCATENATE("NAME_MOVE_", SUBSTITUTE(UPPER(B24), " ", ""))</f>
        <v/>
      </c>
      <c r="B24" s="29" t="inlineStr">
        <is>
          <t>Stomp</t>
        </is>
      </c>
      <c r="C24" s="29" t="inlineStr">
        <is>
          <t>ふみつけ</t>
        </is>
      </c>
      <c r="D24" s="29" t="inlineStr">
        <is>
          <t>Écrasement</t>
        </is>
      </c>
      <c r="E24" s="29" t="inlineStr">
        <is>
          <t>Stampfer</t>
        </is>
      </c>
      <c r="F24" s="29" t="inlineStr">
        <is>
          <t>Pisotón</t>
        </is>
      </c>
      <c r="G24" s="29" t="inlineStr">
        <is>
          <t>Pestone</t>
        </is>
      </c>
      <c r="H24" s="29" t="inlineStr">
        <is>
          <t>짓밟기</t>
        </is>
      </c>
      <c r="I24" s="29" t="inlineStr">
        <is>
          <t>藤鞭</t>
        </is>
      </c>
      <c r="J24" s="29">
        <f>I24</f>
        <v/>
      </c>
      <c r="K24" s="29">
        <f>F24</f>
        <v/>
      </c>
    </row>
    <row r="25">
      <c r="A25" s="29">
        <f>CONCATENATE("NAME_MOVE_", SUBSTITUTE(UPPER(B25), " ", ""))</f>
        <v/>
      </c>
      <c r="B25" s="29" t="inlineStr">
        <is>
          <t>Double Kick</t>
        </is>
      </c>
      <c r="C25" s="29" t="inlineStr">
        <is>
          <t>にどげり</t>
        </is>
      </c>
      <c r="D25" s="29" t="inlineStr">
        <is>
          <t>Double Pied</t>
        </is>
      </c>
      <c r="E25" s="29" t="inlineStr">
        <is>
          <t>Doppelkick</t>
        </is>
      </c>
      <c r="F25" s="29" t="inlineStr">
        <is>
          <t>Doble Patada</t>
        </is>
      </c>
      <c r="G25" s="29" t="inlineStr">
        <is>
          <t>Doppiocalcio</t>
        </is>
      </c>
      <c r="H25" s="29" t="inlineStr">
        <is>
          <t>두번치기</t>
        </is>
      </c>
      <c r="I25" s="29" t="inlineStr">
        <is>
          <t>二連踢</t>
        </is>
      </c>
      <c r="J25" s="29">
        <f>IFERROR(__xludf.DUMMYFUNCTION("GOOGLETRANSLATE(I25,""zh_HANT"",""zh_HANS"")"),"二连踢")</f>
        <v/>
      </c>
      <c r="K25" s="29">
        <f>F25</f>
        <v/>
      </c>
    </row>
    <row r="26">
      <c r="A26" s="29">
        <f>CONCATENATE("NAME_MOVE_", SUBSTITUTE(UPPER(B26), " ", ""))</f>
        <v/>
      </c>
      <c r="B26" s="29" t="inlineStr">
        <is>
          <t>Mega Kick</t>
        </is>
      </c>
      <c r="C26" s="29" t="inlineStr">
        <is>
          <t>メガトンキック</t>
        </is>
      </c>
      <c r="D26" s="29" t="inlineStr">
        <is>
          <t>Ultimawashi</t>
        </is>
      </c>
      <c r="E26" s="29" t="inlineStr">
        <is>
          <t>Megakick</t>
        </is>
      </c>
      <c r="F26" s="29" t="inlineStr">
        <is>
          <t>Megapatada</t>
        </is>
      </c>
      <c r="G26" s="29" t="inlineStr">
        <is>
          <t>Megacalcio</t>
        </is>
      </c>
      <c r="H26" s="29" t="inlineStr">
        <is>
          <t>메가톤킥</t>
        </is>
      </c>
      <c r="I26" s="29" t="inlineStr">
        <is>
          <t>百萬噸重踢</t>
        </is>
      </c>
      <c r="J26" s="29">
        <f>IFERROR(__xludf.DUMMYFUNCTION("GOOGLETRANSLATE(I26,""zh_HANT"",""zh_HANS"")"),"百万吨重踢")</f>
        <v/>
      </c>
      <c r="K26" s="29">
        <f>F26</f>
        <v/>
      </c>
    </row>
    <row r="27">
      <c r="A27" s="29">
        <f>CONCATENATE("NAME_MOVE_", SUBSTITUTE(UPPER(B27), " ", ""))</f>
        <v/>
      </c>
      <c r="B27" s="29" t="inlineStr">
        <is>
          <t>Jump Kick</t>
        </is>
      </c>
      <c r="C27" s="29" t="inlineStr">
        <is>
          <t>とびげり</t>
        </is>
      </c>
      <c r="D27" s="29" t="inlineStr">
        <is>
          <t>Pied Sauté</t>
        </is>
      </c>
      <c r="E27" s="29" t="inlineStr">
        <is>
          <t>Sprungkick</t>
        </is>
      </c>
      <c r="F27" s="29" t="inlineStr">
        <is>
          <t>Patada Salto</t>
        </is>
      </c>
      <c r="G27" s="29" t="inlineStr">
        <is>
          <t>Calciosalto</t>
        </is>
      </c>
      <c r="H27" s="29" t="inlineStr">
        <is>
          <t>점프킥</t>
        </is>
      </c>
      <c r="I27" s="29" t="inlineStr">
        <is>
          <t>飛踢</t>
        </is>
      </c>
      <c r="J27" s="29">
        <f>IFERROR(__xludf.DUMMYFUNCTION("GOOGLETRANSLATE(I27,""zh_HANT"",""zh_HANS"")"),"飞踢")</f>
        <v/>
      </c>
      <c r="K27" s="29">
        <f>F27</f>
        <v/>
      </c>
    </row>
    <row r="28">
      <c r="A28" s="29">
        <f>CONCATENATE("NAME_MOVE_", SUBSTITUTE(UPPER(B28), " ", ""))</f>
        <v/>
      </c>
      <c r="B28" s="29" t="inlineStr">
        <is>
          <t>Rolling Kick</t>
        </is>
      </c>
      <c r="C28" s="29" t="inlineStr">
        <is>
          <t>まわしげり</t>
        </is>
      </c>
      <c r="D28" s="29" t="inlineStr">
        <is>
          <t>Mawashi Geri</t>
        </is>
      </c>
      <c r="E28" s="29" t="inlineStr">
        <is>
          <t>Fegekick</t>
        </is>
      </c>
      <c r="F28" s="29" t="inlineStr">
        <is>
          <t>Patada Giro</t>
        </is>
      </c>
      <c r="G28" s="29" t="inlineStr">
        <is>
          <t>Calciorullo</t>
        </is>
      </c>
      <c r="H28" s="29" t="inlineStr">
        <is>
          <t>돌려차기</t>
        </is>
      </c>
      <c r="I28" s="29" t="inlineStr">
        <is>
          <t>迴旋踢</t>
        </is>
      </c>
      <c r="J28" s="29">
        <f>IFERROR(__xludf.DUMMYFUNCTION("GOOGLETRANSLATE(I28,""zh_HANT"",""zh_HANS"")"),"回旋踢")</f>
        <v/>
      </c>
      <c r="K28" s="29">
        <f>F28</f>
        <v/>
      </c>
    </row>
    <row r="29">
      <c r="A29" s="29">
        <f>CONCATENATE("NAME_MOVE_", SUBSTITUTE(UPPER(B29), " ", ""))</f>
        <v/>
      </c>
      <c r="B29" s="29" t="inlineStr">
        <is>
          <t>Sand Attack</t>
        </is>
      </c>
      <c r="C29" s="29" t="inlineStr">
        <is>
          <t>すなかけ</t>
        </is>
      </c>
      <c r="D29" s="29" t="inlineStr">
        <is>
          <t>Jet de Sable</t>
        </is>
      </c>
      <c r="E29" s="29" t="inlineStr">
        <is>
          <t>Sandwirbel</t>
        </is>
      </c>
      <c r="F29" s="29" t="inlineStr">
        <is>
          <t>Ataque Arena</t>
        </is>
      </c>
      <c r="G29" s="29" t="inlineStr">
        <is>
          <t>Turbosabbia</t>
        </is>
      </c>
      <c r="H29" s="29" t="inlineStr">
        <is>
          <t>모래뿌리기</t>
        </is>
      </c>
      <c r="I29" s="29" t="inlineStr">
        <is>
          <t>潑沙</t>
        </is>
      </c>
      <c r="J29" s="29">
        <f>IFERROR(__xludf.DUMMYFUNCTION("GOOGLETRANSLATE(I29,""zh_HANT"",""zh_HANS"")"),"泼沙")</f>
        <v/>
      </c>
      <c r="K29" s="29">
        <f>F29</f>
        <v/>
      </c>
    </row>
    <row r="30">
      <c r="A30" s="29">
        <f>CONCATENATE("NAME_MOVE_", SUBSTITUTE(UPPER(B30), " ", ""))</f>
        <v/>
      </c>
      <c r="B30" s="29" t="inlineStr">
        <is>
          <t>Headbutt</t>
        </is>
      </c>
      <c r="C30" s="29" t="inlineStr">
        <is>
          <t>ずつき</t>
        </is>
      </c>
      <c r="D30" s="29" t="inlineStr">
        <is>
          <t>Coup d'Boule</t>
        </is>
      </c>
      <c r="E30" s="29" t="inlineStr">
        <is>
          <t>Kopfnuss</t>
        </is>
      </c>
      <c r="F30" s="29" t="inlineStr">
        <is>
          <t>Golpe Cabeza</t>
        </is>
      </c>
      <c r="G30" s="29" t="inlineStr">
        <is>
          <t>Bottintesta</t>
        </is>
      </c>
      <c r="H30" s="29" t="inlineStr">
        <is>
          <t>박치기</t>
        </is>
      </c>
      <c r="I30" s="29" t="inlineStr">
        <is>
          <t>頭錘</t>
        </is>
      </c>
      <c r="J30" s="29">
        <f>IFERROR(__xludf.DUMMYFUNCTION("GOOGLETRANSLATE(I30,""zh_HANT"",""zh_HANS"")"),"头锤")</f>
        <v/>
      </c>
      <c r="K30" s="29">
        <f>F30</f>
        <v/>
      </c>
    </row>
    <row r="31">
      <c r="A31" s="29">
        <f>CONCATENATE("NAME_MOVE_", SUBSTITUTE(UPPER(B31), " ", ""))</f>
        <v/>
      </c>
      <c r="B31" s="29" t="inlineStr">
        <is>
          <t>Horn Attack</t>
        </is>
      </c>
      <c r="C31" s="29" t="inlineStr">
        <is>
          <t>つのでつく</t>
        </is>
      </c>
      <c r="D31" s="29" t="inlineStr">
        <is>
          <t>Koud'Korne</t>
        </is>
      </c>
      <c r="E31" s="29" t="inlineStr">
        <is>
          <t>Hornattacke</t>
        </is>
      </c>
      <c r="F31" s="29" t="inlineStr">
        <is>
          <t>Cornada</t>
        </is>
      </c>
      <c r="G31" s="29" t="inlineStr">
        <is>
          <t>Incornata</t>
        </is>
      </c>
      <c r="H31" s="29" t="inlineStr">
        <is>
          <t>뿔찌르기</t>
        </is>
      </c>
      <c r="I31" s="29" t="inlineStr">
        <is>
          <t>角撞</t>
        </is>
      </c>
      <c r="J31" s="29">
        <f>I31</f>
        <v/>
      </c>
      <c r="K31" s="29">
        <f>F31</f>
        <v/>
      </c>
    </row>
    <row r="32">
      <c r="A32" s="29">
        <f>CONCATENATE("NAME_MOVE_", SUBSTITUTE(UPPER(B32), " ", ""))</f>
        <v/>
      </c>
      <c r="B32" s="29" t="inlineStr">
        <is>
          <t>Fury Attack</t>
        </is>
      </c>
      <c r="C32" s="29" t="inlineStr">
        <is>
          <t>みだれづき</t>
        </is>
      </c>
      <c r="D32" s="29" t="inlineStr">
        <is>
          <t>Furie</t>
        </is>
      </c>
      <c r="E32" s="29" t="inlineStr">
        <is>
          <t>Furienschlag</t>
        </is>
      </c>
      <c r="F32" s="29" t="inlineStr">
        <is>
          <t>Ataque Furia</t>
        </is>
      </c>
      <c r="G32" s="29" t="inlineStr">
        <is>
          <t>Furia</t>
        </is>
      </c>
      <c r="H32" s="29" t="inlineStr">
        <is>
          <t>마구찌르기</t>
        </is>
      </c>
      <c r="I32" s="29" t="inlineStr">
        <is>
          <t>亂擊</t>
        </is>
      </c>
      <c r="J32" s="29">
        <f>IFERROR(__xludf.DUMMYFUNCTION("GOOGLETRANSLATE(I32,""zh_HANT"",""zh_HANS"")"),"乱击")</f>
        <v/>
      </c>
      <c r="K32" s="29">
        <f>F32</f>
        <v/>
      </c>
    </row>
    <row r="33">
      <c r="A33" s="29">
        <f>CONCATENATE("NAME_MOVE_", SUBSTITUTE(UPPER(B33), " ", ""))</f>
        <v/>
      </c>
      <c r="B33" s="29" t="inlineStr">
        <is>
          <t>Horn Drill</t>
        </is>
      </c>
      <c r="C33" s="29" t="inlineStr">
        <is>
          <t>つのドリル</t>
        </is>
      </c>
      <c r="D33" s="29" t="inlineStr">
        <is>
          <t>Empal'Korne</t>
        </is>
      </c>
      <c r="E33" s="29" t="inlineStr">
        <is>
          <t>Hornbohrer</t>
        </is>
      </c>
      <c r="F33" s="29" t="inlineStr">
        <is>
          <t>Perforador</t>
        </is>
      </c>
      <c r="G33" s="29" t="inlineStr">
        <is>
          <t>Perforcorno</t>
        </is>
      </c>
      <c r="H33" s="29" t="inlineStr">
        <is>
          <t>뿔드릴</t>
        </is>
      </c>
      <c r="I33" s="29" t="inlineStr">
        <is>
          <t>角鑽</t>
        </is>
      </c>
      <c r="J33" s="29">
        <f>IFERROR(__xludf.DUMMYFUNCTION("GOOGLETRANSLATE(I33,""zh_HANT"",""zh_HANS"")"),"角钻")</f>
        <v/>
      </c>
      <c r="K33" s="29">
        <f>F33</f>
        <v/>
      </c>
    </row>
    <row r="34">
      <c r="A34" s="29">
        <f>CONCATENATE("NAME_MOVE_", SUBSTITUTE(UPPER(B34), " ", ""))</f>
        <v/>
      </c>
      <c r="B34" s="29" t="inlineStr">
        <is>
          <t>Tackle</t>
        </is>
      </c>
      <c r="C34" s="29" t="inlineStr">
        <is>
          <t>たいあたり</t>
        </is>
      </c>
      <c r="D34" s="29" t="inlineStr">
        <is>
          <t>Charge</t>
        </is>
      </c>
      <c r="E34" s="29">
        <f>B34</f>
        <v/>
      </c>
      <c r="F34" s="29" t="inlineStr">
        <is>
          <t>Placaje</t>
        </is>
      </c>
      <c r="G34" s="29" t="inlineStr">
        <is>
          <t>Azione</t>
        </is>
      </c>
      <c r="H34" s="29" t="inlineStr">
        <is>
          <t>몸통박치기</t>
        </is>
      </c>
      <c r="I34" s="29" t="inlineStr">
        <is>
          <t>撞擊</t>
        </is>
      </c>
      <c r="J34" s="29">
        <f>IFERROR(__xludf.DUMMYFUNCTION("GOOGLETRANSLATE(I34,""zh_HANT"",""zh_HANS"")"),"撞击")</f>
        <v/>
      </c>
      <c r="K34" s="29">
        <f>F34</f>
        <v/>
      </c>
    </row>
    <row r="35">
      <c r="A35" s="29">
        <f>CONCATENATE("NAME_MOVE_", SUBSTITUTE(UPPER(B35), " ", ""))</f>
        <v/>
      </c>
      <c r="B35" s="29" t="inlineStr">
        <is>
          <t>Body Slam</t>
        </is>
      </c>
      <c r="C35" s="29" t="inlineStr">
        <is>
          <t>のしかかり</t>
        </is>
      </c>
      <c r="D35" s="29" t="inlineStr">
        <is>
          <t>Plaquage</t>
        </is>
      </c>
      <c r="E35" s="29" t="inlineStr">
        <is>
          <t>Bodyslam</t>
        </is>
      </c>
      <c r="F35" s="29" t="inlineStr">
        <is>
          <t>Golpe Cuerpo</t>
        </is>
      </c>
      <c r="G35" s="29" t="inlineStr">
        <is>
          <t>Corposcontro</t>
        </is>
      </c>
      <c r="H35" s="29" t="inlineStr">
        <is>
          <t>누르기</t>
        </is>
      </c>
      <c r="I35" s="29" t="inlineStr">
        <is>
          <t>泰山壓頂</t>
        </is>
      </c>
      <c r="J35" s="29">
        <f>IFERROR(__xludf.DUMMYFUNCTION("GOOGLETRANSLATE(I35,""zh_HANT"",""zh_HANS"")"),"泰山压顶")</f>
        <v/>
      </c>
      <c r="K35" s="29">
        <f>F35</f>
        <v/>
      </c>
    </row>
    <row r="36">
      <c r="A36" s="29">
        <f>CONCATENATE("NAME_MOVE_", SUBSTITUTE(UPPER(B36), " ", ""))</f>
        <v/>
      </c>
      <c r="B36" s="29" t="inlineStr">
        <is>
          <t>Wrap</t>
        </is>
      </c>
      <c r="C36" s="29" t="inlineStr">
        <is>
          <t>まきつく</t>
        </is>
      </c>
      <c r="D36" s="29" t="inlineStr">
        <is>
          <t>Ligotage</t>
        </is>
      </c>
      <c r="E36" s="29" t="inlineStr">
        <is>
          <t>Wickel</t>
        </is>
      </c>
      <c r="F36" s="29" t="inlineStr">
        <is>
          <t>Constricción</t>
        </is>
      </c>
      <c r="G36" s="29" t="inlineStr">
        <is>
          <t>Avvolgibotta</t>
        </is>
      </c>
      <c r="H36" s="29" t="inlineStr">
        <is>
          <t>김밥말이</t>
        </is>
      </c>
      <c r="I36" s="29" t="inlineStr">
        <is>
          <t>緊束</t>
        </is>
      </c>
      <c r="J36" s="29">
        <f>IFERROR(__xludf.DUMMYFUNCTION("GOOGLETRANSLATE(I36,""zh_HANT"",""zh_HANS"")"),"紧束")</f>
        <v/>
      </c>
      <c r="K36" s="29">
        <f>F36</f>
        <v/>
      </c>
    </row>
    <row r="37">
      <c r="A37" s="29">
        <f>CONCATENATE("NAME_MOVE_", SUBSTITUTE(UPPER(B37), " ", ""))</f>
        <v/>
      </c>
      <c r="B37" s="29" t="inlineStr">
        <is>
          <t>Take Down</t>
        </is>
      </c>
      <c r="C37" s="29" t="inlineStr">
        <is>
          <t>とっしん</t>
        </is>
      </c>
      <c r="D37" s="29" t="inlineStr">
        <is>
          <t>Bélier</t>
        </is>
      </c>
      <c r="E37" s="29" t="inlineStr">
        <is>
          <t>Bodycheck</t>
        </is>
      </c>
      <c r="F37" s="29" t="inlineStr">
        <is>
          <t>Derribo</t>
        </is>
      </c>
      <c r="G37" s="29" t="inlineStr">
        <is>
          <t>Riduttore</t>
        </is>
      </c>
      <c r="H37" s="29" t="inlineStr">
        <is>
          <t>돌진</t>
        </is>
      </c>
      <c r="I37" s="29" t="inlineStr">
        <is>
          <t>猛撞</t>
        </is>
      </c>
      <c r="J37" s="29">
        <f>I37</f>
        <v/>
      </c>
      <c r="K37" s="29">
        <f>F37</f>
        <v/>
      </c>
    </row>
    <row r="38">
      <c r="A38" s="29">
        <f>CONCATENATE("NAME_MOVE_", SUBSTITUTE(UPPER(B38), " ", ""))</f>
        <v/>
      </c>
      <c r="B38" s="29" t="inlineStr">
        <is>
          <t>Thrash</t>
        </is>
      </c>
      <c r="C38" s="29" t="inlineStr">
        <is>
          <t>あばれる</t>
        </is>
      </c>
      <c r="D38" s="29" t="inlineStr">
        <is>
          <t>Mania</t>
        </is>
      </c>
      <c r="E38" s="29" t="inlineStr">
        <is>
          <t>Fuchtler</t>
        </is>
      </c>
      <c r="F38" s="29" t="inlineStr">
        <is>
          <t>Golpe</t>
        </is>
      </c>
      <c r="G38" s="29" t="inlineStr">
        <is>
          <t>Colpo</t>
        </is>
      </c>
      <c r="H38" s="29" t="inlineStr">
        <is>
          <t>난동부리기</t>
        </is>
      </c>
      <c r="I38" s="29" t="inlineStr">
        <is>
          <t>大鬧一番</t>
        </is>
      </c>
      <c r="J38" s="29">
        <f>IFERROR(__xludf.DUMMYFUNCTION("GOOGLETRANSLATE(I38,""zh_HANT"",""zh_HANS"")"),"大闹一番")</f>
        <v/>
      </c>
      <c r="K38" s="29">
        <f>F38</f>
        <v/>
      </c>
    </row>
    <row r="39">
      <c r="A39" s="29">
        <f>CONCATENATE("NAME_MOVE_", SUBSTITUTE(SUBSTITUTE(UPPER(B39), " ", ""), "-", ""))</f>
        <v/>
      </c>
      <c r="B39" s="29" t="inlineStr">
        <is>
          <t>Double-Edge</t>
        </is>
      </c>
      <c r="C39" s="29" t="inlineStr">
        <is>
          <t>すてみッタク</t>
        </is>
      </c>
      <c r="D39" s="29" t="inlineStr">
        <is>
          <t>Damoclès</t>
        </is>
      </c>
      <c r="E39" s="29" t="inlineStr">
        <is>
          <t>Risikotackle</t>
        </is>
      </c>
      <c r="F39" s="29" t="inlineStr">
        <is>
          <t>Doble Filo</t>
        </is>
      </c>
      <c r="G39" s="29" t="inlineStr">
        <is>
          <t>Sdoppiatore</t>
        </is>
      </c>
      <c r="H39" s="29" t="inlineStr">
        <is>
          <t>이판사판태클</t>
        </is>
      </c>
      <c r="I39" s="29" t="inlineStr">
        <is>
          <t>捨身衝撞</t>
        </is>
      </c>
      <c r="J39" s="29">
        <f>IFERROR(__xludf.DUMMYFUNCTION("GOOGLETRANSLATE(I39,""zh_HANT"",""zh_HANS"")"),"舍身冲撞")</f>
        <v/>
      </c>
      <c r="K39" s="29">
        <f>F39</f>
        <v/>
      </c>
    </row>
    <row r="40">
      <c r="A40" s="29">
        <f>CONCATENATE("NAME_MOVE_", SUBSTITUTE(SUBSTITUTE(UPPER(B40), " ", ""), "-", ""))</f>
        <v/>
      </c>
      <c r="B40" s="29" t="inlineStr">
        <is>
          <t>Tail Whip</t>
        </is>
      </c>
      <c r="C40" s="29" t="inlineStr">
        <is>
          <t>しっぽをふる</t>
        </is>
      </c>
      <c r="D40" s="29" t="inlineStr">
        <is>
          <t>Mimi-Queue</t>
        </is>
      </c>
      <c r="E40" s="29" t="inlineStr">
        <is>
          <t>Rutenschlag</t>
        </is>
      </c>
      <c r="F40" s="29" t="inlineStr">
        <is>
          <t>Látigo</t>
        </is>
      </c>
      <c r="G40" s="29" t="inlineStr">
        <is>
          <t>Colpocoda</t>
        </is>
      </c>
      <c r="H40" s="29" t="inlineStr">
        <is>
          <t>꼬리흔들기</t>
        </is>
      </c>
      <c r="I40" s="29" t="inlineStr">
        <is>
          <t>搖尾巴</t>
        </is>
      </c>
      <c r="J40" s="29">
        <f>IFERROR(__xludf.DUMMYFUNCTION("GOOGLETRANSLATE(I40,""zh_HANT"",""zh_HANS"")"),"摇尾巴")</f>
        <v/>
      </c>
      <c r="K40" s="29">
        <f>F40</f>
        <v/>
      </c>
    </row>
    <row r="41">
      <c r="A41" s="29">
        <f>CONCATENATE("NAME_MOVE_", SUBSTITUTE(SUBSTITUTE(UPPER(B41), " ", ""), "-", ""))</f>
        <v/>
      </c>
      <c r="B41" s="29" t="inlineStr">
        <is>
          <t>Poison Sting</t>
        </is>
      </c>
      <c r="C41" s="29" t="inlineStr">
        <is>
          <t>どくばり</t>
        </is>
      </c>
      <c r="D41" s="29" t="inlineStr">
        <is>
          <t>Dard-Venin</t>
        </is>
      </c>
      <c r="E41" s="29" t="inlineStr">
        <is>
          <t>Giftstachel</t>
        </is>
      </c>
      <c r="F41" s="29" t="inlineStr">
        <is>
          <t>Picotazo Ven</t>
        </is>
      </c>
      <c r="G41" s="29" t="inlineStr">
        <is>
          <t>Velenospina</t>
        </is>
      </c>
      <c r="H41" s="29" t="inlineStr">
        <is>
          <t>독침</t>
        </is>
      </c>
      <c r="I41" s="29" t="inlineStr">
        <is>
          <t>毒針</t>
        </is>
      </c>
      <c r="J41" s="29">
        <f>IFERROR(__xludf.DUMMYFUNCTION("GOOGLETRANSLATE(I41,""zh_HANT"",""zh_HANS"")"),"毒针")</f>
        <v/>
      </c>
      <c r="K41" s="29">
        <f>F41</f>
        <v/>
      </c>
    </row>
    <row r="42">
      <c r="A42" s="29">
        <f>CONCATENATE("NAME_MOVE_", SUBSTITUTE(SUBSTITUTE(UPPER(B42), " ", ""), "-", ""))</f>
        <v/>
      </c>
      <c r="B42" s="29" t="inlineStr">
        <is>
          <t>Twineedle</t>
        </is>
      </c>
      <c r="C42" s="29" t="inlineStr">
        <is>
          <t>ダブルニードル</t>
        </is>
      </c>
      <c r="D42" s="29" t="inlineStr">
        <is>
          <t>Double Dard</t>
        </is>
      </c>
      <c r="E42" s="29" t="inlineStr">
        <is>
          <t>Duonadel</t>
        </is>
      </c>
      <c r="F42" s="29" t="inlineStr">
        <is>
          <t>Doble Ataque</t>
        </is>
      </c>
      <c r="G42" s="29" t="inlineStr">
        <is>
          <t>Doppio Ago</t>
        </is>
      </c>
      <c r="H42" s="29" t="inlineStr">
        <is>
          <t>더블니들</t>
        </is>
      </c>
      <c r="I42" s="29" t="inlineStr">
        <is>
          <t>雙針</t>
        </is>
      </c>
      <c r="J42" s="29">
        <f>IFERROR(__xludf.DUMMYFUNCTION("GOOGLETRANSLATE(I42,""zh_HANT"",""zh_HANS"")"),"双针")</f>
        <v/>
      </c>
      <c r="K42" s="29">
        <f>F42</f>
        <v/>
      </c>
    </row>
    <row r="43">
      <c r="A43" s="29">
        <f>CONCATENATE("NAME_MOVE_", SUBSTITUTE(SUBSTITUTE(UPPER(B43), " ", ""), "-", ""))</f>
        <v/>
      </c>
      <c r="B43" s="29" t="inlineStr">
        <is>
          <t>Pin Missle</t>
        </is>
      </c>
      <c r="C43" s="29" t="inlineStr">
        <is>
          <t>ミサイルばり</t>
        </is>
      </c>
      <c r="D43" s="29" t="inlineStr">
        <is>
          <t>Dard-Nuée</t>
        </is>
      </c>
      <c r="E43" s="29" t="inlineStr">
        <is>
          <t>Nadelrakete</t>
        </is>
      </c>
      <c r="F43" s="29" t="inlineStr">
        <is>
          <t>Pin Misil</t>
        </is>
      </c>
      <c r="G43" s="29" t="inlineStr">
        <is>
          <t>Missilspillo</t>
        </is>
      </c>
      <c r="H43" s="29" t="inlineStr">
        <is>
          <t>바늘미사일</t>
        </is>
      </c>
      <c r="I43" s="29" t="inlineStr">
        <is>
          <t>飛彈針</t>
        </is>
      </c>
      <c r="J43" s="29">
        <f>IFERROR(__xludf.DUMMYFUNCTION("GOOGLETRANSLATE(I43,""zh_HANT"",""zh_HANS"")"),"飞弹针")</f>
        <v/>
      </c>
      <c r="K43" s="29">
        <f>F43</f>
        <v/>
      </c>
    </row>
    <row r="44">
      <c r="A44" s="29">
        <f>CONCATENATE("NAME_MOVE_", SUBSTITUTE(SUBSTITUTE(UPPER(B44), " ", ""), "-", ""))</f>
        <v/>
      </c>
      <c r="B44" s="29" t="inlineStr">
        <is>
          <t>Leer</t>
        </is>
      </c>
      <c r="C44" s="29" t="inlineStr">
        <is>
          <t>にらみつける</t>
        </is>
      </c>
      <c r="D44" s="29" t="inlineStr">
        <is>
          <t>Groz'Yeux</t>
        </is>
      </c>
      <c r="E44" s="29" t="inlineStr">
        <is>
          <t>Silberblick</t>
        </is>
      </c>
      <c r="F44" s="29" t="inlineStr">
        <is>
          <t>Malicioso</t>
        </is>
      </c>
      <c r="G44" s="29" t="inlineStr">
        <is>
          <t>Fulmisguardo</t>
        </is>
      </c>
      <c r="H44" s="29" t="inlineStr">
        <is>
          <t>째려보기</t>
        </is>
      </c>
      <c r="I44" s="29" t="inlineStr">
        <is>
          <t>瞪眼</t>
        </is>
      </c>
      <c r="J44" s="29">
        <f>I44</f>
        <v/>
      </c>
      <c r="K44" s="29">
        <f>F44</f>
        <v/>
      </c>
    </row>
    <row r="45">
      <c r="A45" s="29">
        <f>CONCATENATE("NAME_MOVE_", SUBSTITUTE(SUBSTITUTE(UPPER(B45), " ", ""), "-", ""))</f>
        <v/>
      </c>
      <c r="B45" s="29" t="inlineStr">
        <is>
          <t>Bite</t>
        </is>
      </c>
      <c r="C45" s="29" t="inlineStr">
        <is>
          <t>かみつく</t>
        </is>
      </c>
      <c r="D45" s="29" t="inlineStr">
        <is>
          <t>Morsure</t>
        </is>
      </c>
      <c r="E45" s="29" t="inlineStr">
        <is>
          <t>Biss</t>
        </is>
      </c>
      <c r="F45" s="29" t="inlineStr">
        <is>
          <t>Mordisco</t>
        </is>
      </c>
      <c r="G45" s="29" t="inlineStr">
        <is>
          <t>Morso</t>
        </is>
      </c>
      <c r="H45" s="29" t="inlineStr">
        <is>
          <t>물기</t>
        </is>
      </c>
      <c r="I45" s="29" t="inlineStr">
        <is>
          <t>咬住</t>
        </is>
      </c>
      <c r="J45" s="29">
        <f>I45</f>
        <v/>
      </c>
      <c r="K45" s="29">
        <f>F45</f>
        <v/>
      </c>
    </row>
    <row r="46">
      <c r="A46" s="29">
        <f>CONCATENATE("NAME_MOVE_", SUBSTITUTE(SUBSTITUTE(UPPER(B46), " ", ""), "-", ""))</f>
        <v/>
      </c>
      <c r="B46" s="29" t="inlineStr">
        <is>
          <t>Growl</t>
        </is>
      </c>
      <c r="C46" s="29" t="inlineStr">
        <is>
          <t>なきごえ</t>
        </is>
      </c>
      <c r="D46" s="29" t="inlineStr">
        <is>
          <t>Rugissement</t>
        </is>
      </c>
      <c r="E46" s="29" t="inlineStr">
        <is>
          <t>Heuler</t>
        </is>
      </c>
      <c r="F46" s="29" t="inlineStr">
        <is>
          <t>Gruñido</t>
        </is>
      </c>
      <c r="G46" s="29" t="inlineStr">
        <is>
          <t>Ruggito</t>
        </is>
      </c>
      <c r="H46" s="29" t="inlineStr">
        <is>
          <t>울음소리</t>
        </is>
      </c>
      <c r="I46" s="29" t="inlineStr">
        <is>
          <t>叫聲</t>
        </is>
      </c>
      <c r="J46" s="29">
        <f>IFERROR(__xludf.DUMMYFUNCTION("GOOGLETRANSLATE(I46,""zh_HANT"",""zh_HANS"")"),"叫声")</f>
        <v/>
      </c>
      <c r="K46" s="29">
        <f>F46</f>
        <v/>
      </c>
    </row>
    <row r="47">
      <c r="A47" s="29">
        <f>CONCATENATE("NAME_MOVE_", SUBSTITUTE(SUBSTITUTE(UPPER(B47), " ", ""), "-", ""))</f>
        <v/>
      </c>
      <c r="B47" s="29" t="inlineStr">
        <is>
          <t>Roar</t>
        </is>
      </c>
      <c r="C47" s="29" t="inlineStr">
        <is>
          <t>ほえる</t>
        </is>
      </c>
      <c r="D47" s="29" t="inlineStr">
        <is>
          <t>Hurlement</t>
        </is>
      </c>
      <c r="E47" s="29" t="inlineStr">
        <is>
          <t>Brüller</t>
        </is>
      </c>
      <c r="F47" s="29" t="inlineStr">
        <is>
          <t>Rugido</t>
        </is>
      </c>
      <c r="G47" s="29" t="inlineStr">
        <is>
          <t>Boato</t>
        </is>
      </c>
      <c r="H47" s="29" t="inlineStr">
        <is>
          <t>울부짖기</t>
        </is>
      </c>
      <c r="I47" s="29" t="inlineStr">
        <is>
          <t>吼叫</t>
        </is>
      </c>
      <c r="J47" s="29">
        <f>I47</f>
        <v/>
      </c>
      <c r="K47" s="29">
        <f>F47</f>
        <v/>
      </c>
    </row>
    <row r="48">
      <c r="A48" s="29">
        <f>CONCATENATE("NAME_MOVE_", SUBSTITUTE(SUBSTITUTE(UPPER(B48), " ", ""), "-", ""))</f>
        <v/>
      </c>
      <c r="B48" s="29" t="inlineStr">
        <is>
          <t>Sing</t>
        </is>
      </c>
      <c r="C48" s="29" t="inlineStr">
        <is>
          <t>うたう</t>
        </is>
      </c>
      <c r="D48" s="29" t="inlineStr">
        <is>
          <t>Berceuse</t>
        </is>
      </c>
      <c r="E48" s="29" t="inlineStr">
        <is>
          <t>Gesang</t>
        </is>
      </c>
      <c r="F48" s="29" t="inlineStr">
        <is>
          <t>Canto</t>
        </is>
      </c>
      <c r="G48" s="29">
        <f>F48</f>
        <v/>
      </c>
      <c r="H48" s="29" t="inlineStr">
        <is>
          <t>노래하기</t>
        </is>
      </c>
      <c r="I48" s="29" t="inlineStr">
        <is>
          <t>唱歌</t>
        </is>
      </c>
      <c r="J48" s="29">
        <f>I48</f>
        <v/>
      </c>
      <c r="K48" s="29">
        <f>F48</f>
        <v/>
      </c>
    </row>
    <row r="49">
      <c r="A49" s="29">
        <f>CONCATENATE("NAME_MOVE_", SUBSTITUTE(SUBSTITUTE(UPPER(B49), " ", ""), "-", ""))</f>
        <v/>
      </c>
      <c r="B49" s="29" t="inlineStr">
        <is>
          <t>Supersonic</t>
        </is>
      </c>
      <c r="C49" s="29" t="inlineStr">
        <is>
          <t>ちょうおんぱ</t>
        </is>
      </c>
      <c r="D49" s="29" t="inlineStr">
        <is>
          <t>Ultrason</t>
        </is>
      </c>
      <c r="E49" s="29" t="inlineStr">
        <is>
          <t>Superschall</t>
        </is>
      </c>
      <c r="F49" s="29" t="inlineStr">
        <is>
          <t>Supersónico</t>
        </is>
      </c>
      <c r="G49" s="29" t="inlineStr">
        <is>
          <t>Supersuono</t>
        </is>
      </c>
      <c r="H49" s="29" t="inlineStr">
        <is>
          <t>초음파</t>
        </is>
      </c>
      <c r="I49" s="29" t="inlineStr">
        <is>
          <t>超音波</t>
        </is>
      </c>
      <c r="J49" s="29">
        <f>I49</f>
        <v/>
      </c>
      <c r="K49" s="29">
        <f>F49</f>
        <v/>
      </c>
    </row>
    <row r="50">
      <c r="A50" s="29">
        <f>CONCATENATE("NAME_MOVE_", SUBSTITUTE(SUBSTITUTE(UPPER(B50), " ", ""), "-", ""))</f>
        <v/>
      </c>
      <c r="B50" s="29" t="inlineStr">
        <is>
          <t>Sonic Boom</t>
        </is>
      </c>
      <c r="C50" s="29" t="inlineStr">
        <is>
          <t>ソニックブーム</t>
        </is>
      </c>
      <c r="D50" s="29">
        <f>B50</f>
        <v/>
      </c>
      <c r="E50" s="29" t="inlineStr">
        <is>
          <t>Ultraschall</t>
        </is>
      </c>
      <c r="F50" s="29" t="inlineStr">
        <is>
          <t>Bomba Sónica</t>
        </is>
      </c>
      <c r="G50" s="29" t="inlineStr">
        <is>
          <t>Sonicboom</t>
        </is>
      </c>
      <c r="H50" s="29" t="inlineStr">
        <is>
          <t>소닉붐</t>
        </is>
      </c>
      <c r="I50" s="29" t="inlineStr">
        <is>
          <t>音爆</t>
        </is>
      </c>
      <c r="J50" s="29">
        <f>I50</f>
        <v/>
      </c>
      <c r="K50" s="29">
        <f>F50</f>
        <v/>
      </c>
    </row>
    <row r="51">
      <c r="A51" s="29">
        <f>CONCATENATE("NAME_MOVE_", SUBSTITUTE(SUBSTITUTE(UPPER(B51), " ", ""), "-", ""))</f>
        <v/>
      </c>
      <c r="B51" s="29" t="inlineStr">
        <is>
          <t>Disable</t>
        </is>
      </c>
      <c r="C51" s="29" t="inlineStr">
        <is>
          <t>かなしばり</t>
        </is>
      </c>
      <c r="D51" s="29" t="inlineStr">
        <is>
          <t>Entrave</t>
        </is>
      </c>
      <c r="E51" s="29" t="inlineStr">
        <is>
          <t>Aussetzer</t>
        </is>
      </c>
      <c r="F51" s="29" t="inlineStr">
        <is>
          <t>Anulación</t>
        </is>
      </c>
      <c r="G51" s="29" t="inlineStr">
        <is>
          <t>Inibitore</t>
        </is>
      </c>
      <c r="H51" s="29" t="inlineStr">
        <is>
          <t>사슬묶기</t>
        </is>
      </c>
      <c r="I51" s="29" t="inlineStr">
        <is>
          <t>定身法</t>
        </is>
      </c>
      <c r="J51" s="29">
        <f>I51</f>
        <v/>
      </c>
      <c r="K51" s="29">
        <f>F51</f>
        <v/>
      </c>
    </row>
    <row r="52">
      <c r="A52" s="29">
        <f>CONCATENATE("NAME_MOVE_", SUBSTITUTE(SUBSTITUTE(UPPER(B52), " ", ""), "-", ""))</f>
        <v/>
      </c>
      <c r="B52" s="29" t="inlineStr">
        <is>
          <t>Acid</t>
        </is>
      </c>
      <c r="C52" s="29" t="inlineStr">
        <is>
          <t>ようかいえき</t>
        </is>
      </c>
      <c r="D52" s="29" t="inlineStr">
        <is>
          <t>Acide</t>
        </is>
      </c>
      <c r="E52" s="29" t="inlineStr">
        <is>
          <t>Säure</t>
        </is>
      </c>
      <c r="F52" s="29" t="inlineStr">
        <is>
          <t>Ácido</t>
        </is>
      </c>
      <c r="G52" s="29">
        <f>CONCATENATE(B52,"o")</f>
        <v/>
      </c>
      <c r="H52" s="29" t="inlineStr">
        <is>
          <t>용해액</t>
        </is>
      </c>
      <c r="I52" s="29" t="inlineStr">
        <is>
          <t>溶解液</t>
        </is>
      </c>
      <c r="J52" s="29">
        <f>I52</f>
        <v/>
      </c>
      <c r="K52" s="29">
        <f>F52</f>
        <v/>
      </c>
    </row>
    <row r="53">
      <c r="A53" s="29">
        <f>CONCATENATE("NAME_MOVE_", SUBSTITUTE(SUBSTITUTE(UPPER(B53), " ", ""), "-", ""))</f>
        <v/>
      </c>
      <c r="B53" s="29" t="inlineStr">
        <is>
          <t>Ember</t>
        </is>
      </c>
      <c r="C53" s="29" t="inlineStr">
        <is>
          <t>ほのこ</t>
        </is>
      </c>
      <c r="D53" s="29" t="inlineStr">
        <is>
          <t>Flammèche</t>
        </is>
      </c>
      <c r="E53" s="29" t="inlineStr">
        <is>
          <t>Glut</t>
        </is>
      </c>
      <c r="F53" s="29" t="inlineStr">
        <is>
          <t>Ascuas</t>
        </is>
      </c>
      <c r="G53" s="29" t="inlineStr">
        <is>
          <t>Braciere</t>
        </is>
      </c>
      <c r="H53" s="29" t="inlineStr">
        <is>
          <t>불꽃세례</t>
        </is>
      </c>
      <c r="I53" s="29">
        <f>J53</f>
        <v/>
      </c>
      <c r="J53" s="29" t="inlineStr">
        <is>
          <t>火花</t>
        </is>
      </c>
      <c r="K53" s="29">
        <f>F53</f>
        <v/>
      </c>
    </row>
    <row r="54">
      <c r="A54" s="29">
        <f>CONCATENATE("NAME_MOVE_", SUBSTITUTE(SUBSTITUTE(UPPER(B54), " ", ""), "-", ""))</f>
        <v/>
      </c>
      <c r="B54" s="29" t="inlineStr">
        <is>
          <t>Flamethrower</t>
        </is>
      </c>
      <c r="C54" s="29" t="inlineStr">
        <is>
          <t>かえんほうしゃ</t>
        </is>
      </c>
      <c r="D54" s="29" t="inlineStr">
        <is>
          <t>Lance-Flamme</t>
        </is>
      </c>
      <c r="E54" s="29" t="inlineStr">
        <is>
          <t>Flammenwurf</t>
        </is>
      </c>
      <c r="F54" s="29" t="inlineStr">
        <is>
          <t>Lanzallamas</t>
        </is>
      </c>
      <c r="G54" s="29" t="inlineStr">
        <is>
          <t>Lanciafiamme</t>
        </is>
      </c>
      <c r="H54" s="29" t="inlineStr">
        <is>
          <t>화염방사</t>
        </is>
      </c>
      <c r="I54" s="29" t="inlineStr">
        <is>
          <t>噴射火焰</t>
        </is>
      </c>
      <c r="J54" s="29">
        <f>IFERROR(__xludf.DUMMYFUNCTION("GOOGLETRANSLATE(I54,""zh_HANT"",""zh_HANS"")"),"喷射火焰")</f>
        <v/>
      </c>
      <c r="K54" s="29">
        <f>F54</f>
        <v/>
      </c>
    </row>
    <row r="55">
      <c r="A55" s="29">
        <f>CONCATENATE("NAME_MOVE_", SUBSTITUTE(SUBSTITUTE(UPPER(B55), " ", ""), "-", ""))</f>
        <v/>
      </c>
      <c r="B55" s="29" t="inlineStr">
        <is>
          <t>Mist</t>
        </is>
      </c>
      <c r="C55" s="29" t="inlineStr">
        <is>
          <t>しろいきり</t>
        </is>
      </c>
      <c r="D55" s="29" t="inlineStr">
        <is>
          <t>Brume</t>
        </is>
      </c>
      <c r="E55" s="29" t="inlineStr">
        <is>
          <t>Weißnebel</t>
        </is>
      </c>
      <c r="F55" s="29" t="inlineStr">
        <is>
          <t>Neblina</t>
        </is>
      </c>
      <c r="G55" s="29" t="inlineStr">
        <is>
          <t>Nebbia</t>
        </is>
      </c>
      <c r="H55" s="29" t="inlineStr">
        <is>
          <t>흰안개</t>
        </is>
      </c>
      <c r="I55" s="29" t="inlineStr">
        <is>
          <t>白霧</t>
        </is>
      </c>
      <c r="J55" s="29">
        <f>IFERROR(__xludf.DUMMYFUNCTION("GOOGLETRANSLATE(I55,""zh_HANT"",""zh_HANS"")"),"白雾")</f>
        <v/>
      </c>
      <c r="K55" s="29">
        <f>F55</f>
        <v/>
      </c>
    </row>
    <row r="56">
      <c r="A56" s="29">
        <f>CONCATENATE("NAME_MOVE_", SUBSTITUTE(SUBSTITUTE(UPPER(B56), " ", ""), "-", ""))</f>
        <v/>
      </c>
      <c r="B56" s="29" t="inlineStr">
        <is>
          <t>Water Gun</t>
        </is>
      </c>
      <c r="C56" s="29" t="inlineStr">
        <is>
          <t>みずでっぽう</t>
        </is>
      </c>
      <c r="D56" s="29" t="inlineStr">
        <is>
          <t>Pistolet à O</t>
        </is>
      </c>
      <c r="E56" s="29" t="inlineStr">
        <is>
          <t>Aquaknarre</t>
        </is>
      </c>
      <c r="F56" s="29" t="inlineStr">
        <is>
          <t>Pistola Agua</t>
        </is>
      </c>
      <c r="G56" s="29" t="inlineStr">
        <is>
          <t>Pistolacqua</t>
        </is>
      </c>
      <c r="H56" s="29" t="inlineStr">
        <is>
          <t>물대포</t>
        </is>
      </c>
      <c r="I56" s="29" t="inlineStr">
        <is>
          <t>水槍</t>
        </is>
      </c>
      <c r="J56" s="29">
        <f>IFERROR(__xludf.DUMMYFUNCTION("GOOGLETRANSLATE(I56,""zh_HANT"",""zh_HANS"")"),"水枪")</f>
        <v/>
      </c>
      <c r="K56" s="29">
        <f>F56</f>
        <v/>
      </c>
    </row>
    <row r="57">
      <c r="A57" s="29">
        <f>CONCATENATE("NAME_MOVE_", SUBSTITUTE(SUBSTITUTE(UPPER(B57), " ", ""), "-", ""))</f>
        <v/>
      </c>
      <c r="B57" s="29" t="inlineStr">
        <is>
          <t>Hydro Pump</t>
        </is>
      </c>
      <c r="C57" s="29" t="inlineStr">
        <is>
          <t>ハイドロポンプ</t>
        </is>
      </c>
      <c r="D57" s="29" t="inlineStr">
        <is>
          <t>Hydrocanon</t>
        </is>
      </c>
      <c r="E57" s="29" t="inlineStr">
        <is>
          <t>Hydropumpe</t>
        </is>
      </c>
      <c r="F57" s="29" t="inlineStr">
        <is>
          <t>Hidrobomba</t>
        </is>
      </c>
      <c r="G57" s="29" t="inlineStr">
        <is>
          <t>Idropompa</t>
        </is>
      </c>
      <c r="H57" s="29" t="inlineStr">
        <is>
          <t>하이드로펌프</t>
        </is>
      </c>
      <c r="I57" s="29" t="inlineStr">
        <is>
          <t>水炮</t>
        </is>
      </c>
      <c r="J57" s="29">
        <f>I57</f>
        <v/>
      </c>
      <c r="K57" s="29">
        <f>F57</f>
        <v/>
      </c>
    </row>
    <row r="58">
      <c r="A58" s="29">
        <f>CONCATENATE("NAME_MOVE_", SUBSTITUTE(SUBSTITUTE(UPPER(B58), " ", ""), "-", ""))</f>
        <v/>
      </c>
      <c r="B58" s="29" t="inlineStr">
        <is>
          <t>Surf</t>
        </is>
      </c>
      <c r="C58" s="29" t="inlineStr">
        <is>
          <t>なみのり</t>
        </is>
      </c>
      <c r="D58" s="29">
        <f>B58</f>
        <v/>
      </c>
      <c r="E58" s="29">
        <f>CONCATENATE(B58,"er")</f>
        <v/>
      </c>
      <c r="F58" s="29">
        <f>B58</f>
        <v/>
      </c>
      <c r="G58" s="29">
        <f>B58</f>
        <v/>
      </c>
      <c r="H58" s="29" t="inlineStr">
        <is>
          <t>파도타기</t>
        </is>
      </c>
      <c r="I58" s="29" t="inlineStr">
        <is>
          <t>衝浪</t>
        </is>
      </c>
      <c r="J58" s="29">
        <f>IFERROR(__xludf.DUMMYFUNCTION("GOOGLETRANSLATE(I58,""zh_HANT"",""zh_HANS"")"),"冲浪")</f>
        <v/>
      </c>
      <c r="K58" s="29">
        <f>F58</f>
        <v/>
      </c>
    </row>
    <row r="59">
      <c r="A59" s="29">
        <f>CONCATENATE("NAME_MOVE_", SUBSTITUTE(SUBSTITUTE(UPPER(B59), " ", ""), "-", ""))</f>
        <v/>
      </c>
      <c r="B59" s="29" t="inlineStr">
        <is>
          <t>Ice Beam</t>
        </is>
      </c>
      <c r="C59" s="29" t="inlineStr">
        <is>
          <t>れいとうビーム</t>
        </is>
      </c>
      <c r="D59" s="29" t="inlineStr">
        <is>
          <t>Laser Glace</t>
        </is>
      </c>
      <c r="E59" s="29" t="inlineStr">
        <is>
          <t>Eisstrahl</t>
        </is>
      </c>
      <c r="F59" s="29" t="inlineStr">
        <is>
          <t>Rayo Hielo</t>
        </is>
      </c>
      <c r="G59" s="29" t="inlineStr">
        <is>
          <t>Geloraggio</t>
        </is>
      </c>
      <c r="H59" s="29" t="inlineStr">
        <is>
          <t>냉동빔</t>
        </is>
      </c>
      <c r="I59" s="29" t="inlineStr">
        <is>
          <t>冰凍光束</t>
        </is>
      </c>
      <c r="J59" s="29">
        <f>IFERROR(__xludf.DUMMYFUNCTION("GOOGLETRANSLATE(I59,""zh_HANT"",""zh_HANS"")"),"冰冻光束")</f>
        <v/>
      </c>
      <c r="K59" s="29">
        <f>F59</f>
        <v/>
      </c>
    </row>
    <row r="60">
      <c r="A60" s="29">
        <f>CONCATENATE("NAME_MOVE_", SUBSTITUTE(SUBSTITUTE(UPPER(B60), " ", ""), "-", ""))</f>
        <v/>
      </c>
      <c r="B60" s="29" t="inlineStr">
        <is>
          <t>Blizzard</t>
        </is>
      </c>
      <c r="C60" s="29" t="inlineStr">
        <is>
          <t>ふぶき</t>
        </is>
      </c>
      <c r="D60" s="29">
        <f>B60</f>
        <v/>
      </c>
      <c r="E60" s="29">
        <f>B60</f>
        <v/>
      </c>
      <c r="F60" s="29" t="inlineStr">
        <is>
          <t>Ventisca</t>
        </is>
      </c>
      <c r="G60" s="29" t="inlineStr">
        <is>
          <t>Bora</t>
        </is>
      </c>
      <c r="H60" s="29" t="inlineStr">
        <is>
          <t>눈보라</t>
        </is>
      </c>
      <c r="I60" s="29" t="inlineStr">
        <is>
          <t>暴風雪</t>
        </is>
      </c>
      <c r="J60" s="29">
        <f>IFERROR(__xludf.DUMMYFUNCTION("GOOGLETRANSLATE(I60,""zh_HANT"",""zh_HANS"")"),"暴风雪")</f>
        <v/>
      </c>
      <c r="K60" s="29">
        <f>F60</f>
        <v/>
      </c>
    </row>
    <row r="61">
      <c r="A61" s="29">
        <f>CONCATENATE("NAME_MOVE_", SUBSTITUTE(SUBSTITUTE(UPPER(B61), " ", ""), "-", ""))</f>
        <v/>
      </c>
      <c r="B61" s="29" t="inlineStr">
        <is>
          <t>Psybeam</t>
        </is>
      </c>
      <c r="C61" s="29" t="inlineStr">
        <is>
          <t>サイケこうせん</t>
        </is>
      </c>
      <c r="D61" s="29" t="inlineStr">
        <is>
          <t>Rafale Psy</t>
        </is>
      </c>
      <c r="E61" s="29" t="inlineStr">
        <is>
          <t>Psystrahl</t>
        </is>
      </c>
      <c r="F61" s="29" t="inlineStr">
        <is>
          <t>Psicorrayo</t>
        </is>
      </c>
      <c r="G61" s="29" t="inlineStr">
        <is>
          <t>Psicoraggio</t>
        </is>
      </c>
      <c r="H61" s="29" t="inlineStr">
        <is>
          <t>환상빔</t>
        </is>
      </c>
      <c r="I61" s="29" t="inlineStr">
        <is>
          <t>幻象光線</t>
        </is>
      </c>
      <c r="J61" s="29">
        <f>IFERROR(__xludf.DUMMYFUNCTION("GOOGLETRANSLATE(I61,""zh_HANT"",""zh_HANS"")"),"幻象光线")</f>
        <v/>
      </c>
      <c r="K61" s="29">
        <f>F61</f>
        <v/>
      </c>
    </row>
    <row r="62">
      <c r="A62" s="29">
        <f>CONCATENATE("NAME_MOVE_", SUBSTITUTE(SUBSTITUTE(UPPER(B62), " ", ""), "-", ""))</f>
        <v/>
      </c>
      <c r="B62" s="29" t="inlineStr">
        <is>
          <t>Bubble Beam</t>
        </is>
      </c>
      <c r="C62" s="29" t="inlineStr">
        <is>
          <t>バボルこうせん</t>
        </is>
      </c>
      <c r="D62" s="29" t="inlineStr">
        <is>
          <t>Bulles d'O</t>
        </is>
      </c>
      <c r="E62" s="29" t="inlineStr">
        <is>
          <t>Blubbstrahl</t>
        </is>
      </c>
      <c r="F62" s="29" t="inlineStr">
        <is>
          <t>Rayo Burbuja</t>
        </is>
      </c>
      <c r="G62" s="29" t="inlineStr">
        <is>
          <t>Bollaraggio</t>
        </is>
      </c>
      <c r="H62" s="29" t="inlineStr">
        <is>
          <t>거품광선</t>
        </is>
      </c>
      <c r="I62" s="29" t="inlineStr">
        <is>
          <t>泡沫光線</t>
        </is>
      </c>
      <c r="J62" s="29">
        <f>IFERROR(__xludf.DUMMYFUNCTION("GOOGLETRANSLATE(I62,""zh_HANT"",""zh_HANS"")"),"泡沫光线")</f>
        <v/>
      </c>
      <c r="K62" s="29">
        <f>F62</f>
        <v/>
      </c>
    </row>
    <row r="63">
      <c r="A63" s="29">
        <f>CONCATENATE("NAME_MOVE_", SUBSTITUTE(SUBSTITUTE(UPPER(B63), " ", ""), "-", ""))</f>
        <v/>
      </c>
      <c r="B63" s="29" t="inlineStr">
        <is>
          <t>Aurora Beam</t>
        </is>
      </c>
      <c r="C63" s="29" t="inlineStr">
        <is>
          <t>オーロラビーム</t>
        </is>
      </c>
      <c r="D63" s="29" t="inlineStr">
        <is>
          <t>Onde Boréale</t>
        </is>
      </c>
      <c r="E63" s="29" t="inlineStr">
        <is>
          <t>Aurorastrahl</t>
        </is>
      </c>
      <c r="F63" s="29" t="inlineStr">
        <is>
          <t>Rayo Aurora</t>
        </is>
      </c>
      <c r="G63" s="29" t="inlineStr">
        <is>
          <t>Raggiaurora</t>
        </is>
      </c>
      <c r="H63" s="29" t="inlineStr">
        <is>
          <t>오로라빔</t>
        </is>
      </c>
      <c r="I63" s="29" t="inlineStr">
        <is>
          <t>極光束</t>
        </is>
      </c>
      <c r="J63" s="29">
        <f>IFERROR(__xludf.DUMMYFUNCTION("GOOGLETRANSLATE(I63,""zh_HANT"",""zh_HANS"")"),"极光束")</f>
        <v/>
      </c>
      <c r="K63" s="29">
        <f>F63</f>
        <v/>
      </c>
    </row>
    <row r="64">
      <c r="A64" s="29">
        <f>CONCATENATE("NAME_MOVE_", SUBSTITUTE(SUBSTITUTE(UPPER(B64), " ", ""), "-", ""))</f>
        <v/>
      </c>
      <c r="B64" s="29" t="inlineStr">
        <is>
          <t>Hyper Beam</t>
        </is>
      </c>
      <c r="C64" s="29" t="inlineStr">
        <is>
          <t>はかいこうせん</t>
        </is>
      </c>
      <c r="D64" s="29" t="inlineStr">
        <is>
          <t>Ultra Laser</t>
        </is>
      </c>
      <c r="E64" s="29" t="inlineStr">
        <is>
          <t>Hyperstrahl</t>
        </is>
      </c>
      <c r="F64" s="29" t="inlineStr">
        <is>
          <t>Hiperrayo</t>
        </is>
      </c>
      <c r="G64" s="29" t="inlineStr">
        <is>
          <t>Iper Raggio</t>
        </is>
      </c>
      <c r="H64" s="29" t="inlineStr">
        <is>
          <t>파괴광선</t>
        </is>
      </c>
      <c r="I64" s="29" t="inlineStr">
        <is>
          <t>破壞光線</t>
        </is>
      </c>
      <c r="J64" s="29">
        <f>IFERROR(__xludf.DUMMYFUNCTION("GOOGLETRANSLATE(I64,""zh_HANT"",""zh_HANS"")"),"破坏光线")</f>
        <v/>
      </c>
      <c r="K64" s="29">
        <f>F64</f>
        <v/>
      </c>
    </row>
    <row r="65">
      <c r="A65" s="29">
        <f>CONCATENATE("NAME_MOVE_", SUBSTITUTE(SUBSTITUTE(UPPER(B65), " ", ""), "-", ""))</f>
        <v/>
      </c>
      <c r="B65" s="29" t="inlineStr">
        <is>
          <t>Peck</t>
        </is>
      </c>
      <c r="C65" s="29" t="inlineStr">
        <is>
          <t>つつく</t>
        </is>
      </c>
      <c r="D65" s="29" t="inlineStr">
        <is>
          <t>Picpic</t>
        </is>
      </c>
      <c r="E65" s="29" t="inlineStr">
        <is>
          <t>Pikser</t>
        </is>
      </c>
      <c r="F65" s="29" t="inlineStr">
        <is>
          <t>Picotazo</t>
        </is>
      </c>
      <c r="G65" s="29" t="inlineStr">
        <is>
          <t>Beccata</t>
        </is>
      </c>
      <c r="H65" s="29" t="inlineStr">
        <is>
          <t>쪼기</t>
        </is>
      </c>
      <c r="I65" s="29" t="inlineStr">
        <is>
          <t>啄</t>
        </is>
      </c>
      <c r="J65" s="29">
        <f>I65</f>
        <v/>
      </c>
      <c r="K65" s="29">
        <f>F65</f>
        <v/>
      </c>
    </row>
    <row r="66">
      <c r="A66" s="29">
        <f>CONCATENATE("NAME_MOVE_", SUBSTITUTE(SUBSTITUTE(UPPER(B66), " ", ""), "-", ""))</f>
        <v/>
      </c>
      <c r="B66" s="29" t="inlineStr">
        <is>
          <t>Drill Peck</t>
        </is>
      </c>
      <c r="C66" s="29" t="inlineStr">
        <is>
          <t>ドリルくちばし</t>
        </is>
      </c>
      <c r="D66" s="29" t="inlineStr">
        <is>
          <t>Bec Vrille</t>
        </is>
      </c>
      <c r="E66" s="29" t="inlineStr">
        <is>
          <t>Bohrschnabel</t>
        </is>
      </c>
      <c r="F66" s="29" t="inlineStr">
        <is>
          <t>Pico Taladro</t>
        </is>
      </c>
      <c r="G66" s="29" t="inlineStr">
        <is>
          <t>Perforbecco</t>
        </is>
      </c>
      <c r="H66" s="29" t="inlineStr">
        <is>
          <t>회전부리</t>
        </is>
      </c>
      <c r="I66" s="29" t="inlineStr">
        <is>
          <t>啄鑽</t>
        </is>
      </c>
      <c r="J66" s="29">
        <f>IFERROR(__xludf.DUMMYFUNCTION("GOOGLETRANSLATE(I66,""zh_HANT"",""zh_HANS"")"),"啄钻")</f>
        <v/>
      </c>
      <c r="K66" s="29">
        <f>F66</f>
        <v/>
      </c>
    </row>
    <row r="67">
      <c r="A67" s="29">
        <f>CONCATENATE("NAME_MOVE_", SUBSTITUTE(SUBSTITUTE(UPPER(B67), " ", ""), "-", ""))</f>
        <v/>
      </c>
      <c r="B67" s="29" t="inlineStr">
        <is>
          <t>Submission</t>
        </is>
      </c>
      <c r="C67" s="29" t="inlineStr">
        <is>
          <t>じごくぐるま</t>
        </is>
      </c>
      <c r="D67" s="29" t="inlineStr">
        <is>
          <t>Sacrifice</t>
        </is>
      </c>
      <c r="E67" s="29" t="inlineStr">
        <is>
          <t>Überroller</t>
        </is>
      </c>
      <c r="F67" s="29" t="inlineStr">
        <is>
          <t>Sumisión</t>
        </is>
      </c>
      <c r="G67" s="29" t="inlineStr">
        <is>
          <t>Sottomissione</t>
        </is>
      </c>
      <c r="H67" s="29" t="inlineStr">
        <is>
          <t>지옥의바퀴</t>
        </is>
      </c>
      <c r="I67" s="29" t="inlineStr">
        <is>
          <t>地獄翻滾</t>
        </is>
      </c>
      <c r="J67" s="29" t="inlineStr">
        <is>
          <t>深渊翻滚</t>
        </is>
      </c>
      <c r="K67" s="29">
        <f>F67</f>
        <v/>
      </c>
    </row>
    <row r="68">
      <c r="A68" s="29">
        <f>CONCATENATE("NAME_MOVE_", SUBSTITUTE(SUBSTITUTE(UPPER(B68), " ", ""), "-", ""))</f>
        <v/>
      </c>
      <c r="B68" s="29" t="inlineStr">
        <is>
          <t>Low Kick</t>
        </is>
      </c>
      <c r="C68" s="29" t="inlineStr">
        <is>
          <t>けたぐり</t>
        </is>
      </c>
      <c r="D68" s="29" t="inlineStr">
        <is>
          <t>Balayage</t>
        </is>
      </c>
      <c r="E68" s="29" t="inlineStr">
        <is>
          <t>Fußkick</t>
        </is>
      </c>
      <c r="F68" s="29" t="inlineStr">
        <is>
          <t>Patada Baja</t>
        </is>
      </c>
      <c r="G68" s="29" t="inlineStr">
        <is>
          <t>Colpo Basso</t>
        </is>
      </c>
      <c r="H68" s="29" t="inlineStr">
        <is>
          <t>안다리걸기</t>
        </is>
      </c>
      <c r="I68" s="29" t="inlineStr">
        <is>
          <t>踢倒</t>
        </is>
      </c>
      <c r="J68" s="29">
        <f>I68</f>
        <v/>
      </c>
      <c r="K68" s="29">
        <f>F68</f>
        <v/>
      </c>
    </row>
    <row r="69">
      <c r="A69" s="29">
        <f>CONCATENATE("NAME_MOVE_", SUBSTITUTE(SUBSTITUTE(UPPER(B69), " ", ""), "-", ""))</f>
        <v/>
      </c>
      <c r="B69" s="29" t="inlineStr">
        <is>
          <t>Counter</t>
        </is>
      </c>
      <c r="C69" s="29" t="inlineStr">
        <is>
          <t>カウンター</t>
        </is>
      </c>
      <c r="D69" s="29" t="inlineStr">
        <is>
          <t>Riposte</t>
        </is>
      </c>
      <c r="E69" s="29" t="inlineStr">
        <is>
          <t>Konter</t>
        </is>
      </c>
      <c r="F69" s="29" t="inlineStr">
        <is>
          <t>Contraataque</t>
        </is>
      </c>
      <c r="G69" s="29" t="inlineStr">
        <is>
          <t>Contrattacco</t>
        </is>
      </c>
      <c r="H69" s="29" t="inlineStr">
        <is>
          <t>카운터</t>
        </is>
      </c>
      <c r="I69" s="29" t="inlineStr">
        <is>
          <t>雙倍奉還</t>
        </is>
      </c>
      <c r="J69" s="29">
        <f>IFERROR(__xludf.DUMMYFUNCTION("GOOGLETRANSLATE(I69,""zh_HANT"",""zh_HANS"")"),"双倍奉还")</f>
        <v/>
      </c>
      <c r="K69" s="29">
        <f>F69</f>
        <v/>
      </c>
    </row>
    <row r="70">
      <c r="A70" s="29">
        <f>CONCATENATE("NAME_MOVE_", SUBSTITUTE(SUBSTITUTE(UPPER(B70), " ", ""), "-", ""))</f>
        <v/>
      </c>
      <c r="B70" s="29" t="inlineStr">
        <is>
          <t>Seismic Toss</t>
        </is>
      </c>
      <c r="C70" s="29" t="inlineStr">
        <is>
          <t>ちきゅうなげ</t>
        </is>
      </c>
      <c r="D70" s="29" t="inlineStr">
        <is>
          <t>Frappe Atlas</t>
        </is>
      </c>
      <c r="E70" s="29" t="inlineStr">
        <is>
          <t>Geowurf</t>
        </is>
      </c>
      <c r="F70" s="29" t="inlineStr">
        <is>
          <t>Sísmico</t>
        </is>
      </c>
      <c r="G70" s="29" t="inlineStr">
        <is>
          <t>Movim. Sismico</t>
        </is>
      </c>
      <c r="H70" s="29" t="inlineStr">
        <is>
          <t>지구던지기</t>
        </is>
      </c>
      <c r="I70" s="29" t="inlineStr">
        <is>
          <t>地球上投</t>
        </is>
      </c>
      <c r="J70" s="29">
        <f>I70</f>
        <v/>
      </c>
      <c r="K70" s="29">
        <f>F70</f>
        <v/>
      </c>
    </row>
    <row r="71">
      <c r="A71" s="29">
        <f>CONCATENATE("NAME_MOVE_", SUBSTITUTE(SUBSTITUTE(UPPER(B71), " ", ""), "-", ""))</f>
        <v/>
      </c>
      <c r="B71" s="29" t="inlineStr">
        <is>
          <t>Strength</t>
        </is>
      </c>
      <c r="C71" s="29" t="inlineStr">
        <is>
          <t>かいりき</t>
        </is>
      </c>
      <c r="D71" s="29" t="inlineStr">
        <is>
          <t>Force</t>
        </is>
      </c>
      <c r="E71" s="29" t="inlineStr">
        <is>
          <t>Stärke</t>
        </is>
      </c>
      <c r="F71" s="29" t="inlineStr">
        <is>
          <t>Fuerza</t>
        </is>
      </c>
      <c r="G71" s="29" t="inlineStr">
        <is>
          <t>Forza</t>
        </is>
      </c>
      <c r="H71" s="29" t="inlineStr">
        <is>
          <t>괴력</t>
        </is>
      </c>
      <c r="I71" s="29" t="inlineStr">
        <is>
          <t>怪力</t>
        </is>
      </c>
      <c r="J71" s="29">
        <f>I71</f>
        <v/>
      </c>
      <c r="K71" s="29">
        <f>F71</f>
        <v/>
      </c>
    </row>
    <row r="72">
      <c r="A72" s="29">
        <f>CONCATENATE("NAME_MOVE_", SUBSTITUTE(SUBSTITUTE(UPPER(B72), " ", ""), "-", ""))</f>
        <v/>
      </c>
      <c r="B72" s="29" t="inlineStr">
        <is>
          <t>Absorb</t>
        </is>
      </c>
      <c r="C72" s="29" t="inlineStr">
        <is>
          <t>すいとる</t>
        </is>
      </c>
      <c r="D72" s="29" t="inlineStr">
        <is>
          <t>Vole-Vie</t>
        </is>
      </c>
      <c r="E72" s="29">
        <f>CONCATENATE(B72,"er")</f>
        <v/>
      </c>
      <c r="F72" s="29" t="inlineStr">
        <is>
          <t>Absorber</t>
        </is>
      </c>
      <c r="G72" s="29" t="inlineStr">
        <is>
          <t>Assorbimento</t>
        </is>
      </c>
      <c r="H72" s="29" t="inlineStr">
        <is>
          <t>흡수</t>
        </is>
      </c>
      <c r="I72" s="29" t="inlineStr">
        <is>
          <t>吸取</t>
        </is>
      </c>
      <c r="J72" s="29">
        <f>I72</f>
        <v/>
      </c>
      <c r="K72" s="29">
        <f>F72</f>
        <v/>
      </c>
    </row>
    <row r="73">
      <c r="A73" s="29">
        <f>CONCATENATE("NAME_MOVE_", SUBSTITUTE(SUBSTITUTE(UPPER(B73), " ", ""), "-", ""))</f>
        <v/>
      </c>
      <c r="B73" s="29" t="inlineStr">
        <is>
          <t>Mega Drain</t>
        </is>
      </c>
      <c r="C73" s="29" t="inlineStr">
        <is>
          <t>メガドレイン</t>
        </is>
      </c>
      <c r="D73" s="29" t="inlineStr">
        <is>
          <t>Mega-Sangsue</t>
        </is>
      </c>
      <c r="E73" s="29" t="inlineStr">
        <is>
          <t>Megasauger</t>
        </is>
      </c>
      <c r="F73" s="29" t="inlineStr">
        <is>
          <t>Megaagotar</t>
        </is>
      </c>
      <c r="G73" s="29" t="inlineStr">
        <is>
          <t>Megassorbimento</t>
        </is>
      </c>
      <c r="H73" s="29" t="inlineStr">
        <is>
          <t>메가드레인</t>
        </is>
      </c>
      <c r="I73" s="29" t="inlineStr">
        <is>
          <t>超級吸取</t>
        </is>
      </c>
      <c r="J73" s="29">
        <f>IFERROR(__xludf.DUMMYFUNCTION("GOOGLETRANSLATE(I73,""zh_HANT"",""zh_HANS"")"),"超级吸取")</f>
        <v/>
      </c>
      <c r="K73" s="29">
        <f>F73</f>
        <v/>
      </c>
    </row>
    <row r="74">
      <c r="A74" s="29">
        <f>CONCATENATE("NAME_MOVE_", SUBSTITUTE(SUBSTITUTE(UPPER(B74), " ", ""), "-", ""))</f>
        <v/>
      </c>
      <c r="B74" s="29" t="inlineStr">
        <is>
          <t>Leech Seed</t>
        </is>
      </c>
      <c r="C74" s="29" t="inlineStr">
        <is>
          <t>やどりぎのタネ</t>
        </is>
      </c>
      <c r="D74" s="29" t="inlineStr">
        <is>
          <t>Vampigraine</t>
        </is>
      </c>
      <c r="E74" s="29" t="inlineStr">
        <is>
          <t>Egelsamen</t>
        </is>
      </c>
      <c r="F74" s="29" t="inlineStr">
        <is>
          <t>Drenadoras</t>
        </is>
      </c>
      <c r="G74" s="29" t="inlineStr">
        <is>
          <t>Parassiseme</t>
        </is>
      </c>
      <c r="H74" s="29" t="inlineStr">
        <is>
          <t>씨뿌리기</t>
        </is>
      </c>
      <c r="I74" s="29" t="inlineStr">
        <is>
          <t>寄生種子</t>
        </is>
      </c>
      <c r="J74" s="29">
        <f>IFERROR(__xludf.DUMMYFUNCTION("GOOGLETRANSLATE(I74,""zh_HANT"",""zh_HANS"")"),"寄生种子")</f>
        <v/>
      </c>
      <c r="K74" s="29">
        <f>F74</f>
        <v/>
      </c>
    </row>
    <row r="75">
      <c r="A75" s="29">
        <f>CONCATENATE("NAME_MOVE_", SUBSTITUTE(SUBSTITUTE(UPPER(B75), " ", ""), "-", ""))</f>
        <v/>
      </c>
      <c r="B75" s="29" t="inlineStr">
        <is>
          <t>Growth</t>
        </is>
      </c>
      <c r="C75" s="29" t="inlineStr">
        <is>
          <t>せいちょう</t>
        </is>
      </c>
      <c r="D75" s="29" t="inlineStr">
        <is>
          <t>Croissance</t>
        </is>
      </c>
      <c r="E75" s="29" t="inlineStr">
        <is>
          <t>Wachstum</t>
        </is>
      </c>
      <c r="F75" s="29" t="inlineStr">
        <is>
          <t>Desarrollo</t>
        </is>
      </c>
      <c r="G75" s="29" t="inlineStr">
        <is>
          <t>Crescita</t>
        </is>
      </c>
      <c r="H75" s="29" t="inlineStr">
        <is>
          <t>성장</t>
        </is>
      </c>
      <c r="I75" s="29" t="inlineStr">
        <is>
          <t>生長</t>
        </is>
      </c>
      <c r="J75" s="29">
        <f>IFERROR(__xludf.DUMMYFUNCTION("GOOGLETRANSLATE(I75,""zh_HANT"",""zh_HANS"")"),"生长")</f>
        <v/>
      </c>
      <c r="K75" s="29">
        <f>F75</f>
        <v/>
      </c>
    </row>
    <row r="76">
      <c r="A76" s="29">
        <f>CONCATENATE("NAME_MOVE_", SUBSTITUTE(SUBSTITUTE(UPPER(B76), " ", ""), "-", ""))</f>
        <v/>
      </c>
      <c r="B76" s="29" t="inlineStr">
        <is>
          <t>Razor Leaf</t>
        </is>
      </c>
      <c r="C76" s="29" t="inlineStr">
        <is>
          <t>はっぱカッター</t>
        </is>
      </c>
      <c r="D76" s="29" t="inlineStr">
        <is>
          <t>Tranch'Herbe</t>
        </is>
      </c>
      <c r="E76" s="29" t="inlineStr">
        <is>
          <t>Rasierblatt</t>
        </is>
      </c>
      <c r="F76" s="29" t="inlineStr">
        <is>
          <t>Hoja Afilada</t>
        </is>
      </c>
      <c r="G76" s="29" t="inlineStr">
        <is>
          <t>Foglielama</t>
        </is>
      </c>
      <c r="H76" s="29" t="inlineStr">
        <is>
          <t>잎날가르기</t>
        </is>
      </c>
      <c r="I76" s="29" t="inlineStr">
        <is>
          <t>飛葉快刀</t>
        </is>
      </c>
      <c r="J76" s="29">
        <f>IFERROR(__xludf.DUMMYFUNCTION("GOOGLETRANSLATE(I76,""zh_HANT"",""zh_HANS"")"),"飞叶快刀")</f>
        <v/>
      </c>
      <c r="K76" s="29">
        <f>F76</f>
        <v/>
      </c>
    </row>
    <row r="77">
      <c r="A77" s="29">
        <f>CONCATENATE("NAME_MOVE_", SUBSTITUTE(SUBSTITUTE(UPPER(B77), " ", ""), "-", ""))</f>
        <v/>
      </c>
      <c r="B77" s="29" t="inlineStr">
        <is>
          <t>Solar Beam</t>
        </is>
      </c>
      <c r="C77" s="29" t="inlineStr">
        <is>
          <t>ソーラービーム</t>
        </is>
      </c>
      <c r="D77" s="29" t="inlineStr">
        <is>
          <t>Lance-Soleil</t>
        </is>
      </c>
      <c r="E77" s="29" t="inlineStr">
        <is>
          <t>Solarstrahl</t>
        </is>
      </c>
      <c r="F77" s="29" t="inlineStr">
        <is>
          <t>Rayo Solar</t>
        </is>
      </c>
      <c r="G77" s="29" t="inlineStr">
        <is>
          <t>Solarraggio</t>
        </is>
      </c>
      <c r="H77" s="29" t="inlineStr">
        <is>
          <t>솔라빔</t>
        </is>
      </c>
      <c r="I77" s="29" t="inlineStr">
        <is>
          <t>日光束</t>
        </is>
      </c>
      <c r="J77" s="29">
        <f>I77</f>
        <v/>
      </c>
      <c r="K77" s="29">
        <f>F77</f>
        <v/>
      </c>
    </row>
    <row r="78">
      <c r="A78" s="29">
        <f>CONCATENATE("NAME_MOVE_", SUBSTITUTE(SUBSTITUTE(UPPER(B78), " ", ""), "-", ""))</f>
        <v/>
      </c>
      <c r="B78" s="29" t="inlineStr">
        <is>
          <t>Poison Powder</t>
        </is>
      </c>
      <c r="C78" s="29" t="inlineStr">
        <is>
          <t>どくのこな</t>
        </is>
      </c>
      <c r="D78" s="29" t="inlineStr">
        <is>
          <t>Poudre Toxik</t>
        </is>
      </c>
      <c r="E78" s="29" t="inlineStr">
        <is>
          <t>Giftpuder</t>
        </is>
      </c>
      <c r="F78" s="29" t="inlineStr">
        <is>
          <t>Polvo Veneno</t>
        </is>
      </c>
      <c r="G78" s="29" t="inlineStr">
        <is>
          <t>Velenpolvere</t>
        </is>
      </c>
      <c r="H78" s="29" t="inlineStr">
        <is>
          <t>독가루</t>
        </is>
      </c>
      <c r="I78" s="29" t="inlineStr">
        <is>
          <t>毒粉</t>
        </is>
      </c>
      <c r="J78" s="29">
        <f>I78</f>
        <v/>
      </c>
      <c r="K78" s="29">
        <f>F78</f>
        <v/>
      </c>
    </row>
    <row r="79">
      <c r="A79" s="29">
        <f>CONCATENATE("NAME_MOVE_", SUBSTITUTE(SUBSTITUTE(UPPER(B79), " ", ""), "-", ""))</f>
        <v/>
      </c>
      <c r="B79" s="29" t="inlineStr">
        <is>
          <t>Stun Spore</t>
        </is>
      </c>
      <c r="C79" s="29" t="inlineStr">
        <is>
          <t>しびれごな</t>
        </is>
      </c>
      <c r="D79" s="29" t="inlineStr">
        <is>
          <t>Para-Spore</t>
        </is>
      </c>
      <c r="E79" s="29" t="inlineStr">
        <is>
          <t>Stachelspore</t>
        </is>
      </c>
      <c r="F79" s="29" t="inlineStr">
        <is>
          <t>Paralizador</t>
        </is>
      </c>
      <c r="G79" s="29" t="inlineStr">
        <is>
          <t>Paralizzante</t>
        </is>
      </c>
      <c r="H79" s="29" t="inlineStr">
        <is>
          <t>저리가루</t>
        </is>
      </c>
      <c r="I79" s="29" t="inlineStr">
        <is>
          <t>麻痺粉</t>
        </is>
      </c>
      <c r="J79" s="29">
        <f>I79</f>
        <v/>
      </c>
      <c r="K79" s="29">
        <f>F79</f>
        <v/>
      </c>
    </row>
    <row r="80">
      <c r="A80" s="29">
        <f>CONCATENATE("NAME_MOVE_", SUBSTITUTE(SUBSTITUTE(UPPER(B80), " ", ""), "-", ""))</f>
        <v/>
      </c>
      <c r="B80" s="29" t="inlineStr">
        <is>
          <t>Sleep Powder</t>
        </is>
      </c>
      <c r="C80" s="29" t="inlineStr">
        <is>
          <t>ねむりごな</t>
        </is>
      </c>
      <c r="D80" s="29" t="inlineStr">
        <is>
          <t>Poudre Dodo</t>
        </is>
      </c>
      <c r="E80" s="29" t="inlineStr">
        <is>
          <t>Schlafpuder</t>
        </is>
      </c>
      <c r="F80" s="29" t="inlineStr">
        <is>
          <t>Somnífero</t>
        </is>
      </c>
      <c r="G80" s="29" t="inlineStr">
        <is>
          <t>Sonnifero</t>
        </is>
      </c>
      <c r="H80" s="29" t="inlineStr">
        <is>
          <t>수면가루</t>
        </is>
      </c>
      <c r="I80" s="29" t="inlineStr">
        <is>
          <t>催眠粉</t>
        </is>
      </c>
      <c r="J80" s="29">
        <f>I80</f>
        <v/>
      </c>
      <c r="K80" s="29">
        <f>F80</f>
        <v/>
      </c>
    </row>
    <row r="81">
      <c r="A81" s="29">
        <f>CONCATENATE("NAME_MOVE_", SUBSTITUTE(SUBSTITUTE(UPPER(B81), " ", ""), "-", ""))</f>
        <v/>
      </c>
      <c r="B81" s="29" t="inlineStr">
        <is>
          <t>Petal Dance</t>
        </is>
      </c>
      <c r="C81" s="29" t="inlineStr">
        <is>
          <t>はなびらのまい</t>
        </is>
      </c>
      <c r="D81" s="29" t="inlineStr">
        <is>
          <t>Danse-Fleur</t>
        </is>
      </c>
      <c r="E81" s="29" t="inlineStr">
        <is>
          <t>Blättertanz</t>
        </is>
      </c>
      <c r="F81" s="29" t="inlineStr">
        <is>
          <t>Danza Pétalo</t>
        </is>
      </c>
      <c r="G81" s="29" t="inlineStr">
        <is>
          <t>Petalodanza</t>
        </is>
      </c>
      <c r="H81" s="29" t="inlineStr">
        <is>
          <t>꽃잎댄스</t>
        </is>
      </c>
      <c r="I81" s="29" t="inlineStr">
        <is>
          <t>花瓣舞</t>
        </is>
      </c>
      <c r="J81" s="29">
        <f>I81</f>
        <v/>
      </c>
      <c r="K81" s="29">
        <f>F81</f>
        <v/>
      </c>
    </row>
    <row r="82">
      <c r="A82" s="29">
        <f>CONCATENATE("NAME_MOVE_", SUBSTITUTE(SUBSTITUTE(UPPER(B82), " ", ""), "-", ""))</f>
        <v/>
      </c>
      <c r="B82" s="29" t="inlineStr">
        <is>
          <t>String Shot</t>
        </is>
      </c>
      <c r="C82" s="29" t="inlineStr">
        <is>
          <t>いとおはく</t>
        </is>
      </c>
      <c r="D82" s="29" t="inlineStr">
        <is>
          <t>Sécrétion</t>
        </is>
      </c>
      <c r="E82" s="29" t="inlineStr">
        <is>
          <t>Fadenschuss</t>
        </is>
      </c>
      <c r="F82" s="29" t="inlineStr">
        <is>
          <t>Disp. Demora</t>
        </is>
      </c>
      <c r="G82" s="29" t="inlineStr">
        <is>
          <t>Millebave</t>
        </is>
      </c>
      <c r="H82" s="29" t="inlineStr">
        <is>
          <t>실뿜기</t>
        </is>
      </c>
      <c r="I82" s="29" t="inlineStr">
        <is>
          <t>吐絲</t>
        </is>
      </c>
      <c r="J82" s="29">
        <f>IFERROR(__xludf.DUMMYFUNCTION("GOOGLETRANSLATE(I82,""zh_HANT"",""zh_HANS"")"),"吐丝")</f>
        <v/>
      </c>
      <c r="K82" s="29">
        <f>F82</f>
        <v/>
      </c>
    </row>
    <row r="83">
      <c r="A83" s="29">
        <f>CONCATENATE("NAME_MOVE_", SUBSTITUTE(SUBSTITUTE(UPPER(B83), " ", ""), "-", ""))</f>
        <v/>
      </c>
      <c r="B83" s="29" t="inlineStr">
        <is>
          <t>Dragon Rage</t>
        </is>
      </c>
      <c r="C83" s="29" t="inlineStr">
        <is>
          <t>りゅうのいかり</t>
        </is>
      </c>
      <c r="D83" s="29" t="inlineStr">
        <is>
          <t>Draco-Rage</t>
        </is>
      </c>
      <c r="E83" s="29" t="inlineStr">
        <is>
          <t>Drachenwut</t>
        </is>
      </c>
      <c r="F83" s="29" t="inlineStr">
        <is>
          <t>Furia Dragón</t>
        </is>
      </c>
      <c r="G83" s="29" t="inlineStr">
        <is>
          <t>Ira di Drago</t>
        </is>
      </c>
      <c r="H83" s="29" t="inlineStr">
        <is>
          <t>용의분노</t>
        </is>
      </c>
      <c r="I83" s="29" t="inlineStr">
        <is>
          <t>龍之怒</t>
        </is>
      </c>
      <c r="J83" s="29">
        <f>IFERROR(__xludf.DUMMYFUNCTION("GOOGLETRANSLATE(I83,""zh_HANT"",""zh_HANS"")"),"龙之怒")</f>
        <v/>
      </c>
      <c r="K83" s="29">
        <f>F83</f>
        <v/>
      </c>
    </row>
    <row r="84">
      <c r="A84" s="29">
        <f>CONCATENATE("NAME_MOVE_", SUBSTITUTE(SUBSTITUTE(UPPER(B84), " ", ""), "-", ""))</f>
        <v/>
      </c>
      <c r="B84" s="29" t="inlineStr">
        <is>
          <t>Fire Spin</t>
        </is>
      </c>
      <c r="C84" s="29" t="inlineStr">
        <is>
          <t>ほのおのうず</t>
        </is>
      </c>
      <c r="D84" s="29" t="inlineStr">
        <is>
          <t>Danse Flammes</t>
        </is>
      </c>
      <c r="E84" s="29" t="inlineStr">
        <is>
          <t>Feuerwirbel</t>
        </is>
      </c>
      <c r="F84" s="29" t="inlineStr">
        <is>
          <t>Giro Fuego</t>
        </is>
      </c>
      <c r="G84" s="29" t="inlineStr">
        <is>
          <t>Turbofuoco</t>
        </is>
      </c>
      <c r="H84" s="29" t="inlineStr">
        <is>
          <t>회오리불꽃</t>
        </is>
      </c>
      <c r="I84" s="29" t="inlineStr">
        <is>
          <t>火焰旋渦</t>
        </is>
      </c>
      <c r="J84" s="29">
        <f>IFERROR(__xludf.DUMMYFUNCTION("GOOGLETRANSLATE(I84,""zh_HANT"",""zh_HANS"")"),"火焰旋涡")</f>
        <v/>
      </c>
      <c r="K84" s="29">
        <f>F84</f>
        <v/>
      </c>
    </row>
    <row r="85">
      <c r="A85" s="29">
        <f>CONCATENATE("NAME_MOVE_", SUBSTITUTE(SUBSTITUTE(UPPER(B85), " ", ""), "-", ""))</f>
        <v/>
      </c>
      <c r="B85" s="29" t="inlineStr">
        <is>
          <t>Thunder Shock</t>
        </is>
      </c>
      <c r="C85" s="29" t="inlineStr">
        <is>
          <t>でんきショック</t>
        </is>
      </c>
      <c r="D85" s="29" t="inlineStr">
        <is>
          <t>Éclair</t>
        </is>
      </c>
      <c r="E85" s="29" t="inlineStr">
        <is>
          <t>Donnerschock</t>
        </is>
      </c>
      <c r="F85" s="29" t="inlineStr">
        <is>
          <t>Impactrueno</t>
        </is>
      </c>
      <c r="G85" s="29">
        <f>CONCATENATE(G88,"shock")</f>
        <v/>
      </c>
      <c r="H85" s="29" t="inlineStr">
        <is>
          <t>전기쇼크</t>
        </is>
      </c>
      <c r="I85" s="29" t="inlineStr">
        <is>
          <t>電擊</t>
        </is>
      </c>
      <c r="J85" s="29">
        <f>IFERROR(__xludf.DUMMYFUNCTION("GOOGLETRANSLATE(I85,""zh_HANT"",""zh_HANS"")"),"电击")</f>
        <v/>
      </c>
      <c r="K85" s="29">
        <f>F85</f>
        <v/>
      </c>
    </row>
    <row r="86">
      <c r="A86" s="29">
        <f>CONCATENATE("NAME_MOVE_", SUBSTITUTE(SUBSTITUTE(UPPER(B86), " ", ""), "-", ""))</f>
        <v/>
      </c>
      <c r="B86" s="29" t="inlineStr">
        <is>
          <t>Thunderbolt</t>
        </is>
      </c>
      <c r="C86" s="29" t="inlineStr">
        <is>
          <t>１０まいボルト</t>
        </is>
      </c>
      <c r="D86" s="29" t="inlineStr">
        <is>
          <t>Tonnerre</t>
        </is>
      </c>
      <c r="E86" s="29" t="inlineStr">
        <is>
          <t>Donnerblitz</t>
        </is>
      </c>
      <c r="F86" s="29" t="inlineStr">
        <is>
          <t>Rayo</t>
        </is>
      </c>
      <c r="G86" s="29" t="inlineStr">
        <is>
          <t>Fulmine</t>
        </is>
      </c>
      <c r="H86" s="29" t="inlineStr">
        <is>
          <t>１０만볼트</t>
        </is>
      </c>
      <c r="I86" s="29" t="inlineStr">
        <is>
          <t>十萬伏特</t>
        </is>
      </c>
      <c r="J86" s="29">
        <f>IFERROR(__xludf.DUMMYFUNCTION("GOOGLETRANSLATE(I86,""zh_HANT"",""zh_HANS"")"),"十万伏特")</f>
        <v/>
      </c>
      <c r="K86" s="29">
        <f>F86</f>
        <v/>
      </c>
    </row>
    <row r="87">
      <c r="A87" s="29">
        <f>CONCATENATE("NAME_MOVE_", SUBSTITUTE(SUBSTITUTE(UPPER(B87), " ", ""), "-", ""))</f>
        <v/>
      </c>
      <c r="B87" s="29" t="inlineStr">
        <is>
          <t>Thunder Wave</t>
        </is>
      </c>
      <c r="C87" s="29" t="inlineStr">
        <is>
          <t>でんじは</t>
        </is>
      </c>
      <c r="D87" s="29" t="inlineStr">
        <is>
          <t>Cage-Éclair</t>
        </is>
      </c>
      <c r="E87" s="29" t="inlineStr">
        <is>
          <t>Donnerwelle</t>
        </is>
      </c>
      <c r="F87" s="29" t="inlineStr">
        <is>
          <t>Onda Trueno</t>
        </is>
      </c>
      <c r="G87" s="29">
        <f>CONCATENATE(G88,"nda")</f>
        <v/>
      </c>
      <c r="H87" s="29" t="inlineStr">
        <is>
          <t>전기자석파</t>
        </is>
      </c>
      <c r="I87" s="29" t="inlineStr">
        <is>
          <t>電磁波</t>
        </is>
      </c>
      <c r="J87" s="29">
        <f>IFERROR(__xludf.DUMMYFUNCTION("GOOGLETRANSLATE(I87,""zh_HANT"",""zh_HANS"")"),"电磁波")</f>
        <v/>
      </c>
      <c r="K87" s="29">
        <f>F87</f>
        <v/>
      </c>
    </row>
    <row r="88">
      <c r="A88" s="29">
        <f>CONCATENATE("NAME_MOVE_", SUBSTITUTE(SUBSTITUTE(UPPER(B88), " ", ""), "-", ""))</f>
        <v/>
      </c>
      <c r="B88" s="29" t="inlineStr">
        <is>
          <t>Thunder</t>
        </is>
      </c>
      <c r="C88" s="29" t="inlineStr">
        <is>
          <t>かみなり</t>
        </is>
      </c>
      <c r="D88" s="29" t="inlineStr">
        <is>
          <t>Fatal-Foudre</t>
        </is>
      </c>
      <c r="E88" s="29" t="inlineStr">
        <is>
          <t>Donner</t>
        </is>
      </c>
      <c r="F88" s="29" t="inlineStr">
        <is>
          <t>Trueno</t>
        </is>
      </c>
      <c r="G88" s="29" t="inlineStr">
        <is>
          <t>Tuono</t>
        </is>
      </c>
      <c r="H88" s="29" t="inlineStr">
        <is>
          <t>번개</t>
        </is>
      </c>
      <c r="I88" s="29" t="inlineStr">
        <is>
          <t>打雷</t>
        </is>
      </c>
      <c r="J88" s="29">
        <f>IFERROR(__xludf.DUMMYFUNCTION("GOOGLETRANSLATE(I88,""zh_HANT"",""zh_HANS"")"),"打雷")</f>
        <v/>
      </c>
      <c r="K88" s="29">
        <f>F88</f>
        <v/>
      </c>
    </row>
    <row r="89">
      <c r="A89" s="29">
        <f>CONCATENATE("NAME_MOVE_", SUBSTITUTE(SUBSTITUTE(UPPER(B89), " ", ""), "-", ""))</f>
        <v/>
      </c>
      <c r="B89" s="29" t="inlineStr">
        <is>
          <t>Rock Throw</t>
        </is>
      </c>
      <c r="C89" s="29" t="inlineStr">
        <is>
          <t>いわおとし</t>
        </is>
      </c>
      <c r="D89" s="29" t="inlineStr">
        <is>
          <t>Jet-Pierre</t>
        </is>
      </c>
      <c r="E89" s="29" t="inlineStr">
        <is>
          <t>Steinwurf</t>
        </is>
      </c>
      <c r="F89" s="29" t="inlineStr">
        <is>
          <t>Lanzarrocas</t>
        </is>
      </c>
      <c r="G89" s="29" t="inlineStr">
        <is>
          <t>Sassata</t>
        </is>
      </c>
      <c r="H89" s="29" t="inlineStr">
        <is>
          <t>돌떨구기</t>
        </is>
      </c>
      <c r="I89" s="29" t="inlineStr">
        <is>
          <t>落石</t>
        </is>
      </c>
      <c r="J89" s="29">
        <f>IFERROR(__xludf.DUMMYFUNCTION("GOOGLETRANSLATE(I89,""zh_HANT"",""zh_HANS"")"),"落石")</f>
        <v/>
      </c>
      <c r="K89" s="29">
        <f>F89</f>
        <v/>
      </c>
    </row>
    <row r="90">
      <c r="A90" s="29">
        <f>CONCATENATE("NAME_MOVE_", SUBSTITUTE(SUBSTITUTE(UPPER(B90), " ", ""), "-", ""))</f>
        <v/>
      </c>
      <c r="B90" s="29" t="inlineStr">
        <is>
          <t>Earthquake</t>
        </is>
      </c>
      <c r="C90" s="29" t="inlineStr">
        <is>
          <t>じしん</t>
        </is>
      </c>
      <c r="D90" s="29" t="inlineStr">
        <is>
          <t>Séisme</t>
        </is>
      </c>
      <c r="E90" s="29" t="inlineStr">
        <is>
          <t>Erdbeben</t>
        </is>
      </c>
      <c r="F90" s="29" t="inlineStr">
        <is>
          <t>Terremoto</t>
        </is>
      </c>
      <c r="G90" s="29">
        <f>F90</f>
        <v/>
      </c>
      <c r="H90" s="29" t="inlineStr">
        <is>
          <t>지진</t>
        </is>
      </c>
      <c r="I90" s="29" t="inlineStr">
        <is>
          <t>地震</t>
        </is>
      </c>
      <c r="J90" s="29">
        <f>IFERROR(__xludf.DUMMYFUNCTION("GOOGLETRANSLATE(I90,""zh_HANT"",""zh_HANS"")"),"地震")</f>
        <v/>
      </c>
      <c r="K90" s="29">
        <f>F90</f>
        <v/>
      </c>
    </row>
    <row r="91">
      <c r="A91" s="29">
        <f>CONCATENATE("NAME_MOVE_", SUBSTITUTE(SUBSTITUTE(UPPER(B91), " ", ""), "-", ""))</f>
        <v/>
      </c>
      <c r="B91" s="29" t="inlineStr">
        <is>
          <t>Fissure</t>
        </is>
      </c>
      <c r="C91" s="29" t="inlineStr">
        <is>
          <t>じわれ</t>
        </is>
      </c>
      <c r="D91" s="29" t="inlineStr">
        <is>
          <t>Abîme</t>
        </is>
      </c>
      <c r="E91" s="29" t="inlineStr">
        <is>
          <t>Geofissur</t>
        </is>
      </c>
      <c r="F91" s="29" t="inlineStr">
        <is>
          <t>Fisura</t>
        </is>
      </c>
      <c r="G91" s="29" t="inlineStr">
        <is>
          <t>Abisso</t>
        </is>
      </c>
      <c r="H91" s="29" t="inlineStr">
        <is>
          <t>땅가르기</t>
        </is>
      </c>
      <c r="I91" s="29" t="inlineStr">
        <is>
          <t>地裂</t>
        </is>
      </c>
      <c r="J91" s="29">
        <f>IFERROR(__xludf.DUMMYFUNCTION("GOOGLETRANSLATE(I91,""zh_HANT"",""zh_HANS"")"),"地裂")</f>
        <v/>
      </c>
      <c r="K91" s="29">
        <f>F91</f>
        <v/>
      </c>
    </row>
    <row r="92">
      <c r="A92" s="29">
        <f>CONCATENATE("NAME_MOVE_", SUBSTITUTE(SUBSTITUTE(UPPER(B92), " ", ""), "-", ""))</f>
        <v/>
      </c>
      <c r="B92" s="29" t="inlineStr">
        <is>
          <t>Dig</t>
        </is>
      </c>
      <c r="C92" s="29" t="inlineStr">
        <is>
          <t>あなをほる</t>
        </is>
      </c>
      <c r="D92" s="29" t="inlineStr">
        <is>
          <t>Tunnel</t>
        </is>
      </c>
      <c r="E92" s="29" t="inlineStr">
        <is>
          <t>Schaufler</t>
        </is>
      </c>
      <c r="F92" s="29" t="inlineStr">
        <is>
          <t>Excavar</t>
        </is>
      </c>
      <c r="G92" s="29" t="inlineStr">
        <is>
          <t>Fossa</t>
        </is>
      </c>
      <c r="H92" s="29" t="inlineStr">
        <is>
          <t>구멍파기</t>
        </is>
      </c>
      <c r="I92" s="29" t="inlineStr">
        <is>
          <t>挖洞</t>
        </is>
      </c>
      <c r="J92" s="29">
        <f>IFERROR(__xludf.DUMMYFUNCTION("GOOGLETRANSLATE(I92,""zh_HANT"",""zh_HANS"")"),"挖洞")</f>
        <v/>
      </c>
      <c r="K92" s="29">
        <f>F92</f>
        <v/>
      </c>
    </row>
    <row r="93">
      <c r="A93" s="29">
        <f>CONCATENATE("NAME_MOVE_", SUBSTITUTE(SUBSTITUTE(UPPER(B93), " ", ""), "-", ""))</f>
        <v/>
      </c>
      <c r="B93" s="29" t="inlineStr">
        <is>
          <t>Toxic</t>
        </is>
      </c>
      <c r="C93" s="29" t="inlineStr">
        <is>
          <t>どくどく</t>
        </is>
      </c>
      <c r="D93" s="29" t="inlineStr">
        <is>
          <t>Toxik</t>
        </is>
      </c>
      <c r="E93" s="29" t="inlineStr">
        <is>
          <t>Toxin</t>
        </is>
      </c>
      <c r="F93" s="29" t="inlineStr">
        <is>
          <t>Tóxico</t>
        </is>
      </c>
      <c r="G93" s="29" t="inlineStr">
        <is>
          <t>Tossina</t>
        </is>
      </c>
      <c r="H93" s="29" t="inlineStr">
        <is>
          <t>맹독</t>
        </is>
      </c>
      <c r="I93" s="29" t="inlineStr">
        <is>
          <t>劇毒</t>
        </is>
      </c>
      <c r="J93" s="29">
        <f>IFERROR(__xludf.DUMMYFUNCTION("GOOGLETRANSLATE(I93,""zh_HANT"",""zh_HANS"")"),"剧毒")</f>
        <v/>
      </c>
      <c r="K93" s="29">
        <f>F93</f>
        <v/>
      </c>
    </row>
    <row r="94">
      <c r="A94" s="29">
        <f>CONCATENATE("NAME_MOVE_", SUBSTITUTE(SUBSTITUTE(UPPER(B94), " ", ""), "-", ""))</f>
        <v/>
      </c>
      <c r="B94" s="29" t="inlineStr">
        <is>
          <t>Confusion</t>
        </is>
      </c>
      <c r="C94" s="29" t="inlineStr">
        <is>
          <t>ねんりき</t>
        </is>
      </c>
      <c r="D94" s="29" t="inlineStr">
        <is>
          <t>Choc Mental</t>
        </is>
      </c>
      <c r="E94" s="29" t="inlineStr">
        <is>
          <t>Konfusion</t>
        </is>
      </c>
      <c r="F94" s="29" t="inlineStr">
        <is>
          <t>Confusión</t>
        </is>
      </c>
      <c r="G94" s="29">
        <f>CONCATENATE(B94,"e")</f>
        <v/>
      </c>
      <c r="H94" s="29" t="inlineStr">
        <is>
          <t>염동력</t>
        </is>
      </c>
      <c r="I94" s="29" t="inlineStr">
        <is>
          <t>念力</t>
        </is>
      </c>
      <c r="J94" s="29">
        <f>I94</f>
        <v/>
      </c>
      <c r="K94" s="29">
        <f>F94</f>
        <v/>
      </c>
    </row>
    <row r="95">
      <c r="A95" s="29">
        <f>CONCATENATE("NAME_MOVE_", SUBSTITUTE(SUBSTITUTE(UPPER(B95), " ", ""), "-", ""))</f>
        <v/>
      </c>
      <c r="B95" s="29" t="inlineStr">
        <is>
          <t>Psychic</t>
        </is>
      </c>
      <c r="C95" s="29" t="inlineStr">
        <is>
          <t>サイコキネシス</t>
        </is>
      </c>
      <c r="D95" s="29" t="inlineStr">
        <is>
          <t>Psycho</t>
        </is>
      </c>
      <c r="E95" s="29" t="inlineStr">
        <is>
          <t>Psychokinese</t>
        </is>
      </c>
      <c r="F95" s="29" t="inlineStr">
        <is>
          <t>Psíquico</t>
        </is>
      </c>
      <c r="G95" s="29" t="inlineStr">
        <is>
          <t>Psichico</t>
        </is>
      </c>
      <c r="H95" s="29" t="inlineStr">
        <is>
          <t>사이코키네시스</t>
        </is>
      </c>
      <c r="I95" s="29" t="inlineStr">
        <is>
          <t>精神強念</t>
        </is>
      </c>
      <c r="J95" s="29">
        <f>IFERROR(__xludf.DUMMYFUNCTION("GOOGLETRANSLATE(I95,""zh_HANT"",""zh_HANS"")"),"精神强念")</f>
        <v/>
      </c>
      <c r="K95" s="29">
        <f>F95</f>
        <v/>
      </c>
    </row>
    <row r="96">
      <c r="A96" s="29">
        <f>CONCATENATE("NAME_MOVE_", SUBSTITUTE(SUBSTITUTE(UPPER(B96), " ", ""), "-", ""))</f>
        <v/>
      </c>
      <c r="B96" s="29" t="inlineStr">
        <is>
          <t>Hypnosis</t>
        </is>
      </c>
      <c r="C96" s="29" t="inlineStr">
        <is>
          <t>さいみんじゅっつ</t>
        </is>
      </c>
      <c r="D96" s="29" t="inlineStr">
        <is>
          <t>Hypnose</t>
        </is>
      </c>
      <c r="E96" s="29">
        <f>D96</f>
        <v/>
      </c>
      <c r="F96" s="29" t="inlineStr">
        <is>
          <t>Hipnosis</t>
        </is>
      </c>
      <c r="G96" s="6" t="inlineStr">
        <is>
          <t>Ipnosi</t>
        </is>
      </c>
      <c r="H96" s="29" t="inlineStr">
        <is>
          <t>최면술</t>
        </is>
      </c>
      <c r="I96" s="29" t="inlineStr">
        <is>
          <t>催眠術</t>
        </is>
      </c>
      <c r="J96" s="29">
        <f>IFERROR(__xludf.DUMMYFUNCTION("GOOGLETRANSLATE(I96,""zh_HANT"",""zh_HANS"")"),"催眠术")</f>
        <v/>
      </c>
      <c r="K96" s="29">
        <f>F96</f>
        <v/>
      </c>
    </row>
    <row r="97">
      <c r="A97" s="29">
        <f>CONCATENATE("NAME_MOVE_", SUBSTITUTE(SUBSTITUTE(UPPER(B97), " ", ""), "-", ""))</f>
        <v/>
      </c>
      <c r="B97" s="29" t="inlineStr">
        <is>
          <t>Meditate</t>
        </is>
      </c>
      <c r="C97" s="29" t="inlineStr">
        <is>
          <t>ヨガのポース</t>
        </is>
      </c>
      <c r="D97" s="29" t="inlineStr">
        <is>
          <t>Yoga</t>
        </is>
      </c>
      <c r="E97" s="29" t="inlineStr">
        <is>
          <t>Meditation</t>
        </is>
      </c>
      <c r="F97" s="29" t="inlineStr">
        <is>
          <t>Meditación</t>
        </is>
      </c>
      <c r="G97" s="29" t="inlineStr">
        <is>
          <t>Meditazione</t>
        </is>
      </c>
      <c r="H97" s="29" t="inlineStr">
        <is>
          <t>요가포즈</t>
        </is>
      </c>
      <c r="I97" s="29" t="inlineStr">
        <is>
          <t>瑜伽姿勢</t>
        </is>
      </c>
      <c r="J97" s="29">
        <f>IFERROR(__xludf.DUMMYFUNCTION("GOOGLETRANSLATE(I97,""zh_HANT"",""zh_HANS"")"),"瑜伽姿势")</f>
        <v/>
      </c>
      <c r="K97" s="29">
        <f>F97</f>
        <v/>
      </c>
    </row>
    <row r="98">
      <c r="A98" s="29">
        <f>CONCATENATE("NAME_MOVE_", SUBSTITUTE(SUBSTITUTE(UPPER(B98), " ", ""), "-", ""))</f>
        <v/>
      </c>
      <c r="B98" s="29" t="inlineStr">
        <is>
          <t>Agility</t>
        </is>
      </c>
      <c r="C98" s="29" t="inlineStr">
        <is>
          <t>こうそくいどう</t>
        </is>
      </c>
      <c r="D98" s="29" t="inlineStr">
        <is>
          <t>Hâte</t>
        </is>
      </c>
      <c r="E98" s="29" t="inlineStr">
        <is>
          <t>Agilität</t>
        </is>
      </c>
      <c r="F98" s="29" t="inlineStr">
        <is>
          <t>Agilidad</t>
        </is>
      </c>
      <c r="G98" s="29" t="inlineStr">
        <is>
          <t>Agilità</t>
        </is>
      </c>
      <c r="H98" s="29" t="inlineStr">
        <is>
          <t>고속이동</t>
        </is>
      </c>
      <c r="I98" s="29" t="inlineStr">
        <is>
          <t>高速移動</t>
        </is>
      </c>
      <c r="J98" s="29">
        <f>IFERROR(__xludf.DUMMYFUNCTION("GOOGLETRANSLATE(I98,""zh_HANT"",""zh_HANS"")"),"高速移动")</f>
        <v/>
      </c>
      <c r="K98" s="29">
        <f>F98</f>
        <v/>
      </c>
    </row>
    <row r="99">
      <c r="A99" s="29">
        <f>CONCATENATE("NAME_MOVE_", SUBSTITUTE(SUBSTITUTE(UPPER(B99), " ", ""), "-", ""))</f>
        <v/>
      </c>
      <c r="B99" s="29" t="inlineStr">
        <is>
          <t>Quick Attack</t>
        </is>
      </c>
      <c r="C99" s="29" t="inlineStr">
        <is>
          <t>でんこうせっか</t>
        </is>
      </c>
      <c r="D99" s="29" t="inlineStr">
        <is>
          <t>Vive-Attaque</t>
        </is>
      </c>
      <c r="E99" s="29" t="inlineStr">
        <is>
          <t>Ruckzuckhieb</t>
        </is>
      </c>
      <c r="F99" s="29" t="inlineStr">
        <is>
          <t>Ataque Rápido</t>
        </is>
      </c>
      <c r="G99" s="29" t="inlineStr">
        <is>
          <t>Attacco Rapido</t>
        </is>
      </c>
      <c r="H99" s="29" t="inlineStr">
        <is>
          <t>전광석화</t>
        </is>
      </c>
      <c r="I99" s="29" t="inlineStr">
        <is>
          <t>電光一閃</t>
        </is>
      </c>
      <c r="J99" s="29">
        <f>IFERROR(__xludf.DUMMYFUNCTION("GOOGLETRANSLATE(I99,""zh_HANT"",""zh_HANS"")"),"电光一闪")</f>
        <v/>
      </c>
      <c r="K99" s="29">
        <f>F99</f>
        <v/>
      </c>
    </row>
    <row r="100">
      <c r="A100" s="29">
        <f>CONCATENATE("NAME_MOVE_", SUBSTITUTE(SUBSTITUTE(UPPER(B100), " ", ""), "-", ""))</f>
        <v/>
      </c>
      <c r="B100" s="29" t="inlineStr">
        <is>
          <t>Rage</t>
        </is>
      </c>
      <c r="C100" s="29" t="inlineStr">
        <is>
          <t>いかり</t>
        </is>
      </c>
      <c r="D100" s="29" t="inlineStr">
        <is>
          <t>Frénésie</t>
        </is>
      </c>
      <c r="E100" s="29" t="inlineStr">
        <is>
          <t>Raserei</t>
        </is>
      </c>
      <c r="F100" s="29" t="inlineStr">
        <is>
          <t>Furia</t>
        </is>
      </c>
      <c r="G100" s="29" t="inlineStr">
        <is>
          <t>Ira</t>
        </is>
      </c>
      <c r="H100" s="29" t="inlineStr">
        <is>
          <t>분노</t>
        </is>
      </c>
      <c r="I100" s="29" t="inlineStr">
        <is>
          <t>憤怒</t>
        </is>
      </c>
      <c r="J100" s="29">
        <f>I100</f>
        <v/>
      </c>
      <c r="K100" s="29">
        <f>F100</f>
        <v/>
      </c>
    </row>
    <row r="101">
      <c r="A101" s="29">
        <f>CONCATENATE("NAME_MOVE_", SUBSTITUTE(SUBSTITUTE(UPPER(B101), " ", ""), "-", ""))</f>
        <v/>
      </c>
      <c r="B101" s="29" t="inlineStr">
        <is>
          <t>Teleport</t>
        </is>
      </c>
      <c r="C101" s="29" t="inlineStr">
        <is>
          <t>テレポート</t>
        </is>
      </c>
      <c r="D101" s="29" t="inlineStr">
        <is>
          <t>Téléport</t>
        </is>
      </c>
      <c r="E101" s="29">
        <f>B101</f>
        <v/>
      </c>
      <c r="F101" s="29" t="inlineStr">
        <is>
          <t>Teletransporte</t>
        </is>
      </c>
      <c r="G101" s="29" t="inlineStr">
        <is>
          <t>Teletrasporto</t>
        </is>
      </c>
      <c r="H101" s="29" t="inlineStr">
        <is>
          <t>순간이동</t>
        </is>
      </c>
      <c r="I101" s="29" t="inlineStr">
        <is>
          <t>瞬間移動</t>
        </is>
      </c>
      <c r="J101" s="29">
        <f>I101</f>
        <v/>
      </c>
      <c r="K101" s="29">
        <f>F101</f>
        <v/>
      </c>
    </row>
    <row r="102">
      <c r="A102" s="29">
        <f>CONCATENATE("NAME_MOVE_", SUBSTITUTE(SUBSTITUTE(UPPER(B102), " ", ""), "-", ""))</f>
        <v/>
      </c>
      <c r="B102" s="29" t="inlineStr">
        <is>
          <t>Night Shade</t>
        </is>
      </c>
      <c r="C102" s="29" t="inlineStr">
        <is>
          <t>ナイトヘッダ</t>
        </is>
      </c>
      <c r="D102" s="29" t="inlineStr">
        <is>
          <t>Ombre Nocturne</t>
        </is>
      </c>
      <c r="E102" s="29" t="inlineStr">
        <is>
          <t>Nachtnebel</t>
        </is>
      </c>
      <c r="F102" s="29" t="inlineStr">
        <is>
          <t>Tinieblas</t>
        </is>
      </c>
      <c r="G102" s="29" t="inlineStr">
        <is>
          <t>Ombra Notturna</t>
        </is>
      </c>
      <c r="H102" s="29" t="inlineStr">
        <is>
          <t>나이트헤드</t>
        </is>
      </c>
      <c r="I102" s="29" t="inlineStr">
        <is>
          <t>黑夜魔影</t>
        </is>
      </c>
      <c r="J102" s="29">
        <f>I102</f>
        <v/>
      </c>
      <c r="K102" s="29">
        <f>F102</f>
        <v/>
      </c>
    </row>
    <row r="103">
      <c r="A103" s="29">
        <f>CONCATENATE("NAME_MOVE_", SUBSTITUTE(SUBSTITUTE(UPPER(B103), " ", ""), "-", ""))</f>
        <v/>
      </c>
      <c r="B103" s="29" t="inlineStr">
        <is>
          <t>Mimic</t>
        </is>
      </c>
      <c r="C103" s="29" t="inlineStr">
        <is>
          <t>ものまね</t>
        </is>
      </c>
      <c r="D103" s="29" t="inlineStr">
        <is>
          <t>Copie</t>
        </is>
      </c>
      <c r="E103" s="29" t="inlineStr">
        <is>
          <t>Mimikry</t>
        </is>
      </c>
      <c r="F103" s="29" t="inlineStr">
        <is>
          <t>Mimético</t>
        </is>
      </c>
      <c r="G103" s="29">
        <f>CONCATENATE(B103,"a")</f>
        <v/>
      </c>
      <c r="H103" s="29" t="inlineStr">
        <is>
          <t>흉내내기</t>
        </is>
      </c>
      <c r="I103" s="29" t="inlineStr">
        <is>
          <t>模仿</t>
        </is>
      </c>
      <c r="J103" s="29">
        <f>I103</f>
        <v/>
      </c>
      <c r="K103" s="29">
        <f>F103</f>
        <v/>
      </c>
    </row>
    <row r="104">
      <c r="A104" s="29">
        <f>CONCATENATE("NAME_MOVE_", SUBSTITUTE(SUBSTITUTE(UPPER(B104), " ", ""), "-", ""))</f>
        <v/>
      </c>
      <c r="B104" s="29" t="inlineStr">
        <is>
          <t>Screech</t>
        </is>
      </c>
      <c r="C104" s="29" t="inlineStr">
        <is>
          <t>いやなおと</t>
        </is>
      </c>
      <c r="D104" s="29" t="inlineStr">
        <is>
          <t>Grincement</t>
        </is>
      </c>
      <c r="E104" s="29" t="inlineStr">
        <is>
          <t>Kreideschrei</t>
        </is>
      </c>
      <c r="F104" s="29" t="inlineStr">
        <is>
          <t>Chirrido</t>
        </is>
      </c>
      <c r="G104" s="29" t="inlineStr">
        <is>
          <t>Stridio</t>
        </is>
      </c>
      <c r="H104" s="29" t="inlineStr">
        <is>
          <t>싫은소리</t>
        </is>
      </c>
      <c r="I104" s="29" t="inlineStr">
        <is>
          <t>刺耳聲</t>
        </is>
      </c>
      <c r="J104" s="29">
        <f>IFERROR(__xludf.DUMMYFUNCTION("GOOGLETRANSLATE(I104,""zh_HANT"",""zh_HANS"")"),"刺耳声")</f>
        <v/>
      </c>
      <c r="K104" s="29">
        <f>F104</f>
        <v/>
      </c>
    </row>
    <row r="105">
      <c r="A105" s="29">
        <f>CONCATENATE("NAME_MOVE_", SUBSTITUTE(SUBSTITUTE(UPPER(B105), " ", ""), "-", ""))</f>
        <v/>
      </c>
      <c r="B105" s="29" t="inlineStr">
        <is>
          <t>Double Team</t>
        </is>
      </c>
      <c r="C105" s="29" t="inlineStr">
        <is>
          <t>かげぶんしん</t>
        </is>
      </c>
      <c r="D105" s="29" t="inlineStr">
        <is>
          <t>Reflet</t>
        </is>
      </c>
      <c r="E105" s="29" t="inlineStr">
        <is>
          <t>Doppelteam</t>
        </is>
      </c>
      <c r="F105" s="29" t="inlineStr">
        <is>
          <t>Doble Equipo</t>
        </is>
      </c>
      <c r="G105" s="29" t="inlineStr">
        <is>
          <t>Doppioteam</t>
        </is>
      </c>
      <c r="H105" s="29" t="inlineStr">
        <is>
          <t>그림자분신</t>
        </is>
      </c>
      <c r="I105" s="29" t="inlineStr">
        <is>
          <t>影子分身</t>
        </is>
      </c>
      <c r="J105" s="29">
        <f>I105</f>
        <v/>
      </c>
      <c r="K105" s="29">
        <f>F105</f>
        <v/>
      </c>
    </row>
    <row r="106">
      <c r="A106" s="29">
        <f>CONCATENATE("NAME_MOVE_", SUBSTITUTE(SUBSTITUTE(UPPER(B106), " ", ""), "-", ""))</f>
        <v/>
      </c>
      <c r="B106" s="29" t="inlineStr">
        <is>
          <t>Recover</t>
        </is>
      </c>
      <c r="C106" s="29" t="inlineStr">
        <is>
          <t>じこさいせい</t>
        </is>
      </c>
      <c r="D106" s="29" t="inlineStr">
        <is>
          <t>Soin</t>
        </is>
      </c>
      <c r="E106" s="29" t="inlineStr">
        <is>
          <t>Genesung</t>
        </is>
      </c>
      <c r="F106" s="29" t="inlineStr">
        <is>
          <t>Recuperación</t>
        </is>
      </c>
      <c r="G106" s="29" t="inlineStr">
        <is>
          <t>Ripresa</t>
        </is>
      </c>
      <c r="H106" s="29" t="inlineStr">
        <is>
          <t>ＨＰ회복</t>
        </is>
      </c>
      <c r="I106" s="29" t="inlineStr">
        <is>
          <t>自我再生</t>
        </is>
      </c>
      <c r="J106" s="29">
        <f>I106</f>
        <v/>
      </c>
      <c r="K106" s="29">
        <f>F106</f>
        <v/>
      </c>
    </row>
    <row r="107">
      <c r="A107" s="29">
        <f>CONCATENATE("NAME_MOVE_", SUBSTITUTE(SUBSTITUTE(UPPER(B107), " ", ""), "-", ""))</f>
        <v/>
      </c>
      <c r="B107" s="29" t="inlineStr">
        <is>
          <t>Harden</t>
        </is>
      </c>
      <c r="C107" s="29" t="inlineStr">
        <is>
          <t>かたくなる</t>
        </is>
      </c>
      <c r="D107" s="29" t="inlineStr">
        <is>
          <t>Armure</t>
        </is>
      </c>
      <c r="E107" s="29" t="inlineStr">
        <is>
          <t>Härtner</t>
        </is>
      </c>
      <c r="F107" s="29" t="inlineStr">
        <is>
          <t>Fortaleza</t>
        </is>
      </c>
      <c r="G107" s="29" t="inlineStr">
        <is>
          <t>Rafforzatore</t>
        </is>
      </c>
      <c r="H107" s="29" t="inlineStr">
        <is>
          <t>단단해지기</t>
        </is>
      </c>
      <c r="I107" s="29" t="inlineStr">
        <is>
          <t>變硬</t>
        </is>
      </c>
      <c r="J107" s="29">
        <f>IFERROR(__xludf.DUMMYFUNCTION("GOOGLETRANSLATE(I107,""zh_HANT"",""zh_HANS"")"),"变硬")</f>
        <v/>
      </c>
      <c r="K107" s="29">
        <f>F107</f>
        <v/>
      </c>
    </row>
    <row r="108">
      <c r="A108" s="29">
        <f>CONCATENATE("NAME_MOVE_", SUBSTITUTE(SUBSTITUTE(UPPER(B108), " ", ""), "-", ""))</f>
        <v/>
      </c>
      <c r="B108" s="29" t="inlineStr">
        <is>
          <t>Minimize</t>
        </is>
      </c>
      <c r="C108" s="29" t="inlineStr">
        <is>
          <t>ちいさくなる</t>
        </is>
      </c>
      <c r="D108" s="29" t="inlineStr">
        <is>
          <t>Lilliput</t>
        </is>
      </c>
      <c r="E108" s="29" t="inlineStr">
        <is>
          <t>Komprimator</t>
        </is>
      </c>
      <c r="F108" s="29" t="inlineStr">
        <is>
          <t>Reducción</t>
        </is>
      </c>
      <c r="G108" s="29" t="inlineStr">
        <is>
          <t>Minimizzato</t>
        </is>
      </c>
      <c r="H108" s="29" t="inlineStr">
        <is>
          <t>작아지기</t>
        </is>
      </c>
      <c r="I108" s="29" t="inlineStr">
        <is>
          <t>變小</t>
        </is>
      </c>
      <c r="J108" s="29">
        <f>IFERROR(__xludf.DUMMYFUNCTION("GOOGLETRANSLATE(I108,""zh_HANT"",""zh_HANS"")"),"变小")</f>
        <v/>
      </c>
      <c r="K108" s="29">
        <f>F108</f>
        <v/>
      </c>
    </row>
    <row r="109">
      <c r="A109" s="29">
        <f>CONCATENATE("NAME_MOVE_", SUBSTITUTE(SUBSTITUTE(UPPER(B109), " ", ""), "-", ""))</f>
        <v/>
      </c>
      <c r="B109" s="29" t="inlineStr">
        <is>
          <t>Smokescreen</t>
        </is>
      </c>
      <c r="C109" s="29" t="inlineStr">
        <is>
          <t>えんまく</t>
        </is>
      </c>
      <c r="D109" s="29" t="inlineStr">
        <is>
          <t>Brouillard</t>
        </is>
      </c>
      <c r="E109" s="29" t="inlineStr">
        <is>
          <t>Rauchwolke</t>
        </is>
      </c>
      <c r="F109" s="29" t="inlineStr">
        <is>
          <t>Pantalla Humo</t>
        </is>
      </c>
      <c r="G109" s="29" t="inlineStr">
        <is>
          <t>Muro di Fumo</t>
        </is>
      </c>
      <c r="H109" s="29" t="inlineStr">
        <is>
          <t>연막</t>
        </is>
      </c>
      <c r="I109" s="29" t="inlineStr">
        <is>
          <t>煙幕</t>
        </is>
      </c>
      <c r="J109" s="29">
        <f>IFERROR(__xludf.DUMMYFUNCTION("GOOGLETRANSLATE(I109,""zh_HANT"",""zh_HANS"")"),"烟幕")</f>
        <v/>
      </c>
      <c r="K109" s="29">
        <f>F109</f>
        <v/>
      </c>
    </row>
    <row r="110">
      <c r="A110" s="29">
        <f>CONCATENATE("NAME_MOVE_", SUBSTITUTE(SUBSTITUTE(UPPER(B110), " ", ""), "-", ""))</f>
        <v/>
      </c>
      <c r="B110" s="29" t="inlineStr">
        <is>
          <t>Confuse Ray</t>
        </is>
      </c>
      <c r="C110" s="29" t="inlineStr">
        <is>
          <t>あやしいひかり</t>
        </is>
      </c>
      <c r="D110" s="29" t="inlineStr">
        <is>
          <t>Onde Folie</t>
        </is>
      </c>
      <c r="E110" s="29" t="inlineStr">
        <is>
          <t>Konfusstrahl</t>
        </is>
      </c>
      <c r="F110" s="29" t="inlineStr">
        <is>
          <t>Rayo Confuso</t>
        </is>
      </c>
      <c r="G110" s="29" t="inlineStr">
        <is>
          <t>Stordiraggio</t>
        </is>
      </c>
      <c r="H110" s="29" t="inlineStr">
        <is>
          <t>이상한빛</t>
        </is>
      </c>
      <c r="I110" s="29" t="inlineStr">
        <is>
          <t>奇異之光</t>
        </is>
      </c>
      <c r="J110" s="29">
        <f>IFERROR(__xludf.DUMMYFUNCTION("GOOGLETRANSLATE(I110,""zh_HANT"",""zh_HANS"")"),"奇异之光")</f>
        <v/>
      </c>
      <c r="K110" s="29">
        <f>F110</f>
        <v/>
      </c>
    </row>
    <row r="111">
      <c r="A111" s="29">
        <f>CONCATENATE("NAME_MOVE_", SUBSTITUTE(SUBSTITUTE(UPPER(B111), " ", ""), "-", ""))</f>
        <v/>
      </c>
      <c r="B111" s="29" t="inlineStr">
        <is>
          <t>Withdraw</t>
        </is>
      </c>
      <c r="C111" s="29" t="inlineStr">
        <is>
          <t>からにこもる</t>
        </is>
      </c>
      <c r="D111" s="29" t="inlineStr">
        <is>
          <t>Repli</t>
        </is>
      </c>
      <c r="E111" s="29" t="inlineStr">
        <is>
          <t>Panzerschutz</t>
        </is>
      </c>
      <c r="F111" s="29" t="inlineStr">
        <is>
          <t>Refugio</t>
        </is>
      </c>
      <c r="G111" s="29" t="inlineStr">
        <is>
          <t>Ritirata</t>
        </is>
      </c>
      <c r="H111" s="29" t="inlineStr">
        <is>
          <t>껍질에숨기</t>
        </is>
      </c>
      <c r="I111" s="29" t="inlineStr">
        <is>
          <t>縮入殼中</t>
        </is>
      </c>
      <c r="J111" s="29">
        <f>IFERROR(__xludf.DUMMYFUNCTION("GOOGLETRANSLATE(I111,""zh_HANT"",""zh_HANS"")"),"缩入壳中")</f>
        <v/>
      </c>
      <c r="K111" s="29">
        <f>F111</f>
        <v/>
      </c>
    </row>
    <row r="112">
      <c r="A112" s="29">
        <f>CONCATENATE("NAME_MOVE_", SUBSTITUTE(SUBSTITUTE(UPPER(B112), " ", ""), "-", ""))</f>
        <v/>
      </c>
      <c r="B112" s="29" t="inlineStr">
        <is>
          <t>Defense Curl</t>
        </is>
      </c>
      <c r="C112" s="29" t="inlineStr">
        <is>
          <t>まるくなる</t>
        </is>
      </c>
      <c r="D112" s="29" t="inlineStr">
        <is>
          <t>Boul'Armure</t>
        </is>
      </c>
      <c r="E112" s="29" t="inlineStr">
        <is>
          <t>Einigler</t>
        </is>
      </c>
      <c r="F112" s="29" t="inlineStr">
        <is>
          <t>Rizo Defensa</t>
        </is>
      </c>
      <c r="G112" s="29" t="inlineStr">
        <is>
          <t>Ricciolscudo</t>
        </is>
      </c>
      <c r="H112" s="29" t="inlineStr">
        <is>
          <t>웅크리기</t>
        </is>
      </c>
      <c r="I112" s="29" t="inlineStr">
        <is>
          <t>變圓</t>
        </is>
      </c>
      <c r="J112" s="29">
        <f>IFERROR(__xludf.DUMMYFUNCTION("GOOGLETRANSLATE(I112,""zh_HANT"",""zh_HANS"")"),"变圆")</f>
        <v/>
      </c>
      <c r="K112" s="29">
        <f>F112</f>
        <v/>
      </c>
    </row>
    <row r="113">
      <c r="A113" s="29">
        <f>CONCATENATE("NAME_MOVE_", SUBSTITUTE(SUBSTITUTE(UPPER(B113), " ", ""), "-", ""))</f>
        <v/>
      </c>
      <c r="B113" s="29" t="inlineStr">
        <is>
          <t>Barrier</t>
        </is>
      </c>
      <c r="C113" s="29" t="inlineStr">
        <is>
          <t>バリアー</t>
        </is>
      </c>
      <c r="D113" s="29" t="inlineStr">
        <is>
          <t>Bouclier</t>
        </is>
      </c>
      <c r="E113" s="29" t="inlineStr">
        <is>
          <t>Barriere</t>
        </is>
      </c>
      <c r="F113" s="29" t="inlineStr">
        <is>
          <t>Barrera</t>
        </is>
      </c>
      <c r="G113" s="29" t="inlineStr">
        <is>
          <t>Barriera</t>
        </is>
      </c>
      <c r="H113" s="29" t="inlineStr">
        <is>
          <t>배리어</t>
        </is>
      </c>
      <c r="I113" s="29" t="inlineStr">
        <is>
          <t>屏障</t>
        </is>
      </c>
      <c r="J113" s="29">
        <f>I113</f>
        <v/>
      </c>
      <c r="K113" s="29">
        <f>F113</f>
        <v/>
      </c>
    </row>
    <row r="114">
      <c r="A114" s="29">
        <f>CONCATENATE("NAME_MOVE_", SUBSTITUTE(SUBSTITUTE(UPPER(B114), " ", ""), "-", ""))</f>
        <v/>
      </c>
      <c r="B114" s="29" t="inlineStr">
        <is>
          <t>Light Screen</t>
        </is>
      </c>
      <c r="C114" s="29" t="inlineStr">
        <is>
          <t>ひかりのかべ</t>
        </is>
      </c>
      <c r="D114" s="29" t="inlineStr">
        <is>
          <t>Mur Lumière</t>
        </is>
      </c>
      <c r="E114" s="29" t="inlineStr">
        <is>
          <t>Lichtschild</t>
        </is>
      </c>
      <c r="F114" s="29" t="inlineStr">
        <is>
          <t>Pantalla Luz</t>
        </is>
      </c>
      <c r="G114" s="29" t="inlineStr">
        <is>
          <t>Schermoluce</t>
        </is>
      </c>
      <c r="H114" s="29" t="inlineStr">
        <is>
          <t>빛의장막</t>
        </is>
      </c>
      <c r="I114" s="29" t="inlineStr">
        <is>
          <t>光牆</t>
        </is>
      </c>
      <c r="J114" s="29">
        <f>IFERROR(__xludf.DUMMYFUNCTION("GOOGLETRANSLATE(I114,""zh_HANT"",""zh_HANS"")"),"光墙")</f>
        <v/>
      </c>
      <c r="K114" s="29">
        <f>F114</f>
        <v/>
      </c>
    </row>
    <row r="115">
      <c r="A115" s="29">
        <f>CONCATENATE("NAME_MOVE_", SUBSTITUTE(SUBSTITUTE(UPPER(B115), " ", ""), "-", ""))</f>
        <v/>
      </c>
      <c r="B115" s="29" t="inlineStr">
        <is>
          <t>Haze</t>
        </is>
      </c>
      <c r="C115" s="29" t="inlineStr">
        <is>
          <t>くろいきり</t>
        </is>
      </c>
      <c r="D115" s="29" t="inlineStr">
        <is>
          <t>Buée Noire</t>
        </is>
      </c>
      <c r="E115" s="29" t="inlineStr">
        <is>
          <t>Dunkelnebel</t>
        </is>
      </c>
      <c r="F115" s="29" t="inlineStr">
        <is>
          <t>Niebla</t>
        </is>
      </c>
      <c r="G115" s="29" t="inlineStr">
        <is>
          <t>Nube</t>
        </is>
      </c>
      <c r="H115" s="29" t="inlineStr">
        <is>
          <t>흑안개</t>
        </is>
      </c>
      <c r="I115" s="29" t="inlineStr">
        <is>
          <t>黑霧</t>
        </is>
      </c>
      <c r="J115" s="29">
        <f>IFERROR(__xludf.DUMMYFUNCTION("GOOGLETRANSLATE(I115,""zh_HANT"",""zh_HANS"")"),"黑雾")</f>
        <v/>
      </c>
      <c r="K115" s="29">
        <f>F115</f>
        <v/>
      </c>
    </row>
    <row r="116">
      <c r="A116" s="29">
        <f>CONCATENATE("NAME_MOVE_", SUBSTITUTE(SUBSTITUTE(UPPER(B116), " ", ""), "-", ""))</f>
        <v/>
      </c>
      <c r="B116" s="29" t="inlineStr">
        <is>
          <t>Reflect</t>
        </is>
      </c>
      <c r="C116" s="29" t="inlineStr">
        <is>
          <t>リフレクター</t>
        </is>
      </c>
      <c r="D116" s="29" t="inlineStr">
        <is>
          <t>Protection</t>
        </is>
      </c>
      <c r="E116" s="29" t="inlineStr">
        <is>
          <t>Reflecktor</t>
        </is>
      </c>
      <c r="F116" s="29" t="inlineStr">
        <is>
          <t>Reflejo</t>
        </is>
      </c>
      <c r="G116" s="29" t="inlineStr">
        <is>
          <t>Riflesso</t>
        </is>
      </c>
      <c r="H116" s="29" t="inlineStr">
        <is>
          <t>리플렉터</t>
        </is>
      </c>
      <c r="I116" s="29" t="inlineStr">
        <is>
          <t>反射壁</t>
        </is>
      </c>
      <c r="J116" s="29">
        <f>I116</f>
        <v/>
      </c>
      <c r="K116" s="29">
        <f>F116</f>
        <v/>
      </c>
    </row>
    <row r="117">
      <c r="A117" s="29">
        <f>CONCATENATE("NAME_MOVE_", SUBSTITUTE(SUBSTITUTE(UPPER(B117), " ", ""), "-", ""))</f>
        <v/>
      </c>
      <c r="B117" s="29" t="inlineStr">
        <is>
          <t>Focus Energy</t>
        </is>
      </c>
      <c r="C117" s="29" t="inlineStr">
        <is>
          <t>きあいだめ</t>
        </is>
      </c>
      <c r="D117" s="29" t="inlineStr">
        <is>
          <t>Puissance</t>
        </is>
      </c>
      <c r="E117" s="29" t="inlineStr">
        <is>
          <t>Energiefokus</t>
        </is>
      </c>
      <c r="F117" s="29" t="inlineStr">
        <is>
          <t>Foco Energía</t>
        </is>
      </c>
      <c r="G117" s="29" t="inlineStr">
        <is>
          <t>Focalenergia</t>
        </is>
      </c>
      <c r="H117" s="29" t="inlineStr">
        <is>
          <t>기충전</t>
        </is>
      </c>
      <c r="I117" s="29" t="inlineStr">
        <is>
          <t>聚氣</t>
        </is>
      </c>
      <c r="J117" s="29">
        <f>IFERROR(__xludf.DUMMYFUNCTION("GOOGLETRANSLATE(I117,""zh_HANT"",""zh_HANS"")"),"聚气")</f>
        <v/>
      </c>
      <c r="K117" s="29">
        <f>F117</f>
        <v/>
      </c>
    </row>
    <row r="118">
      <c r="A118" s="29">
        <f>CONCATENATE("NAME_MOVE_", SUBSTITUTE(SUBSTITUTE(UPPER(B118), " ", ""), "-", ""))</f>
        <v/>
      </c>
      <c r="B118" s="29" t="inlineStr">
        <is>
          <t>Bide</t>
        </is>
      </c>
      <c r="C118" s="29" t="inlineStr">
        <is>
          <t>がまん</t>
        </is>
      </c>
      <c r="D118" s="29" t="inlineStr">
        <is>
          <t>Patience</t>
        </is>
      </c>
      <c r="E118" s="29" t="inlineStr">
        <is>
          <t>Geduld</t>
        </is>
      </c>
      <c r="F118" s="29" t="inlineStr">
        <is>
          <t>Venganza</t>
        </is>
      </c>
      <c r="G118" s="29" t="inlineStr">
        <is>
          <t>Pazienza</t>
        </is>
      </c>
      <c r="H118" s="29" t="inlineStr">
        <is>
          <t>참기</t>
        </is>
      </c>
      <c r="I118" s="29" t="inlineStr">
        <is>
          <t>忍耐</t>
        </is>
      </c>
      <c r="J118" s="29">
        <f>I118</f>
        <v/>
      </c>
      <c r="K118" s="29">
        <f>F118</f>
        <v/>
      </c>
    </row>
    <row r="119">
      <c r="A119" s="29">
        <f>CONCATENATE("NAME_MOVE_", SUBSTITUTE(SUBSTITUTE(UPPER(B119), " ", ""), "-", ""))</f>
        <v/>
      </c>
      <c r="B119" s="29">
        <f>CONCATENATE(E119,"e")</f>
        <v/>
      </c>
      <c r="C119" s="29" t="inlineStr">
        <is>
          <t>ゆびおふる</t>
        </is>
      </c>
      <c r="D119" s="29" t="inlineStr">
        <is>
          <t>Métronome</t>
        </is>
      </c>
      <c r="E119" s="29" t="inlineStr">
        <is>
          <t>Metronom</t>
        </is>
      </c>
      <c r="F119" s="29" t="inlineStr">
        <is>
          <t>Metrónomo</t>
        </is>
      </c>
      <c r="G119" s="29">
        <f>CONCATENATE(E119,"o")</f>
        <v/>
      </c>
      <c r="H119" s="29" t="inlineStr">
        <is>
          <t>손가락흔들기</t>
        </is>
      </c>
      <c r="I119" s="29" t="inlineStr">
        <is>
          <t>揮指</t>
        </is>
      </c>
      <c r="J119" s="29">
        <f>IFERROR(__xludf.DUMMYFUNCTION("GOOGLETRANSLATE(I119,""zh_HANT"",""zh_HANS"")"),"挥指")</f>
        <v/>
      </c>
      <c r="K119" s="29">
        <f>F119</f>
        <v/>
      </c>
    </row>
    <row r="120">
      <c r="A120" s="29">
        <f>CONCATENATE("NAME_MOVE_", SUBSTITUTE(SUBSTITUTE(UPPER(B120), " ", ""), "-", ""))</f>
        <v/>
      </c>
      <c r="B120" s="29" t="inlineStr">
        <is>
          <t>Mirror Move</t>
        </is>
      </c>
      <c r="C120" s="29" t="inlineStr">
        <is>
          <t>オウムがえし</t>
        </is>
      </c>
      <c r="D120" s="29" t="inlineStr">
        <is>
          <t>Mimique</t>
        </is>
      </c>
      <c r="E120" s="29" t="inlineStr">
        <is>
          <t>Spiegeltrick</t>
        </is>
      </c>
      <c r="F120" s="29" t="inlineStr">
        <is>
          <t>Espejo</t>
        </is>
      </c>
      <c r="G120" s="29" t="inlineStr">
        <is>
          <t>Speculmossa</t>
        </is>
      </c>
      <c r="H120" s="29" t="inlineStr">
        <is>
          <t>따라하기</t>
        </is>
      </c>
      <c r="I120" s="29" t="inlineStr">
        <is>
          <t>鸚鵡學舌</t>
        </is>
      </c>
      <c r="J120" s="29">
        <f>IFERROR(__xludf.DUMMYFUNCTION("GOOGLETRANSLATE(I120,""zh_HANT"",""zh_HANS"")"),"鹦鹉学舌")</f>
        <v/>
      </c>
      <c r="K120" s="29">
        <f>F120</f>
        <v/>
      </c>
    </row>
    <row r="121">
      <c r="A121" s="29">
        <f>CONCATENATE("NAME_MOVE_", SUBSTITUTE(SUBSTITUTE(UPPER(B121), " ", ""), "-", ""))</f>
        <v/>
      </c>
      <c r="B121" s="29" t="inlineStr">
        <is>
          <t>Self-Destruct</t>
        </is>
      </c>
      <c r="C121" s="29" t="inlineStr">
        <is>
          <t>じばく</t>
        </is>
      </c>
      <c r="D121" s="29" t="inlineStr">
        <is>
          <t>Destruction</t>
        </is>
      </c>
      <c r="E121" s="29" t="inlineStr">
        <is>
          <t>Finale</t>
        </is>
      </c>
      <c r="F121" s="29" t="inlineStr">
        <is>
          <t>Autodestrucción</t>
        </is>
      </c>
      <c r="G121" s="29" t="inlineStr">
        <is>
          <t>Autodistruzione</t>
        </is>
      </c>
      <c r="H121" s="29" t="inlineStr">
        <is>
          <t>자폭</t>
        </is>
      </c>
      <c r="I121" s="29" t="inlineStr">
        <is>
          <t>自爆</t>
        </is>
      </c>
      <c r="J121" s="29" t="inlineStr">
        <is>
          <t>玉石俱碎</t>
        </is>
      </c>
      <c r="K121" s="29">
        <f>F121</f>
        <v/>
      </c>
    </row>
    <row r="122">
      <c r="A122" s="29">
        <f>CONCATENATE("NAME_MOVE_", SUBSTITUTE(SUBSTITUTE(UPPER(B122), " ", ""), "-", ""))</f>
        <v/>
      </c>
      <c r="B122" s="29" t="inlineStr">
        <is>
          <t>Egg Bomb</t>
        </is>
      </c>
      <c r="C122" s="29" t="inlineStr">
        <is>
          <t>タマゴばくだん</t>
        </is>
      </c>
      <c r="D122" s="16" t="inlineStr">
        <is>
          <t>Bomb'Œuf</t>
        </is>
      </c>
      <c r="E122" s="29" t="inlineStr">
        <is>
          <t>Eierbombe</t>
        </is>
      </c>
      <c r="F122" s="29" t="inlineStr">
        <is>
          <t>Bomba Huevo</t>
        </is>
      </c>
      <c r="G122" s="29" t="inlineStr">
        <is>
          <t>Uovobomba</t>
        </is>
      </c>
      <c r="H122" s="29" t="inlineStr">
        <is>
          <t>알폭탄</t>
        </is>
      </c>
      <c r="I122" s="29" t="inlineStr">
        <is>
          <t>炸蛋</t>
        </is>
      </c>
      <c r="J122" s="29">
        <f>I122</f>
        <v/>
      </c>
      <c r="K122" s="29">
        <f>F122</f>
        <v/>
      </c>
    </row>
    <row r="123">
      <c r="A123" s="29">
        <f>CONCATENATE("NAME_MOVE_", SUBSTITUTE(SUBSTITUTE(UPPER(B123), " ", ""), "-", ""))</f>
        <v/>
      </c>
      <c r="B123" s="29" t="inlineStr">
        <is>
          <t>Lick</t>
        </is>
      </c>
      <c r="C123" s="29" t="inlineStr">
        <is>
          <t>したでなめる</t>
        </is>
      </c>
      <c r="D123" s="29" t="inlineStr">
        <is>
          <t>Léchouille</t>
        </is>
      </c>
      <c r="E123" s="29" t="inlineStr">
        <is>
          <t>Schlecker</t>
        </is>
      </c>
      <c r="F123" s="29" t="inlineStr">
        <is>
          <t>Lengüetazo</t>
        </is>
      </c>
      <c r="G123" s="29" t="inlineStr">
        <is>
          <t>Leccata</t>
        </is>
      </c>
      <c r="H123" s="29" t="inlineStr">
        <is>
          <t>핥기</t>
        </is>
      </c>
      <c r="I123" s="29" t="inlineStr">
        <is>
          <t>舌舔</t>
        </is>
      </c>
      <c r="J123" s="29">
        <f>I123</f>
        <v/>
      </c>
      <c r="K123" s="29">
        <f>F123</f>
        <v/>
      </c>
    </row>
    <row r="124">
      <c r="A124" s="29">
        <f>CONCATENATE("NAME_MOVE_", SUBSTITUTE(SUBSTITUTE(UPPER(B124), " ", ""), "-", ""))</f>
        <v/>
      </c>
      <c r="B124" s="29" t="inlineStr">
        <is>
          <t>Smog</t>
        </is>
      </c>
      <c r="C124" s="29" t="inlineStr">
        <is>
          <t>スモッグ</t>
        </is>
      </c>
      <c r="D124" s="29" t="inlineStr">
        <is>
          <t>Purédpois</t>
        </is>
      </c>
      <c r="E124" s="29">
        <f>B124</f>
        <v/>
      </c>
      <c r="F124" s="29" t="inlineStr">
        <is>
          <t>Polución</t>
        </is>
      </c>
      <c r="G124" s="29">
        <f>B124</f>
        <v/>
      </c>
      <c r="H124" s="29" t="inlineStr">
        <is>
          <t>스모그</t>
        </is>
      </c>
      <c r="I124" s="29" t="inlineStr">
        <is>
          <t>濁霧</t>
        </is>
      </c>
      <c r="J124" s="29">
        <f>IFERROR(__xludf.DUMMYFUNCTION("GOOGLETRANSLATE(I124,""zh_HANT"",""zh_HANS"")"),"浊雾")</f>
        <v/>
      </c>
      <c r="K124" s="29">
        <f>F124</f>
        <v/>
      </c>
    </row>
    <row r="125">
      <c r="A125" s="29">
        <f>CONCATENATE("NAME_MOVE_", SUBSTITUTE(SUBSTITUTE(UPPER(B125), " ", ""), "-", ""))</f>
        <v/>
      </c>
      <c r="B125" s="29" t="inlineStr">
        <is>
          <t>Sludge</t>
        </is>
      </c>
      <c r="C125" s="29" t="inlineStr">
        <is>
          <t>ヘドロこうげき</t>
        </is>
      </c>
      <c r="D125" s="29" t="inlineStr">
        <is>
          <t>Détritus</t>
        </is>
      </c>
      <c r="E125" s="29" t="inlineStr">
        <is>
          <t>Schlammbad</t>
        </is>
      </c>
      <c r="F125" s="29" t="inlineStr">
        <is>
          <t>Residuos</t>
        </is>
      </c>
      <c r="G125" s="29" t="inlineStr">
        <is>
          <t>Fango</t>
        </is>
      </c>
      <c r="H125" s="29" t="inlineStr">
        <is>
          <t>오물공격</t>
        </is>
      </c>
      <c r="I125" s="29" t="inlineStr">
        <is>
          <t>污泥攻擊</t>
        </is>
      </c>
      <c r="J125" s="29">
        <f>IFERROR(__xludf.DUMMYFUNCTION("GOOGLETRANSLATE(I125,""zh_HANT"",""zh_HANS"")"),"污泥攻击")</f>
        <v/>
      </c>
      <c r="K125" s="29">
        <f>F125</f>
        <v/>
      </c>
    </row>
    <row r="126">
      <c r="A126" s="29">
        <f>CONCATENATE("NAME_MOVE_", SUBSTITUTE(SUBSTITUTE(UPPER(B126), " ", ""), "-", ""))</f>
        <v/>
      </c>
      <c r="B126" s="29" t="inlineStr">
        <is>
          <t>Bone Club</t>
        </is>
      </c>
      <c r="C126" s="29" t="inlineStr">
        <is>
          <t>ホネこんぼう</t>
        </is>
      </c>
      <c r="D126" s="29" t="inlineStr">
        <is>
          <t>Massd'Os</t>
        </is>
      </c>
      <c r="E126" s="29" t="inlineStr">
        <is>
          <t>Knochenkeule</t>
        </is>
      </c>
      <c r="F126" s="29" t="inlineStr">
        <is>
          <t>Hueso Palo</t>
        </is>
      </c>
      <c r="G126" s="29" t="inlineStr">
        <is>
          <t>Ossoclava</t>
        </is>
      </c>
      <c r="H126" s="29" t="inlineStr">
        <is>
          <t>뼈다귀치기</t>
        </is>
      </c>
      <c r="I126" s="29" t="inlineStr">
        <is>
          <t>骨棒</t>
        </is>
      </c>
      <c r="J126" s="29">
        <f>I126</f>
        <v/>
      </c>
      <c r="K126" s="29">
        <f>F126</f>
        <v/>
      </c>
    </row>
    <row r="127">
      <c r="A127" s="29">
        <f>CONCATENATE("NAME_MOVE_", SUBSTITUTE(SUBSTITUTE(UPPER(B127), " ", ""), "-", ""))</f>
        <v/>
      </c>
      <c r="B127" s="29" t="inlineStr">
        <is>
          <t>Fire Blast</t>
        </is>
      </c>
      <c r="C127" s="29" t="inlineStr">
        <is>
          <t>だいもんじ</t>
        </is>
      </c>
      <c r="D127" s="29" t="inlineStr">
        <is>
          <t>Déflagration</t>
        </is>
      </c>
      <c r="E127" s="29" t="inlineStr">
        <is>
          <t>Feuersturm</t>
        </is>
      </c>
      <c r="F127" s="29" t="inlineStr">
        <is>
          <t>Llamarada</t>
        </is>
      </c>
      <c r="G127" s="29" t="inlineStr">
        <is>
          <t>Fuocobomba</t>
        </is>
      </c>
      <c r="H127" s="29" t="inlineStr">
        <is>
          <t>불대문자</t>
        </is>
      </c>
      <c r="I127" s="29" t="inlineStr">
        <is>
          <t>大字爆炎</t>
        </is>
      </c>
      <c r="J127" s="29">
        <f>I127</f>
        <v/>
      </c>
      <c r="K127" s="29">
        <f>F127</f>
        <v/>
      </c>
    </row>
    <row r="128">
      <c r="A128" s="29">
        <f>CONCATENATE("NAME_MOVE_", SUBSTITUTE(SUBSTITUTE(UPPER(B128), " ", ""), "-", ""))</f>
        <v/>
      </c>
      <c r="B128" s="29" t="inlineStr">
        <is>
          <t>Waterfall</t>
        </is>
      </c>
      <c r="C128" s="29" t="inlineStr">
        <is>
          <t>たきのぼり</t>
        </is>
      </c>
      <c r="D128" s="29" t="inlineStr">
        <is>
          <t>Cascade</t>
        </is>
      </c>
      <c r="E128" s="29" t="inlineStr">
        <is>
          <t>Kaskade</t>
        </is>
      </c>
      <c r="F128" s="29" t="inlineStr">
        <is>
          <t>Cascada</t>
        </is>
      </c>
      <c r="G128" s="29" t="inlineStr">
        <is>
          <t>Cascata</t>
        </is>
      </c>
      <c r="H128" s="29" t="inlineStr">
        <is>
          <t>폭포오르기</t>
        </is>
      </c>
      <c r="I128" s="29" t="inlineStr">
        <is>
          <t>攀瀑</t>
        </is>
      </c>
      <c r="J128" s="29">
        <f>I128</f>
        <v/>
      </c>
      <c r="K128" s="29">
        <f>F128</f>
        <v/>
      </c>
    </row>
    <row r="129">
      <c r="A129" s="29">
        <f>CONCATENATE("NAME_MOVE_", SUBSTITUTE(SUBSTITUTE(UPPER(B129), " ", ""), "-", ""))</f>
        <v/>
      </c>
      <c r="B129" s="29" t="inlineStr">
        <is>
          <t>Clamp</t>
        </is>
      </c>
      <c r="C129" s="29" t="inlineStr">
        <is>
          <t>からではさむ</t>
        </is>
      </c>
      <c r="D129" s="29" t="inlineStr">
        <is>
          <t>Claquoir</t>
        </is>
      </c>
      <c r="E129" s="29" t="inlineStr">
        <is>
          <t>Schnapper</t>
        </is>
      </c>
      <c r="F129" s="29" t="inlineStr">
        <is>
          <t>Tenaza</t>
        </is>
      </c>
      <c r="G129" s="29" t="inlineStr">
        <is>
          <t>Tenaglia</t>
        </is>
      </c>
      <c r="H129" s="29" t="inlineStr">
        <is>
          <t>껍질끼우기</t>
        </is>
      </c>
      <c r="I129" s="29" t="inlineStr">
        <is>
          <t>貝殼夾擊</t>
        </is>
      </c>
      <c r="J129" s="29">
        <f>IFERROR(__xludf.DUMMYFUNCTION("GOOGLETRANSLATE(I129,""zh_HANT"",""zh_HANS"")"),"贝壳夹击")</f>
        <v/>
      </c>
      <c r="K129" s="29">
        <f>F129</f>
        <v/>
      </c>
    </row>
    <row r="130">
      <c r="A130" s="29">
        <f>CONCATENATE("NAME_MOVE_", SUBSTITUTE(SUBSTITUTE(UPPER(B130), " ", ""), "-", ""))</f>
        <v/>
      </c>
      <c r="B130" s="29" t="inlineStr">
        <is>
          <t>Swift</t>
        </is>
      </c>
      <c r="C130" s="29" t="inlineStr">
        <is>
          <t>スピードスター</t>
        </is>
      </c>
      <c r="D130" s="29" t="inlineStr">
        <is>
          <t>Météores</t>
        </is>
      </c>
      <c r="E130" s="29" t="inlineStr">
        <is>
          <t>Sternschauer</t>
        </is>
      </c>
      <c r="F130" s="29" t="inlineStr">
        <is>
          <t>Rapidez</t>
        </is>
      </c>
      <c r="G130" s="29" t="inlineStr">
        <is>
          <t>Comete</t>
        </is>
      </c>
      <c r="H130" s="29" t="inlineStr">
        <is>
          <t>스피드스타</t>
        </is>
      </c>
      <c r="I130" s="29" t="inlineStr">
        <is>
          <t>高速星星</t>
        </is>
      </c>
      <c r="J130" s="29">
        <f>I130</f>
        <v/>
      </c>
      <c r="K130" s="29">
        <f>F130</f>
        <v/>
      </c>
    </row>
    <row r="131">
      <c r="A131" s="29">
        <f>CONCATENATE("NAME_MOVE_", SUBSTITUTE(SUBSTITUTE(UPPER(B131), " ", ""), "-", ""))</f>
        <v/>
      </c>
      <c r="B131" s="29" t="inlineStr">
        <is>
          <t>Skull Bash</t>
        </is>
      </c>
      <c r="C131" s="29" t="inlineStr">
        <is>
          <t>ロケットずつき</t>
        </is>
      </c>
      <c r="D131" s="29" t="inlineStr">
        <is>
          <t>Coud'Krâne</t>
        </is>
      </c>
      <c r="E131" s="29" t="inlineStr">
        <is>
          <t>Schädelwumme</t>
        </is>
      </c>
      <c r="F131" s="29" t="inlineStr">
        <is>
          <t>Cabezazo</t>
        </is>
      </c>
      <c r="G131" s="29" t="inlineStr">
        <is>
          <t>Capocciata</t>
        </is>
      </c>
      <c r="H131" s="29" t="inlineStr">
        <is>
          <t>로케트박치기</t>
        </is>
      </c>
      <c r="I131" s="29" t="inlineStr">
        <is>
          <t>火箭頭錘</t>
        </is>
      </c>
      <c r="J131" s="29">
        <f>IFERROR(__xludf.DUMMYFUNCTION("GOOGLETRANSLATE(I131,""zh_HANT"",""zh_HANS"")"),"火箭头锤")</f>
        <v/>
      </c>
      <c r="K131" s="29">
        <f>F131</f>
        <v/>
      </c>
    </row>
    <row r="132">
      <c r="A132" s="29">
        <f>CONCATENATE("NAME_MOVE_", SUBSTITUTE(SUBSTITUTE(UPPER(B132), " ", ""), "-", ""))</f>
        <v/>
      </c>
      <c r="B132" s="29" t="inlineStr">
        <is>
          <t>Spike Cannon</t>
        </is>
      </c>
      <c r="C132" s="29" t="inlineStr">
        <is>
          <t>とげキャノン</t>
        </is>
      </c>
      <c r="D132" s="29" t="inlineStr">
        <is>
          <t>Picanon</t>
        </is>
      </c>
      <c r="E132" s="29" t="inlineStr">
        <is>
          <t>Dornkanone</t>
        </is>
      </c>
      <c r="F132" s="29" t="inlineStr">
        <is>
          <t>Clavo Cañón</t>
        </is>
      </c>
      <c r="G132" s="29" t="inlineStr">
        <is>
          <t>Sparalance</t>
        </is>
      </c>
      <c r="H132" s="29" t="inlineStr">
        <is>
          <t>가시대포</t>
        </is>
      </c>
      <c r="I132" s="29" t="inlineStr">
        <is>
          <t>尖刺加農炮</t>
        </is>
      </c>
      <c r="J132" s="29">
        <f>IFERROR(__xludf.DUMMYFUNCTION("GOOGLETRANSLATE(I132,""zh_HANT"",""zh_HANS"")"),"尖刺加农炮")</f>
        <v/>
      </c>
      <c r="K132" s="29">
        <f>F132</f>
        <v/>
      </c>
    </row>
    <row r="133">
      <c r="A133" s="29">
        <f>CONCATENATE("NAME_MOVE_", SUBSTITUTE(SUBSTITUTE(UPPER(B133), " ", ""), "-", ""))</f>
        <v/>
      </c>
      <c r="B133" s="29" t="inlineStr">
        <is>
          <t>Constrict</t>
        </is>
      </c>
      <c r="C133" s="29" t="inlineStr">
        <is>
          <t>からみつく</t>
        </is>
      </c>
      <c r="D133" s="29" t="inlineStr">
        <is>
          <t>Constriction</t>
        </is>
      </c>
      <c r="E133" s="29" t="inlineStr">
        <is>
          <t>Umklammerung</t>
        </is>
      </c>
      <c r="F133" s="29" t="inlineStr">
        <is>
          <t>Restricción</t>
        </is>
      </c>
      <c r="G133" s="29" t="inlineStr">
        <is>
          <t>Limitazione</t>
        </is>
      </c>
      <c r="H133" s="29" t="inlineStr">
        <is>
          <t>휘감기</t>
        </is>
      </c>
      <c r="I133" s="29" t="inlineStr">
        <is>
          <t>纏繞</t>
        </is>
      </c>
      <c r="J133" s="29">
        <f>IFERROR(__xludf.DUMMYFUNCTION("GOOGLETRANSLATE(I133,""zh_HANT"",""zh_HANS"")"),"缠绕")</f>
        <v/>
      </c>
      <c r="K133" s="29">
        <f>F133</f>
        <v/>
      </c>
    </row>
    <row r="134">
      <c r="A134" s="29">
        <f>CONCATENATE("NAME_MOVE_", SUBSTITUTE(SUBSTITUTE(UPPER(B134), " ", ""), "-", ""))</f>
        <v/>
      </c>
      <c r="B134" s="29" t="inlineStr">
        <is>
          <t>Amnesia</t>
        </is>
      </c>
      <c r="C134" s="29" t="inlineStr">
        <is>
          <t>ドわすれ</t>
        </is>
      </c>
      <c r="D134" s="29" t="inlineStr">
        <is>
          <t>Amnésie</t>
        </is>
      </c>
      <c r="E134" s="29" t="inlineStr">
        <is>
          <t>Amnesie</t>
        </is>
      </c>
      <c r="F134" s="29">
        <f>B134</f>
        <v/>
      </c>
      <c r="G134" s="29">
        <f>B134</f>
        <v/>
      </c>
      <c r="H134" s="29" t="inlineStr">
        <is>
          <t>망각술</t>
        </is>
      </c>
      <c r="I134" s="29" t="inlineStr">
        <is>
          <t>瞬間失憶</t>
        </is>
      </c>
      <c r="J134" s="29">
        <f>IFERROR(__xludf.DUMMYFUNCTION("GOOGLETRANSLATE(I134,""zh_HANT"",""zh_HANS"")"),"瞬间失忆")</f>
        <v/>
      </c>
      <c r="K134" s="29">
        <f>F134</f>
        <v/>
      </c>
    </row>
    <row r="135">
      <c r="A135" s="29">
        <f>CONCATENATE("NAME_MOVE_", SUBSTITUTE(SUBSTITUTE(UPPER(B135), " ", ""), "-", ""))</f>
        <v/>
      </c>
      <c r="B135" s="29" t="inlineStr">
        <is>
          <t>Kinesis</t>
        </is>
      </c>
      <c r="C135" s="29" t="inlineStr">
        <is>
          <t>スプーンまげ</t>
        </is>
      </c>
      <c r="D135" s="29" t="inlineStr">
        <is>
          <t>Télékinésie</t>
        </is>
      </c>
      <c r="E135" s="29" t="inlineStr">
        <is>
          <t>Psykraft</t>
        </is>
      </c>
      <c r="F135" s="29" t="inlineStr">
        <is>
          <t>Kinético</t>
        </is>
      </c>
      <c r="G135" s="29" t="inlineStr">
        <is>
          <t>Cinèsi</t>
        </is>
      </c>
      <c r="H135" s="29" t="inlineStr">
        <is>
          <t>숟가락휘기</t>
        </is>
      </c>
      <c r="I135" s="29" t="inlineStr">
        <is>
          <t>折彎湯匙</t>
        </is>
      </c>
      <c r="J135" s="29">
        <f>IFERROR(__xludf.DUMMYFUNCTION("GOOGLETRANSLATE(I135,""zh_HANT"",""zh_HANS"")"),"折弯汤匙")</f>
        <v/>
      </c>
      <c r="K135" s="29">
        <f>F135</f>
        <v/>
      </c>
    </row>
    <row r="136">
      <c r="A136" s="29">
        <f>CONCATENATE("NAME_MOVE_", SUBSTITUTE(SUBSTITUTE(UPPER(B136), " ", ""), "-", ""))</f>
        <v/>
      </c>
      <c r="B136" s="29" t="inlineStr">
        <is>
          <t>Soft-Boiled</t>
        </is>
      </c>
      <c r="C136" s="29" t="inlineStr">
        <is>
          <t>タマゴうみ</t>
        </is>
      </c>
      <c r="D136" s="29" t="inlineStr">
        <is>
          <t>E-Coque</t>
        </is>
      </c>
      <c r="E136" s="29" t="inlineStr">
        <is>
          <t>Weichei</t>
        </is>
      </c>
      <c r="F136" s="29" t="inlineStr">
        <is>
          <t>Amortiguador</t>
        </is>
      </c>
      <c r="G136" s="29" t="inlineStr">
        <is>
          <t>Covaouva</t>
        </is>
      </c>
      <c r="H136" s="29" t="inlineStr">
        <is>
          <t>알낳기</t>
        </is>
      </c>
      <c r="I136" s="29" t="inlineStr">
        <is>
          <t>生蛋</t>
        </is>
      </c>
      <c r="J136" s="29">
        <f>I136</f>
        <v/>
      </c>
      <c r="K136" s="29">
        <f>F136</f>
        <v/>
      </c>
    </row>
    <row r="137">
      <c r="A137" s="29">
        <f>CONCATENATE("NAME_MOVE_", SUBSTITUTE(SUBSTITUTE(UPPER(B137), " ", ""), "-", ""))</f>
        <v/>
      </c>
      <c r="B137" s="29" t="inlineStr">
        <is>
          <t>High Jump Kick</t>
        </is>
      </c>
      <c r="C137" s="29" t="inlineStr">
        <is>
          <t>とびひざげり</t>
        </is>
      </c>
      <c r="D137" s="29" t="inlineStr">
        <is>
          <t>Pied Voltige</t>
        </is>
      </c>
      <c r="E137" s="29" t="inlineStr">
        <is>
          <t>Turmkick</t>
        </is>
      </c>
      <c r="F137" s="29" t="inlineStr">
        <is>
          <t>Pat. Salto Alta</t>
        </is>
      </c>
      <c r="G137" s="29" t="inlineStr">
        <is>
          <t>Calcinvolo</t>
        </is>
      </c>
      <c r="H137" s="29" t="inlineStr">
        <is>
          <t>무릎차기</t>
        </is>
      </c>
      <c r="I137" s="29" t="inlineStr">
        <is>
          <t>飛膝踢</t>
        </is>
      </c>
      <c r="J137" s="29">
        <f>IFERROR(__xludf.DUMMYFUNCTION("GOOGLETRANSLATE(I137,""zh_HANT"",""zh_HANS"")"),"飞膝踢")</f>
        <v/>
      </c>
      <c r="K137" s="29">
        <f>F137</f>
        <v/>
      </c>
    </row>
    <row r="138">
      <c r="A138" s="29">
        <f>CONCATENATE("NAME_MOVE_", SUBSTITUTE(SUBSTITUTE(UPPER(B138), " ", ""), "-", ""))</f>
        <v/>
      </c>
      <c r="B138" s="29" t="inlineStr">
        <is>
          <t>Glare</t>
        </is>
      </c>
      <c r="C138" s="29" t="inlineStr">
        <is>
          <t>へびにらみ</t>
        </is>
      </c>
      <c r="D138" s="29" t="inlineStr">
        <is>
          <t>Regard Médusant</t>
        </is>
      </c>
      <c r="E138" s="29" t="inlineStr">
        <is>
          <t>Schlangenblick</t>
        </is>
      </c>
      <c r="F138" s="29" t="inlineStr">
        <is>
          <t>Deslumbrar</t>
        </is>
      </c>
      <c r="G138" s="29" t="inlineStr">
        <is>
          <t>Sguardo Feroce</t>
        </is>
      </c>
      <c r="H138" s="29" t="inlineStr">
        <is>
          <t>뱀눈초리</t>
        </is>
      </c>
      <c r="I138" s="29" t="inlineStr">
        <is>
          <t>大蛇瞪眼</t>
        </is>
      </c>
      <c r="J138" s="29">
        <f>I138</f>
        <v/>
      </c>
      <c r="K138" s="29">
        <f>F138</f>
        <v/>
      </c>
    </row>
    <row r="139">
      <c r="A139" s="29">
        <f>CONCATENATE("NAME_MOVE_", SUBSTITUTE(SUBSTITUTE(UPPER(B139), " ", ""), "-", ""))</f>
        <v/>
      </c>
      <c r="B139" s="29" t="inlineStr">
        <is>
          <t>Dream Eater</t>
        </is>
      </c>
      <c r="C139" s="29" t="inlineStr">
        <is>
          <t>ゆめくい</t>
        </is>
      </c>
      <c r="D139" s="29" t="inlineStr">
        <is>
          <t>Dévorêve</t>
        </is>
      </c>
      <c r="E139" s="29" t="inlineStr">
        <is>
          <t>Traumfresser</t>
        </is>
      </c>
      <c r="F139" s="29" t="inlineStr">
        <is>
          <t>Comesueños</t>
        </is>
      </c>
      <c r="G139" s="29" t="inlineStr">
        <is>
          <t>Mangiasogni</t>
        </is>
      </c>
      <c r="H139" s="29" t="inlineStr">
        <is>
          <t>꿈먹기</t>
        </is>
      </c>
      <c r="I139" s="29" t="inlineStr">
        <is>
          <t>食夢</t>
        </is>
      </c>
      <c r="J139" s="29">
        <f>IFERROR(__xludf.DUMMYFUNCTION("GOOGLETRANSLATE(I139,""zh_HANT"",""zh_HANS"")"),"食梦")</f>
        <v/>
      </c>
      <c r="K139" s="29">
        <f>F139</f>
        <v/>
      </c>
    </row>
    <row r="140">
      <c r="A140" s="29">
        <f>CONCATENATE("NAME_MOVE_", SUBSTITUTE(SUBSTITUTE(UPPER(B140), " ", ""), "-", ""))</f>
        <v/>
      </c>
      <c r="B140" s="29" t="inlineStr">
        <is>
          <t>Poison Gas</t>
        </is>
      </c>
      <c r="C140" s="29" t="inlineStr">
        <is>
          <t>どくガス</t>
        </is>
      </c>
      <c r="D140" s="29" t="inlineStr">
        <is>
          <t>Gaz Toxik</t>
        </is>
      </c>
      <c r="E140" s="29" t="inlineStr">
        <is>
          <t>Giftwolke</t>
        </is>
      </c>
      <c r="F140" s="29" t="inlineStr">
        <is>
          <t>Gas Venenoso</t>
        </is>
      </c>
      <c r="G140" s="29" t="inlineStr">
        <is>
          <t>Velenogas</t>
        </is>
      </c>
      <c r="H140" s="29" t="inlineStr">
        <is>
          <t>독가스</t>
        </is>
      </c>
      <c r="I140" s="29" t="inlineStr">
        <is>
          <t>毒瓦斯</t>
        </is>
      </c>
      <c r="J140" s="29">
        <f>I140</f>
        <v/>
      </c>
      <c r="K140" s="29">
        <f>F140</f>
        <v/>
      </c>
    </row>
    <row r="141">
      <c r="A141" s="29">
        <f>CONCATENATE("NAME_MOVE_", SUBSTITUTE(SUBSTITUTE(UPPER(B141), " ", ""), "-", ""))</f>
        <v/>
      </c>
      <c r="B141" s="29" t="inlineStr">
        <is>
          <t>Barrage</t>
        </is>
      </c>
      <c r="C141" s="29" t="inlineStr">
        <is>
          <t>たまなげ</t>
        </is>
      </c>
      <c r="D141" s="29" t="inlineStr">
        <is>
          <t>Pilonnage</t>
        </is>
      </c>
      <c r="E141" s="29" t="inlineStr">
        <is>
          <t>Stakkato</t>
        </is>
      </c>
      <c r="F141" s="29" t="inlineStr">
        <is>
          <t>Bombardeo</t>
        </is>
      </c>
      <c r="G141" s="29" t="inlineStr">
        <is>
          <t>Attacco Pioggia</t>
        </is>
      </c>
      <c r="H141" s="29" t="inlineStr">
        <is>
          <t>구슬던지기</t>
        </is>
      </c>
      <c r="I141" s="29" t="inlineStr">
        <is>
          <t>投球</t>
        </is>
      </c>
      <c r="J141" s="29">
        <f>I141</f>
        <v/>
      </c>
      <c r="K141" s="29">
        <f>F141</f>
        <v/>
      </c>
    </row>
    <row r="142">
      <c r="A142" s="29">
        <f>CONCATENATE("NAME_MOVE_", SUBSTITUTE(SUBSTITUTE(UPPER(B142), " ", ""), "-", ""))</f>
        <v/>
      </c>
      <c r="B142" s="29" t="inlineStr">
        <is>
          <t>Leech Life</t>
        </is>
      </c>
      <c r="C142" s="29" t="inlineStr">
        <is>
          <t>きゅうけつ</t>
        </is>
      </c>
      <c r="D142" s="29" t="inlineStr">
        <is>
          <t>Vampirisme</t>
        </is>
      </c>
      <c r="E142" s="29" t="inlineStr">
        <is>
          <t>Blutsauger</t>
        </is>
      </c>
      <c r="F142" s="29" t="inlineStr">
        <is>
          <t>Chupavidas</t>
        </is>
      </c>
      <c r="G142" s="29" t="inlineStr">
        <is>
          <t>Sanguisuga</t>
        </is>
      </c>
      <c r="H142" s="29" t="inlineStr">
        <is>
          <t>흡혈</t>
        </is>
      </c>
      <c r="I142" s="29" t="inlineStr">
        <is>
          <t>吸血</t>
        </is>
      </c>
      <c r="J142" s="29" t="inlineStr">
        <is>
          <t>汲取</t>
        </is>
      </c>
      <c r="K142" s="29">
        <f>F142</f>
        <v/>
      </c>
    </row>
    <row r="143">
      <c r="A143" s="29">
        <f>CONCATENATE("NAME_MOVE_", SUBSTITUTE(SUBSTITUTE(UPPER(B143), " ", ""), "-", ""))</f>
        <v/>
      </c>
      <c r="B143" s="29" t="inlineStr">
        <is>
          <t>Lovely Kiss</t>
        </is>
      </c>
      <c r="C143" s="29" t="inlineStr">
        <is>
          <t>あくまのキッス</t>
        </is>
      </c>
      <c r="D143" s="29" t="inlineStr">
        <is>
          <t>Grobisou</t>
        </is>
      </c>
      <c r="E143" s="29" t="inlineStr">
        <is>
          <t>Todeskuss</t>
        </is>
      </c>
      <c r="F143" s="29" t="inlineStr">
        <is>
          <t>Beso Amoroso</t>
        </is>
      </c>
      <c r="G143" s="29" t="inlineStr">
        <is>
          <t>Demonbacio</t>
        </is>
      </c>
      <c r="H143" s="29" t="inlineStr">
        <is>
          <t>악마의키스</t>
        </is>
      </c>
      <c r="I143" s="29" t="inlineStr">
        <is>
          <t>惡魔之吻</t>
        </is>
      </c>
      <c r="J143" s="29">
        <f>I143</f>
        <v/>
      </c>
      <c r="K143" s="29">
        <f>F143</f>
        <v/>
      </c>
    </row>
    <row r="144">
      <c r="A144" s="29">
        <f>CONCATENATE("NAME_MOVE_", SUBSTITUTE(SUBSTITUTE(UPPER(B144), " ", ""), "-", ""))</f>
        <v/>
      </c>
      <c r="B144" s="29" t="inlineStr">
        <is>
          <t>Sky Attack</t>
        </is>
      </c>
      <c r="C144" s="29" t="inlineStr">
        <is>
          <t>ゴッドバード</t>
        </is>
      </c>
      <c r="D144" s="29" t="inlineStr">
        <is>
          <t>Piqué</t>
        </is>
      </c>
      <c r="E144" s="29" t="inlineStr">
        <is>
          <t>Himmelsfeger</t>
        </is>
      </c>
      <c r="F144" s="29" t="inlineStr">
        <is>
          <t>Ataque Aéreo</t>
        </is>
      </c>
      <c r="G144" s="29" t="inlineStr">
        <is>
          <t>Aeroattacco</t>
        </is>
      </c>
      <c r="H144" s="29" t="inlineStr">
        <is>
          <t>불새</t>
        </is>
      </c>
      <c r="I144" s="29" t="inlineStr">
        <is>
          <t>神鳥猛擊</t>
        </is>
      </c>
      <c r="J144" s="29">
        <f>IFERROR(__xludf.DUMMYFUNCTION("GOOGLETRANSLATE(I144,""zh_HANT"",""zh_HANS"")"),"神鸟猛击")</f>
        <v/>
      </c>
      <c r="K144" s="29">
        <f>F144</f>
        <v/>
      </c>
    </row>
    <row r="145">
      <c r="A145" s="29">
        <f>CONCATENATE("NAME_MOVE_", SUBSTITUTE(SUBSTITUTE(UPPER(B145), " ", ""), "-", ""))</f>
        <v/>
      </c>
      <c r="B145" s="29" t="inlineStr">
        <is>
          <t>Transform</t>
        </is>
      </c>
      <c r="C145" s="29" t="inlineStr">
        <is>
          <t>へんしん</t>
        </is>
      </c>
      <c r="D145" s="29" t="inlineStr">
        <is>
          <t>Morphing</t>
        </is>
      </c>
      <c r="E145" s="4" t="inlineStr">
        <is>
          <t>Wandler</t>
        </is>
      </c>
      <c r="F145" s="29" t="inlineStr">
        <is>
          <t>Transformación</t>
        </is>
      </c>
      <c r="G145" s="29" t="inlineStr">
        <is>
          <t>Trasformazione</t>
        </is>
      </c>
      <c r="H145" s="29" t="inlineStr">
        <is>
          <t>변신</t>
        </is>
      </c>
      <c r="I145" s="29" t="inlineStr">
        <is>
          <t>變身</t>
        </is>
      </c>
      <c r="J145" s="29">
        <f>IFERROR(__xludf.DUMMYFUNCTION("GOOGLETRANSLATE(I145,""zh_HANT"",""zh_HANS"")"),"变身")</f>
        <v/>
      </c>
      <c r="K145" s="29">
        <f>F145</f>
        <v/>
      </c>
    </row>
    <row r="146">
      <c r="A146" s="29">
        <f>CONCATENATE("NAME_MOVE_", SUBSTITUTE(SUBSTITUTE(UPPER(B146), " ", ""), "-", ""))</f>
        <v/>
      </c>
      <c r="B146" s="29" t="inlineStr">
        <is>
          <t>Bubble</t>
        </is>
      </c>
      <c r="C146" s="29" t="inlineStr">
        <is>
          <t>あわ</t>
        </is>
      </c>
      <c r="D146" s="29" t="inlineStr">
        <is>
          <t>Écume</t>
        </is>
      </c>
      <c r="E146" s="29" t="inlineStr">
        <is>
          <t>Bubbler</t>
        </is>
      </c>
      <c r="F146" s="29" t="inlineStr">
        <is>
          <t>Burbuja</t>
        </is>
      </c>
      <c r="G146" s="29" t="inlineStr">
        <is>
          <t>Bolla</t>
        </is>
      </c>
      <c r="H146" s="29" t="inlineStr">
        <is>
          <t>거품</t>
        </is>
      </c>
      <c r="I146" s="29" t="inlineStr">
        <is>
          <t>泡沫</t>
        </is>
      </c>
      <c r="J146" s="29">
        <f>I146</f>
        <v/>
      </c>
      <c r="K146" s="29">
        <f>F146</f>
        <v/>
      </c>
    </row>
    <row r="147">
      <c r="A147" s="29">
        <f>CONCATENATE("NAME_MOVE_", SUBSTITUTE(SUBSTITUTE(UPPER(B147), " ", ""), "-", ""))</f>
        <v/>
      </c>
      <c r="B147" s="29" t="inlineStr">
        <is>
          <t>Dizzy Punch</t>
        </is>
      </c>
      <c r="C147" s="29" t="inlineStr">
        <is>
          <t>ピヨピヨパンチ</t>
        </is>
      </c>
      <c r="D147" s="29" t="inlineStr">
        <is>
          <t>Uppercut</t>
        </is>
      </c>
      <c r="E147" s="29" t="inlineStr">
        <is>
          <t>Irrschlag</t>
        </is>
      </c>
      <c r="F147" s="29" t="inlineStr">
        <is>
          <t>Puño Mareo</t>
        </is>
      </c>
      <c r="G147" s="29" t="inlineStr">
        <is>
          <t>Stordipugno</t>
        </is>
      </c>
      <c r="H147" s="29" t="inlineStr">
        <is>
          <t>잼잼펀치</t>
        </is>
      </c>
      <c r="I147" s="29" t="inlineStr">
        <is>
          <t>迷昏拳</t>
        </is>
      </c>
      <c r="J147" s="29">
        <f>I147</f>
        <v/>
      </c>
      <c r="K147" s="29">
        <f>F147</f>
        <v/>
      </c>
    </row>
    <row r="148">
      <c r="A148" s="29">
        <f>CONCATENATE("NAME_MOVE_", SUBSTITUTE(SUBSTITUTE(UPPER(B148), " ", ""), "-", ""))</f>
        <v/>
      </c>
      <c r="B148" s="29" t="inlineStr">
        <is>
          <t>Spore</t>
        </is>
      </c>
      <c r="C148" s="29" t="inlineStr">
        <is>
          <t>キノコのほうし</t>
        </is>
      </c>
      <c r="D148" s="29">
        <f>B148</f>
        <v/>
      </c>
      <c r="E148" s="29" t="inlineStr">
        <is>
          <t>Pilzspore</t>
        </is>
      </c>
      <c r="F148" s="29" t="inlineStr">
        <is>
          <t>Espora</t>
        </is>
      </c>
      <c r="G148" s="29" t="inlineStr">
        <is>
          <t>Spora</t>
        </is>
      </c>
      <c r="H148" s="29" t="inlineStr">
        <is>
          <t>버섯포자</t>
        </is>
      </c>
      <c r="I148" s="29" t="inlineStr">
        <is>
          <t>蘑菇孢子</t>
        </is>
      </c>
      <c r="J148" s="29">
        <f>I148</f>
        <v/>
      </c>
      <c r="K148" s="29">
        <f>F148</f>
        <v/>
      </c>
    </row>
    <row r="149">
      <c r="A149" s="29">
        <f>CONCATENATE("NAME_MOVE_", SUBSTITUTE(SUBSTITUTE(UPPER(B149), " ", ""), "-", ""))</f>
        <v/>
      </c>
      <c r="B149" s="29" t="inlineStr">
        <is>
          <t>Flash</t>
        </is>
      </c>
      <c r="C149" s="29" t="inlineStr">
        <is>
          <t>フラッシュ</t>
        </is>
      </c>
      <c r="D149" s="29">
        <f>B149</f>
        <v/>
      </c>
      <c r="E149" s="29" t="inlineStr">
        <is>
          <t>Blitz</t>
        </is>
      </c>
      <c r="F149" s="29" t="inlineStr">
        <is>
          <t>Destello</t>
        </is>
      </c>
      <c r="G149" s="29">
        <f>B149</f>
        <v/>
      </c>
      <c r="H149" s="29" t="inlineStr">
        <is>
          <t>플래시</t>
        </is>
      </c>
      <c r="I149" s="29" t="inlineStr">
        <is>
          <t>閃光</t>
        </is>
      </c>
      <c r="J149" s="29">
        <f>IFERROR(__xludf.DUMMYFUNCTION("GOOGLETRANSLATE(I149,""zh_HANT"",""zh_HANS"")"),"闪光")</f>
        <v/>
      </c>
      <c r="K149" s="29">
        <f>F149</f>
        <v/>
      </c>
    </row>
    <row r="150">
      <c r="A150" s="29">
        <f>CONCATENATE("NAME_MOVE_", SUBSTITUTE(SUBSTITUTE(UPPER(B150), " ", ""), "-", ""))</f>
        <v/>
      </c>
      <c r="B150" s="9" t="inlineStr">
        <is>
          <t>Psywave</t>
        </is>
      </c>
      <c r="C150" s="29" t="inlineStr">
        <is>
          <t>サイコウェーブ</t>
        </is>
      </c>
      <c r="D150" s="29" t="inlineStr">
        <is>
          <t>Vague Psy</t>
        </is>
      </c>
      <c r="E150" s="29" t="inlineStr">
        <is>
          <t>Psywelle</t>
        </is>
      </c>
      <c r="F150" s="29" t="inlineStr">
        <is>
          <t>Psicoonda</t>
        </is>
      </c>
      <c r="G150" s="29" t="inlineStr">
        <is>
          <t>Psiconda</t>
        </is>
      </c>
      <c r="H150" s="29" t="inlineStr">
        <is>
          <t>사이코웨이브</t>
        </is>
      </c>
      <c r="I150" s="29" t="inlineStr">
        <is>
          <t>精神波</t>
        </is>
      </c>
      <c r="J150" s="29">
        <f>I150</f>
        <v/>
      </c>
      <c r="K150" s="29">
        <f>F150</f>
        <v/>
      </c>
    </row>
    <row r="151">
      <c r="A151" s="29">
        <f>CONCATENATE("NAME_MOVE_", SUBSTITUTE(SUBSTITUTE(UPPER(B151), " ", ""), "-", ""))</f>
        <v/>
      </c>
      <c r="B151" s="29" t="inlineStr">
        <is>
          <t>Splash</t>
        </is>
      </c>
      <c r="C151" s="29" t="inlineStr">
        <is>
          <t>はねる</t>
        </is>
      </c>
      <c r="D151" s="29" t="inlineStr">
        <is>
          <t>Trempette</t>
        </is>
      </c>
      <c r="E151" s="29" t="inlineStr">
        <is>
          <t>Platscher</t>
        </is>
      </c>
      <c r="F151" s="29" t="inlineStr">
        <is>
          <t>Salpicadura</t>
        </is>
      </c>
      <c r="G151" s="29">
        <f>B151</f>
        <v/>
      </c>
      <c r="H151" s="29" t="inlineStr">
        <is>
          <t>튀어오르기</t>
        </is>
      </c>
      <c r="I151" s="29" t="inlineStr">
        <is>
          <t>躍起</t>
        </is>
      </c>
      <c r="J151" s="29">
        <f>IFERROR(__xludf.DUMMYFUNCTION("GOOGLETRANSLATE(I151,""zh_HANT"",""zh_HANS"")"),"跃起")</f>
        <v/>
      </c>
      <c r="K151" s="29">
        <f>F151</f>
        <v/>
      </c>
    </row>
    <row r="152">
      <c r="A152" s="29">
        <f>CONCATENATE("NAME_MOVE_", SUBSTITUTE(SUBSTITUTE(UPPER(B152), " ", ""), "-", ""))</f>
        <v/>
      </c>
      <c r="B152" s="29" t="inlineStr">
        <is>
          <t>Acid Armor</t>
        </is>
      </c>
      <c r="C152" s="29" t="inlineStr">
        <is>
          <t>とける</t>
        </is>
      </c>
      <c r="D152" s="29" t="inlineStr">
        <is>
          <t>Acidarmure</t>
        </is>
      </c>
      <c r="E152" s="29" t="inlineStr">
        <is>
          <t>Säurepanzer</t>
        </is>
      </c>
      <c r="F152" s="29" t="inlineStr">
        <is>
          <t>Armad. Ácida</t>
        </is>
      </c>
      <c r="G152" s="29" t="inlineStr">
        <is>
          <t>Scudo Acido</t>
        </is>
      </c>
      <c r="H152" s="29" t="inlineStr">
        <is>
          <t>녹기</t>
        </is>
      </c>
      <c r="I152" s="29" t="inlineStr">
        <is>
          <t>溶化</t>
        </is>
      </c>
      <c r="J152" s="29">
        <f>I152</f>
        <v/>
      </c>
      <c r="K152" s="29">
        <f>F152</f>
        <v/>
      </c>
    </row>
    <row r="153">
      <c r="A153" s="29">
        <f>CONCATENATE("NAME_MOVE_", SUBSTITUTE(SUBSTITUTE(UPPER(B153), " ", ""), "-", ""))</f>
        <v/>
      </c>
      <c r="B153" s="29" t="inlineStr">
        <is>
          <t>Crabhammer</t>
        </is>
      </c>
      <c r="C153" s="29" t="inlineStr">
        <is>
          <t>クラブハンマー</t>
        </is>
      </c>
      <c r="D153" s="29" t="inlineStr">
        <is>
          <t>Pince-Masse</t>
        </is>
      </c>
      <c r="E153" s="29" t="inlineStr">
        <is>
          <t>Krabbhammer</t>
        </is>
      </c>
      <c r="F153" s="29" t="inlineStr">
        <is>
          <t>Martillazo</t>
        </is>
      </c>
      <c r="G153" s="29" t="inlineStr">
        <is>
          <t>Martellata</t>
        </is>
      </c>
      <c r="H153" s="29" t="inlineStr">
        <is>
          <t>찝게햄머</t>
        </is>
      </c>
      <c r="I153" s="29" t="inlineStr">
        <is>
          <t>蟹鉗錘</t>
        </is>
      </c>
      <c r="J153" s="29">
        <f>IFERROR(__xludf.DUMMYFUNCTION("GOOGLETRANSLATE(I153,""zh_HANT"",""zh_HANS"")"),"蟹钳锤")</f>
        <v/>
      </c>
      <c r="K153" s="29">
        <f>F153</f>
        <v/>
      </c>
    </row>
    <row r="154">
      <c r="A154" s="29">
        <f>CONCATENATE("NAME_MOVE_", SUBSTITUTE(SUBSTITUTE(UPPER(B154), " ", ""), "-", ""))</f>
        <v/>
      </c>
      <c r="B154" s="29" t="inlineStr">
        <is>
          <t>Explosion</t>
        </is>
      </c>
      <c r="C154" s="29" t="inlineStr">
        <is>
          <t>だいばくれつ</t>
        </is>
      </c>
      <c r="D154" s="29">
        <f>B154</f>
        <v/>
      </c>
      <c r="E154" s="29">
        <f>B154</f>
        <v/>
      </c>
      <c r="F154" s="29" t="inlineStr">
        <is>
          <t>Explosión</t>
        </is>
      </c>
      <c r="G154" s="29" t="inlineStr">
        <is>
          <t>Esplosione</t>
        </is>
      </c>
      <c r="H154" s="29" t="inlineStr">
        <is>
          <t>대폭발</t>
        </is>
      </c>
      <c r="I154" s="29" t="inlineStr">
        <is>
          <t>大爆炸</t>
        </is>
      </c>
      <c r="J154" s="29">
        <f>I154</f>
        <v/>
      </c>
      <c r="K154" s="29">
        <f>F154</f>
        <v/>
      </c>
    </row>
    <row r="155">
      <c r="A155" s="29">
        <f>CONCATENATE("NAME_MOVE_", SUBSTITUTE(SUBSTITUTE(UPPER(B155), " ", ""), "-", ""))</f>
        <v/>
      </c>
      <c r="B155" s="29" t="inlineStr">
        <is>
          <t>Fury Swipes</t>
        </is>
      </c>
      <c r="C155" s="29" t="inlineStr">
        <is>
          <t>みだれひっかき</t>
        </is>
      </c>
      <c r="D155" s="29" t="inlineStr">
        <is>
          <t>Combo-Griffe</t>
        </is>
      </c>
      <c r="E155" s="29" t="inlineStr">
        <is>
          <t>Kratzfurie</t>
        </is>
      </c>
      <c r="F155" s="29" t="inlineStr">
        <is>
          <t>Golpes Furia</t>
        </is>
      </c>
      <c r="G155" s="29" t="inlineStr">
        <is>
          <t>Sfuriate</t>
        </is>
      </c>
      <c r="H155" s="29" t="inlineStr">
        <is>
          <t>마구할퀴기</t>
        </is>
      </c>
      <c r="I155" s="29" t="inlineStr">
        <is>
          <t>亂抓</t>
        </is>
      </c>
      <c r="J155" s="29">
        <f>IFERROR(__xludf.DUMMYFUNCTION("GOOGLETRANSLATE(I155,""zh_HANT"",""zh_HANS"")"),"乱抓")</f>
        <v/>
      </c>
      <c r="K155" s="29">
        <f>F155</f>
        <v/>
      </c>
    </row>
    <row r="156">
      <c r="A156" s="29">
        <f>CONCATENATE("NAME_MOVE_", SUBSTITUTE(SUBSTITUTE(UPPER(B156), " ", ""), "-", ""))</f>
        <v/>
      </c>
      <c r="B156" s="29" t="inlineStr">
        <is>
          <t>Bonemarang</t>
        </is>
      </c>
      <c r="C156" s="29" t="inlineStr">
        <is>
          <t>ホネブーメラン</t>
        </is>
      </c>
      <c r="D156" s="29" t="inlineStr">
        <is>
          <t>Osmerang</t>
        </is>
      </c>
      <c r="E156" s="29" t="inlineStr">
        <is>
          <t>Knochmerang</t>
        </is>
      </c>
      <c r="F156" s="29" t="inlineStr">
        <is>
          <t>Huesomerang</t>
        </is>
      </c>
      <c r="G156" s="29" t="inlineStr">
        <is>
          <t>Ossomerang</t>
        </is>
      </c>
      <c r="H156" s="29" t="inlineStr">
        <is>
          <t>뼈다귀부메랑</t>
        </is>
      </c>
      <c r="I156" s="29" t="inlineStr">
        <is>
          <t>骨頭回力鏢</t>
        </is>
      </c>
      <c r="J156" s="29">
        <f>IFERROR(__xludf.DUMMYFUNCTION("GOOGLETRANSLATE(I156,""zh_HANT"",""zh_HANS"")"),"骨头回力镖")</f>
        <v/>
      </c>
      <c r="K156" s="29">
        <f>F156</f>
        <v/>
      </c>
    </row>
    <row r="157">
      <c r="A157" s="29">
        <f>CONCATENATE("NAME_MOVE_", SUBSTITUTE(SUBSTITUTE(UPPER(B157), " ", ""), "-", ""))</f>
        <v/>
      </c>
      <c r="B157" s="29" t="inlineStr">
        <is>
          <t>Rest</t>
        </is>
      </c>
      <c r="C157" s="29" t="inlineStr">
        <is>
          <t>ねむる</t>
        </is>
      </c>
      <c r="D157" s="29" t="inlineStr">
        <is>
          <t>Repos</t>
        </is>
      </c>
      <c r="E157" s="29" t="inlineStr">
        <is>
          <t>Erholung</t>
        </is>
      </c>
      <c r="F157" s="29" t="inlineStr">
        <is>
          <t>Descanso</t>
        </is>
      </c>
      <c r="G157" s="29" t="inlineStr">
        <is>
          <t>Riposo</t>
        </is>
      </c>
      <c r="H157" s="29" t="inlineStr">
        <is>
          <t>잠자기</t>
        </is>
      </c>
      <c r="I157" s="29" t="inlineStr">
        <is>
          <t>睡覺</t>
        </is>
      </c>
      <c r="J157" s="29">
        <f>IFERROR(__xludf.DUMMYFUNCTION("GOOGLETRANSLATE(I157,""zh_HANT"",""zh_HANS"")"),"睡觉")</f>
        <v/>
      </c>
      <c r="K157" s="29">
        <f>F157</f>
        <v/>
      </c>
    </row>
    <row r="158">
      <c r="A158" s="29">
        <f>CONCATENATE("NAME_MOVE_", SUBSTITUTE(SUBSTITUTE(UPPER(B158), " ", ""), "-", ""))</f>
        <v/>
      </c>
      <c r="B158" s="29" t="inlineStr">
        <is>
          <t>Rock Slide</t>
        </is>
      </c>
      <c r="C158" s="29" t="inlineStr">
        <is>
          <t>いわなだれ</t>
        </is>
      </c>
      <c r="D158" s="29" t="inlineStr">
        <is>
          <t>Éboulement</t>
        </is>
      </c>
      <c r="E158" s="29" t="inlineStr">
        <is>
          <t>Steinhagel</t>
        </is>
      </c>
      <c r="F158" s="29" t="inlineStr">
        <is>
          <t>Avalancha</t>
        </is>
      </c>
      <c r="G158" s="29" t="inlineStr">
        <is>
          <t>Frana</t>
        </is>
      </c>
      <c r="H158" s="29" t="inlineStr">
        <is>
          <t>스톤샤워</t>
        </is>
      </c>
      <c r="I158" s="29" t="inlineStr">
        <is>
          <t>岩崩</t>
        </is>
      </c>
      <c r="J158" s="29">
        <f>I158</f>
        <v/>
      </c>
      <c r="K158" s="29">
        <f>F158</f>
        <v/>
      </c>
    </row>
    <row r="159">
      <c r="A159" s="29">
        <f>CONCATENATE("NAME_MOVE_", SUBSTITUTE(SUBSTITUTE(UPPER(B159), " ", ""), "-", ""))</f>
        <v/>
      </c>
      <c r="B159" s="29" t="inlineStr">
        <is>
          <t>Hyper Fang</t>
        </is>
      </c>
      <c r="C159" s="29" t="inlineStr">
        <is>
          <t>ひっさつまえば</t>
        </is>
      </c>
      <c r="D159" s="29" t="inlineStr">
        <is>
          <t>Croc de Mort</t>
        </is>
      </c>
      <c r="E159" s="29" t="inlineStr">
        <is>
          <t>Hyperzahn</t>
        </is>
      </c>
      <c r="F159" s="29" t="inlineStr">
        <is>
          <t>Hipercolmillo</t>
        </is>
      </c>
      <c r="G159" s="29" t="inlineStr">
        <is>
          <t>Iperzanna</t>
        </is>
      </c>
      <c r="H159" s="29" t="inlineStr">
        <is>
          <t>필살앞니</t>
        </is>
      </c>
      <c r="I159" s="29" t="inlineStr">
        <is>
          <t>必殺門牙</t>
        </is>
      </c>
      <c r="J159" s="29" t="inlineStr">
        <is>
          <t>终结门牙</t>
        </is>
      </c>
      <c r="K159" s="29">
        <f>F159</f>
        <v/>
      </c>
    </row>
    <row r="160">
      <c r="A160" s="29">
        <f>CONCATENATE("NAME_MOVE_", SUBSTITUTE(SUBSTITUTE(UPPER(B160), " ", ""), "-", ""))</f>
        <v/>
      </c>
      <c r="B160" s="29" t="inlineStr">
        <is>
          <t>Sharpen</t>
        </is>
      </c>
      <c r="C160" s="29" t="inlineStr">
        <is>
          <t>かくばる</t>
        </is>
      </c>
      <c r="D160" s="29" t="inlineStr">
        <is>
          <t>Affûtage</t>
        </is>
      </c>
      <c r="E160" s="29" t="inlineStr">
        <is>
          <t>Schärfer</t>
        </is>
      </c>
      <c r="F160" s="29" t="inlineStr">
        <is>
          <t>Afilar</t>
        </is>
      </c>
      <c r="G160" s="29" t="inlineStr">
        <is>
          <t>Affilatore</t>
        </is>
      </c>
      <c r="H160" s="29" t="inlineStr">
        <is>
          <t>각지기</t>
        </is>
      </c>
      <c r="I160" s="29" t="inlineStr">
        <is>
          <t>棱角化</t>
        </is>
      </c>
      <c r="J160" s="29">
        <f>I160</f>
        <v/>
      </c>
      <c r="K160" s="29">
        <f>F160</f>
        <v/>
      </c>
    </row>
    <row r="161">
      <c r="A161" s="29">
        <f>CONCATENATE("NAME_MOVE_", SUBSTITUTE(SUBSTITUTE(UPPER(B161), " ", ""), "-", ""))</f>
        <v/>
      </c>
      <c r="B161" s="29" t="inlineStr">
        <is>
          <t>Conversion</t>
        </is>
      </c>
      <c r="C161" s="29" t="inlineStr">
        <is>
          <t>テクスチャー</t>
        </is>
      </c>
      <c r="D161" s="29">
        <f>B161</f>
        <v/>
      </c>
      <c r="E161" s="29" t="inlineStr">
        <is>
          <t>Umwandlung</t>
        </is>
      </c>
      <c r="F161" s="29" t="inlineStr">
        <is>
          <t>Conversión</t>
        </is>
      </c>
      <c r="G161" s="29" t="inlineStr">
        <is>
          <t>Conversione</t>
        </is>
      </c>
      <c r="H161" s="29" t="inlineStr">
        <is>
          <t>텍스처</t>
        </is>
      </c>
      <c r="I161" s="29" t="inlineStr">
        <is>
          <t>紋理</t>
        </is>
      </c>
      <c r="J161" s="29">
        <f>IFERROR(__xludf.DUMMYFUNCTION("GOOGLETRANSLATE(I161,""zh_HANT"",""zh_HANS"")"),"纹理")</f>
        <v/>
      </c>
      <c r="K161" s="29">
        <f>F161</f>
        <v/>
      </c>
    </row>
    <row r="162">
      <c r="A162" s="29">
        <f>CONCATENATE("NAME_MOVE_", SUBSTITUTE(SUBSTITUTE(UPPER(B162), " ", ""), "-", ""))</f>
        <v/>
      </c>
      <c r="B162" s="29" t="inlineStr">
        <is>
          <t>Tri Attack</t>
        </is>
      </c>
      <c r="C162" s="29" t="inlineStr">
        <is>
          <t>トライアタック</t>
        </is>
      </c>
      <c r="D162" s="29" t="inlineStr">
        <is>
          <t>Triplattaque</t>
        </is>
      </c>
      <c r="E162" s="29" t="inlineStr">
        <is>
          <t>Triplette</t>
        </is>
      </c>
      <c r="F162" s="29" t="inlineStr">
        <is>
          <t>Triataque</t>
        </is>
      </c>
      <c r="G162" s="29" t="inlineStr">
        <is>
          <t>Tripletta</t>
        </is>
      </c>
      <c r="H162" s="29" t="inlineStr">
        <is>
          <t>트라이어택</t>
        </is>
      </c>
      <c r="I162" s="29" t="inlineStr">
        <is>
          <t>三重攻擊</t>
        </is>
      </c>
      <c r="J162" s="29">
        <f>IFERROR(__xludf.DUMMYFUNCTION("GOOGLETRANSLATE(I162,""zh_HANT"",""zh_HANS"")"),"三重攻击")</f>
        <v/>
      </c>
      <c r="K162" s="29">
        <f>F162</f>
        <v/>
      </c>
    </row>
    <row r="163">
      <c r="A163" s="29">
        <f>CONCATENATE("NAME_MOVE_", SUBSTITUTE(SUBSTITUTE(UPPER(B163), " ", ""), "-", ""))</f>
        <v/>
      </c>
      <c r="B163" s="29" t="inlineStr">
        <is>
          <t>Super Fang</t>
        </is>
      </c>
      <c r="C163" s="29" t="inlineStr">
        <is>
          <t>いかりのまえば</t>
        </is>
      </c>
      <c r="D163" s="29" t="inlineStr">
        <is>
          <t>Croc Fatal</t>
        </is>
      </c>
      <c r="E163" s="29" t="inlineStr">
        <is>
          <t>Superzahn</t>
        </is>
      </c>
      <c r="F163" s="29" t="inlineStr">
        <is>
          <t>Superdiente</t>
        </is>
      </c>
      <c r="G163" s="29" t="inlineStr">
        <is>
          <t>Superzanna</t>
        </is>
      </c>
      <c r="H163" s="29" t="inlineStr">
        <is>
          <t>분노의앞니</t>
        </is>
      </c>
      <c r="I163" s="29" t="inlineStr">
        <is>
          <t>憤怒門牙</t>
        </is>
      </c>
      <c r="J163" s="29">
        <f>IFERROR(__xludf.DUMMYFUNCTION("GOOGLETRANSLATE(I163,""zh_HANT"",""zh_HANS"")"),"愤怒门牙")</f>
        <v/>
      </c>
      <c r="K163" s="29">
        <f>F163</f>
        <v/>
      </c>
    </row>
    <row r="164">
      <c r="A164" s="29">
        <f>CONCATENATE("NAME_MOVE_", SUBSTITUTE(SUBSTITUTE(UPPER(B164), " ", ""), "-", ""))</f>
        <v/>
      </c>
      <c r="B164" s="29" t="inlineStr">
        <is>
          <t>Slash</t>
        </is>
      </c>
      <c r="C164" s="29" t="inlineStr">
        <is>
          <t>きりさく</t>
        </is>
      </c>
      <c r="D164" s="29" t="inlineStr">
        <is>
          <t>Tranche</t>
        </is>
      </c>
      <c r="E164" s="29" t="inlineStr">
        <is>
          <t>Schlitzer</t>
        </is>
      </c>
      <c r="F164" s="29" t="inlineStr">
        <is>
          <t>Cuchillada</t>
        </is>
      </c>
      <c r="G164" s="29" t="inlineStr">
        <is>
          <t>Lacerazione</t>
        </is>
      </c>
      <c r="H164" s="29" t="inlineStr">
        <is>
          <t>베어가르기</t>
        </is>
      </c>
      <c r="I164" s="29" t="inlineStr">
        <is>
          <t>劈開</t>
        </is>
      </c>
      <c r="J164" s="29">
        <f>IFERROR(__xludf.DUMMYFUNCTION("GOOGLETRANSLATE(I164,""zh_HANT"",""zh_HANS"")"),"劈开")</f>
        <v/>
      </c>
      <c r="K164" s="29">
        <f>F164</f>
        <v/>
      </c>
    </row>
    <row r="165">
      <c r="A165" s="29">
        <f>CONCATENATE("NAME_MOVE_", SUBSTITUTE(SUBSTITUTE(UPPER(B165), " ", ""), "-", ""))</f>
        <v/>
      </c>
      <c r="B165" s="29" t="inlineStr">
        <is>
          <t>Substitute</t>
        </is>
      </c>
      <c r="C165" s="29" t="inlineStr">
        <is>
          <t>みがわり</t>
        </is>
      </c>
      <c r="D165" s="29" t="inlineStr">
        <is>
          <t>Clonage</t>
        </is>
      </c>
      <c r="E165" s="29" t="inlineStr">
        <is>
          <t>Delegator</t>
        </is>
      </c>
      <c r="F165" s="29" t="inlineStr">
        <is>
          <t>Sustituto</t>
        </is>
      </c>
      <c r="G165" s="29" t="inlineStr">
        <is>
          <t>Sostituto</t>
        </is>
      </c>
      <c r="H165" s="29" t="inlineStr">
        <is>
          <t>대타출동</t>
        </is>
      </c>
      <c r="I165" s="29" t="inlineStr">
        <is>
          <t>替身</t>
        </is>
      </c>
      <c r="J165" s="29">
        <f>I165</f>
        <v/>
      </c>
      <c r="K165" s="29">
        <f>F165</f>
        <v/>
      </c>
    </row>
    <row r="166">
      <c r="A166" s="29">
        <f>CONCATENATE("NAME_MOVE_", SUBSTITUTE(SUBSTITUTE(UPPER(B166), " ", ""), "-", ""))</f>
        <v/>
      </c>
      <c r="B166" s="29" t="inlineStr">
        <is>
          <t>Struggle</t>
        </is>
      </c>
      <c r="C166" s="29" t="inlineStr">
        <is>
          <t>わるあがき</t>
        </is>
      </c>
      <c r="D166" s="29" t="inlineStr">
        <is>
          <t>Lutte</t>
        </is>
      </c>
      <c r="E166" s="29" t="inlineStr">
        <is>
          <t>Verzweifler</t>
        </is>
      </c>
      <c r="F166" s="29" t="inlineStr">
        <is>
          <t>Forcejeo</t>
        </is>
      </c>
      <c r="G166" s="29" t="inlineStr">
        <is>
          <t>Scontro</t>
        </is>
      </c>
      <c r="H166" s="29" t="inlineStr">
        <is>
          <t>발버둥</t>
        </is>
      </c>
      <c r="I166" s="29" t="inlineStr">
        <is>
          <t>掙扎</t>
        </is>
      </c>
      <c r="J166" s="29">
        <f>IFERROR(__xludf.DUMMYFUNCTION("GOOGLETRANSLATE(I166,""zh_HANT"",""zh_HANS"")"),"挣扎")</f>
        <v/>
      </c>
      <c r="K166" s="29">
        <f>F166</f>
        <v/>
      </c>
    </row>
    <row r="167">
      <c r="A167" s="29">
        <f>CONCATENATE("NAME_MOVE_", SUBSTITUTE(SUBSTITUTE(UPPER(B167), " ", ""), "-", ""))</f>
        <v/>
      </c>
      <c r="B167" s="29" t="inlineStr">
        <is>
          <t>Sketch</t>
        </is>
      </c>
      <c r="C167" s="29" t="inlineStr">
        <is>
          <t>スケッチ</t>
        </is>
      </c>
      <c r="D167" s="29" t="inlineStr">
        <is>
          <t>Gribouille</t>
        </is>
      </c>
      <c r="E167" s="29" t="inlineStr">
        <is>
          <t>Nachahmer</t>
        </is>
      </c>
      <c r="F167" s="29" t="inlineStr">
        <is>
          <t>Esquema</t>
        </is>
      </c>
      <c r="G167" s="29" t="inlineStr">
        <is>
          <t>Schizzo</t>
        </is>
      </c>
      <c r="H167" s="29" t="inlineStr">
        <is>
          <t>스케치</t>
        </is>
      </c>
      <c r="I167" s="29" t="inlineStr">
        <is>
          <t>寫生</t>
        </is>
      </c>
      <c r="J167" s="29">
        <f>IFERROR(__xludf.DUMMYFUNCTION("GOOGLETRANSLATE(I167,""zh_HANT"",""zh_HANS"")"),"写生")</f>
        <v/>
      </c>
      <c r="K167" s="29">
        <f>F167</f>
        <v/>
      </c>
    </row>
    <row r="168">
      <c r="A168" s="29">
        <f>CONCATENATE("NAME_MOVE_", SUBSTITUTE(SUBSTITUTE(UPPER(B168), " ", ""), "-", ""))</f>
        <v/>
      </c>
      <c r="B168" s="29" t="inlineStr">
        <is>
          <t>Triple Kick</t>
        </is>
      </c>
      <c r="C168" s="29" t="inlineStr">
        <is>
          <t>トリプルキック</t>
        </is>
      </c>
      <c r="D168" s="29" t="inlineStr">
        <is>
          <t>Triple-Pied</t>
        </is>
      </c>
      <c r="E168" s="29" t="inlineStr">
        <is>
          <t>Dreifachkick</t>
        </is>
      </c>
      <c r="F168" s="29" t="inlineStr">
        <is>
          <t>Triple Patada</t>
        </is>
      </c>
      <c r="G168" s="29" t="inlineStr">
        <is>
          <t>Triplocalcio</t>
        </is>
      </c>
      <c r="H168" s="29" t="inlineStr">
        <is>
          <t>트리플킥</t>
        </is>
      </c>
      <c r="I168" s="29" t="inlineStr">
        <is>
          <t>三連踢</t>
        </is>
      </c>
      <c r="J168" s="29">
        <f>IFERROR(__xludf.DUMMYFUNCTION("GOOGLETRANSLATE(I168,""zh_HANT"",""zh_HANS"")"),"三连踢")</f>
        <v/>
      </c>
      <c r="K168" s="29">
        <f>F168</f>
        <v/>
      </c>
    </row>
    <row r="169">
      <c r="A169" s="29">
        <f>CONCATENATE("NAME_MOVE_", SUBSTITUTE(SUBSTITUTE(UPPER(B169), " ", ""), "-", ""))</f>
        <v/>
      </c>
      <c r="B169" s="29" t="inlineStr">
        <is>
          <t>Thief</t>
        </is>
      </c>
      <c r="C169" s="29" t="inlineStr">
        <is>
          <t>どろぼう</t>
        </is>
      </c>
      <c r="D169" s="29" t="inlineStr">
        <is>
          <t>Larcin</t>
        </is>
      </c>
      <c r="E169" s="29" t="inlineStr">
        <is>
          <t>Raub</t>
        </is>
      </c>
      <c r="F169" s="29" t="inlineStr">
        <is>
          <t>Ladrón</t>
        </is>
      </c>
      <c r="G169" s="29" t="inlineStr">
        <is>
          <t>Furto</t>
        </is>
      </c>
      <c r="H169" s="29" t="inlineStr">
        <is>
          <t>도둑질</t>
        </is>
      </c>
      <c r="I169" s="29" t="inlineStr">
        <is>
          <t>小偷</t>
        </is>
      </c>
      <c r="J169" s="29">
        <f>I169</f>
        <v/>
      </c>
      <c r="K169" s="29">
        <f>F169</f>
        <v/>
      </c>
    </row>
    <row r="170">
      <c r="A170" s="29">
        <f>CONCATENATE("NAME_MOVE_", SUBSTITUTE(SUBSTITUTE(UPPER(B170), " ", ""), "-", ""))</f>
        <v/>
      </c>
      <c r="B170" s="29" t="inlineStr">
        <is>
          <t>Spider Web</t>
        </is>
      </c>
      <c r="C170" s="29" t="inlineStr">
        <is>
          <t>くものす</t>
        </is>
      </c>
      <c r="D170" s="29" t="inlineStr">
        <is>
          <t>Toile</t>
        </is>
      </c>
      <c r="E170" s="29" t="inlineStr">
        <is>
          <t>Spinnennetz</t>
        </is>
      </c>
      <c r="F170" s="29" t="inlineStr">
        <is>
          <t>Telaraña</t>
        </is>
      </c>
      <c r="G170" s="29" t="inlineStr">
        <is>
          <t>Ragnatela</t>
        </is>
      </c>
      <c r="H170" s="29" t="inlineStr">
        <is>
          <t>거미집</t>
        </is>
      </c>
      <c r="I170" s="29" t="inlineStr">
        <is>
          <t>蛛網</t>
        </is>
      </c>
      <c r="J170" s="29">
        <f>IFERROR(__xludf.DUMMYFUNCTION("GOOGLETRANSLATE(I170,""zh_HANT"",""zh_HANS"")"),"蛛网")</f>
        <v/>
      </c>
      <c r="K170" s="29">
        <f>F170</f>
        <v/>
      </c>
    </row>
    <row r="171">
      <c r="A171" s="29">
        <f>CONCATENATE("NAME_MOVE_", SUBSTITUTE(SUBSTITUTE(UPPER(B171), " ", ""), "-", ""))</f>
        <v/>
      </c>
      <c r="B171" s="29" t="inlineStr">
        <is>
          <t>Mind Reader</t>
        </is>
      </c>
      <c r="C171" s="29" t="inlineStr">
        <is>
          <t>こころのめ</t>
        </is>
      </c>
      <c r="D171" s="29" t="inlineStr">
        <is>
          <t>Lire-Esprit</t>
        </is>
      </c>
      <c r="E171" s="29" t="inlineStr">
        <is>
          <t>Willensleser</t>
        </is>
      </c>
      <c r="F171" s="29" t="inlineStr">
        <is>
          <t>Telépata</t>
        </is>
      </c>
      <c r="G171" s="29" t="inlineStr">
        <is>
          <t>Leggimente</t>
        </is>
      </c>
      <c r="H171" s="29" t="inlineStr">
        <is>
          <t>마음의눈</t>
        </is>
      </c>
      <c r="I171" s="29" t="inlineStr">
        <is>
          <t>心之眼</t>
        </is>
      </c>
      <c r="J171" s="29">
        <f>I171</f>
        <v/>
      </c>
      <c r="K171" s="29">
        <f>F171</f>
        <v/>
      </c>
    </row>
    <row r="172">
      <c r="A172" s="29">
        <f>CONCATENATE("NAME_MOVE_", SUBSTITUTE(SUBSTITUTE(UPPER(B172), " ", ""), "-", ""))</f>
        <v/>
      </c>
      <c r="B172" s="29" t="inlineStr">
        <is>
          <t>Nightmare</t>
        </is>
      </c>
      <c r="C172" s="29" t="inlineStr">
        <is>
          <t>あくむ</t>
        </is>
      </c>
      <c r="D172" s="29" t="inlineStr">
        <is>
          <t>Cauchemar</t>
        </is>
      </c>
      <c r="E172" s="29" t="inlineStr">
        <is>
          <t>Nachtmahr</t>
        </is>
      </c>
      <c r="F172" s="29" t="inlineStr">
        <is>
          <t>Pesadilla</t>
        </is>
      </c>
      <c r="G172" s="29" t="inlineStr">
        <is>
          <t>Incubo</t>
        </is>
      </c>
      <c r="H172" s="29" t="inlineStr">
        <is>
          <t>악몽</t>
        </is>
      </c>
      <c r="I172" s="29" t="inlineStr">
        <is>
          <t>惡夢</t>
        </is>
      </c>
      <c r="J172" s="29">
        <f>IFERROR(__xludf.DUMMYFUNCTION("GOOGLETRANSLATE(I172,""zh_HANT"",""zh_HANS"")"),"恶梦")</f>
        <v/>
      </c>
      <c r="K172" s="29">
        <f>F172</f>
        <v/>
      </c>
    </row>
    <row r="173">
      <c r="A173" s="29">
        <f>CONCATENATE("NAME_MOVE_", SUBSTITUTE(SUBSTITUTE(UPPER(B173), " ", ""), "-", ""))</f>
        <v/>
      </c>
      <c r="B173" s="29" t="inlineStr">
        <is>
          <t>Flame Wheel</t>
        </is>
      </c>
      <c r="C173" s="29" t="inlineStr">
        <is>
          <t>かえんぐるま</t>
        </is>
      </c>
      <c r="D173" s="29" t="inlineStr">
        <is>
          <t>Roue de Feu</t>
        </is>
      </c>
      <c r="E173" s="29" t="inlineStr">
        <is>
          <t>Flammenrad</t>
        </is>
      </c>
      <c r="F173" s="29" t="inlineStr">
        <is>
          <t>Rueda Fuego</t>
        </is>
      </c>
      <c r="G173" s="29" t="inlineStr">
        <is>
          <t>Ruotafuoco</t>
        </is>
      </c>
      <c r="H173" s="29" t="inlineStr">
        <is>
          <t>화염자동차</t>
        </is>
      </c>
      <c r="I173" s="29" t="inlineStr">
        <is>
          <t>火焰輪</t>
        </is>
      </c>
      <c r="J173" s="29">
        <f>IFERROR(__xludf.DUMMYFUNCTION("GOOGLETRANSLATE(I173,""zh_HANT"",""zh_HANS"")"),"火焰轮")</f>
        <v/>
      </c>
      <c r="K173" s="29">
        <f>F173</f>
        <v/>
      </c>
    </row>
    <row r="174">
      <c r="A174" s="29">
        <f>CONCATENATE("NAME_MOVE_", SUBSTITUTE(SUBSTITUTE(UPPER(B174), " ", ""), "-", ""))</f>
        <v/>
      </c>
      <c r="B174" s="29" t="inlineStr">
        <is>
          <t>Snore</t>
        </is>
      </c>
      <c r="C174" s="29" t="inlineStr">
        <is>
          <t>いびき</t>
        </is>
      </c>
      <c r="D174" s="29" t="inlineStr">
        <is>
          <t>Ronflement</t>
        </is>
      </c>
      <c r="E174" s="29" t="inlineStr">
        <is>
          <t>Schnarcher</t>
        </is>
      </c>
      <c r="F174" s="29" t="inlineStr">
        <is>
          <t>Ronquido</t>
        </is>
      </c>
      <c r="G174" s="29" t="inlineStr">
        <is>
          <t>Russare</t>
        </is>
      </c>
      <c r="H174" s="29" t="inlineStr">
        <is>
          <t>코골기</t>
        </is>
      </c>
      <c r="I174" s="29" t="inlineStr">
        <is>
          <t>打鼾</t>
        </is>
      </c>
      <c r="J174" s="29">
        <f>I174</f>
        <v/>
      </c>
      <c r="K174" s="29">
        <f>F174</f>
        <v/>
      </c>
    </row>
    <row r="175">
      <c r="A175" s="29">
        <f>CONCATENATE("NAME_MOVE_", SUBSTITUTE(SUBSTITUTE(UPPER(B175), " ", ""), "-", ""))</f>
        <v/>
      </c>
      <c r="B175" s="29" t="inlineStr">
        <is>
          <t>Curse</t>
        </is>
      </c>
      <c r="C175" s="29" t="inlineStr">
        <is>
          <t>のろい</t>
        </is>
      </c>
      <c r="D175" s="29" t="inlineStr">
        <is>
          <t>Malédiction</t>
        </is>
      </c>
      <c r="E175" s="29" t="inlineStr">
        <is>
          <t>Fluch</t>
        </is>
      </c>
      <c r="F175" s="29" t="inlineStr">
        <is>
          <t>Maldición</t>
        </is>
      </c>
      <c r="G175" s="29" t="inlineStr">
        <is>
          <t>Maledizione</t>
        </is>
      </c>
      <c r="H175" s="29" t="inlineStr">
        <is>
          <t>저주</t>
        </is>
      </c>
      <c r="I175" s="29" t="inlineStr">
        <is>
          <t>詛咒</t>
        </is>
      </c>
      <c r="J175" s="29" t="inlineStr">
        <is>
          <t>咒术</t>
        </is>
      </c>
      <c r="K175" s="29">
        <f>F175</f>
        <v/>
      </c>
    </row>
    <row r="176">
      <c r="A176" s="29">
        <f>CONCATENATE("NAME_MOVE_", SUBSTITUTE(SUBSTITUTE(UPPER(B176), " ", ""), "-", ""))</f>
        <v/>
      </c>
      <c r="B176" s="29" t="inlineStr">
        <is>
          <t>Flail</t>
        </is>
      </c>
      <c r="C176" s="29" t="inlineStr">
        <is>
          <t>じたばた</t>
        </is>
      </c>
      <c r="D176" s="29" t="inlineStr">
        <is>
          <t>Fléau</t>
        </is>
      </c>
      <c r="E176" s="29" t="inlineStr">
        <is>
          <t>Dreschflegel</t>
        </is>
      </c>
      <c r="F176" s="29" t="inlineStr">
        <is>
          <t>Azote</t>
        </is>
      </c>
      <c r="G176" s="29" t="inlineStr">
        <is>
          <t>Flagello</t>
        </is>
      </c>
      <c r="H176" s="29" t="inlineStr">
        <is>
          <t>바둥바둥</t>
        </is>
      </c>
      <c r="I176" s="29" t="inlineStr">
        <is>
          <t>抓狂</t>
        </is>
      </c>
      <c r="J176" s="29">
        <f>I176</f>
        <v/>
      </c>
      <c r="K176" s="29">
        <f>F176</f>
        <v/>
      </c>
    </row>
    <row r="177">
      <c r="A177" s="29">
        <f>CONCATENATE("NAME_MOVE_", SUBSTITUTE(SUBSTITUTE(UPPER(B177), " ", ""), "-", ""))</f>
        <v/>
      </c>
      <c r="B177" s="29" t="inlineStr">
        <is>
          <t>Conversion 2</t>
        </is>
      </c>
      <c r="C177" s="29" t="inlineStr">
        <is>
          <t>テクスチャー２</t>
        </is>
      </c>
      <c r="D177" s="29">
        <f>CONCATENATE(D161,2)</f>
        <v/>
      </c>
      <c r="E177" s="29">
        <f>CONCATENATE(E161,2)</f>
        <v/>
      </c>
      <c r="F177" s="29" t="inlineStr">
        <is>
          <t>Conversión2</t>
        </is>
      </c>
      <c r="G177" s="29">
        <f>CONCATENATE(G161,2)</f>
        <v/>
      </c>
      <c r="H177" s="29" t="inlineStr">
        <is>
          <t>텍스처２</t>
        </is>
      </c>
      <c r="I177" s="29" t="inlineStr">
        <is>
          <t>紋理２</t>
        </is>
      </c>
      <c r="J177" s="29">
        <f>IFERROR(__xludf.DUMMYFUNCTION("GOOGLETRANSLATE(I177,""zh_HANT"",""zh_HANS"")"),"纹理２")</f>
        <v/>
      </c>
      <c r="K177" s="29">
        <f>F177</f>
        <v/>
      </c>
    </row>
    <row r="178">
      <c r="A178" s="29">
        <f>CONCATENATE("NAME_MOVE_", SUBSTITUTE(SUBSTITUTE(UPPER(B178), " ", ""), "-", ""))</f>
        <v/>
      </c>
      <c r="B178" s="29" t="inlineStr">
        <is>
          <t>Aeroblast</t>
        </is>
      </c>
      <c r="C178" s="29" t="inlineStr">
        <is>
          <t>エイロブラスト</t>
        </is>
      </c>
      <c r="D178" s="29" t="inlineStr">
        <is>
          <t>Aéroblast</t>
        </is>
      </c>
      <c r="E178" s="29" t="inlineStr">
        <is>
          <t>Luftstoß</t>
        </is>
      </c>
      <c r="F178" s="29" t="inlineStr">
        <is>
          <t>Aerochorro</t>
        </is>
      </c>
      <c r="G178" s="29" t="inlineStr">
        <is>
          <t>Aerocolpo</t>
        </is>
      </c>
      <c r="H178" s="29" t="inlineStr">
        <is>
          <t>에어로블라스트</t>
        </is>
      </c>
      <c r="I178" s="29" t="inlineStr">
        <is>
          <t>氣旋攻擊</t>
        </is>
      </c>
      <c r="J178" s="29">
        <f>IFERROR(__xludf.DUMMYFUNCTION("GOOGLETRANSLATE(I178,""zh_HANT"",""zh_HANS"")"),"气旋攻击")</f>
        <v/>
      </c>
      <c r="K178" s="29">
        <f>F178</f>
        <v/>
      </c>
    </row>
    <row r="179">
      <c r="A179" s="29">
        <f>CONCATENATE("NAME_MOVE_", SUBSTITUTE(SUBSTITUTE(UPPER(B179), " ", ""), "-", ""))</f>
        <v/>
      </c>
      <c r="B179" s="29" t="inlineStr">
        <is>
          <t>Cotton Spore</t>
        </is>
      </c>
      <c r="C179" s="29" t="inlineStr">
        <is>
          <t>わたほうし</t>
        </is>
      </c>
      <c r="D179" s="29" t="inlineStr">
        <is>
          <t>Spore Coton</t>
        </is>
      </c>
      <c r="E179" s="29" t="inlineStr">
        <is>
          <t>Baumwollsaat</t>
        </is>
      </c>
      <c r="F179" s="29" t="inlineStr">
        <is>
          <t>Esporagodón</t>
        </is>
      </c>
      <c r="G179" s="29" t="inlineStr">
        <is>
          <t>Cottonspora</t>
        </is>
      </c>
      <c r="H179" s="29" t="inlineStr">
        <is>
          <t>목화포자</t>
        </is>
      </c>
      <c r="I179" s="29" t="inlineStr">
        <is>
          <t>棉孢子</t>
        </is>
      </c>
      <c r="J179" s="29">
        <f>I179</f>
        <v/>
      </c>
      <c r="K179" s="29">
        <f>F179</f>
        <v/>
      </c>
    </row>
    <row r="180">
      <c r="A180" s="29">
        <f>CONCATENATE("NAME_MOVE_", SUBSTITUTE(SUBSTITUTE(UPPER(B180), " ", ""), "-", ""))</f>
        <v/>
      </c>
      <c r="B180" s="29" t="inlineStr">
        <is>
          <t>Reversal</t>
        </is>
      </c>
      <c r="C180" s="29" t="inlineStr">
        <is>
          <t>きしかいせい</t>
        </is>
      </c>
      <c r="D180" s="29" t="inlineStr">
        <is>
          <t>Contre</t>
        </is>
      </c>
      <c r="E180" s="29" t="inlineStr">
        <is>
          <t>Gegenschlag</t>
        </is>
      </c>
      <c r="F180" s="29" t="inlineStr">
        <is>
          <t>Inversión</t>
        </is>
      </c>
      <c r="G180" s="29" t="inlineStr">
        <is>
          <t>Contropiede</t>
        </is>
      </c>
      <c r="H180" s="29" t="inlineStr">
        <is>
          <t>기사회생</t>
        </is>
      </c>
      <c r="I180" s="29" t="inlineStr">
        <is>
          <t>起死回生</t>
        </is>
      </c>
      <c r="J180" s="29" t="inlineStr">
        <is>
          <t>绝处逢生</t>
        </is>
      </c>
      <c r="K180" s="29">
        <f>F180</f>
        <v/>
      </c>
    </row>
    <row r="181">
      <c r="A181" s="29">
        <f>CONCATENATE("NAME_MOVE_", SUBSTITUTE(SUBSTITUTE(UPPER(B181), " ", ""), "-", ""))</f>
        <v/>
      </c>
      <c r="B181" s="29" t="inlineStr">
        <is>
          <t>Spite</t>
        </is>
      </c>
      <c r="C181" s="29" t="inlineStr">
        <is>
          <t>うらみ</t>
        </is>
      </c>
      <c r="D181" s="29" t="inlineStr">
        <is>
          <t>Dépit</t>
        </is>
      </c>
      <c r="E181" s="29" t="inlineStr">
        <is>
          <t>Groll</t>
        </is>
      </c>
      <c r="F181" s="29" t="inlineStr">
        <is>
          <t>Rencor</t>
        </is>
      </c>
      <c r="G181" s="29" t="inlineStr">
        <is>
          <t>Dispetto</t>
        </is>
      </c>
      <c r="H181" s="29" t="inlineStr">
        <is>
          <t>원한</t>
        </is>
      </c>
      <c r="I181" s="29" t="inlineStr">
        <is>
          <t>怨恨</t>
        </is>
      </c>
      <c r="J181" s="29">
        <f>I181</f>
        <v/>
      </c>
      <c r="K181" s="29">
        <f>F181</f>
        <v/>
      </c>
    </row>
    <row r="182">
      <c r="A182" s="29">
        <f>CONCATENATE("NAME_MOVE_", SUBSTITUTE(SUBSTITUTE(UPPER(B182), " ", ""), "-", ""))</f>
        <v/>
      </c>
      <c r="B182" s="29" t="inlineStr">
        <is>
          <t>Powder Snow</t>
        </is>
      </c>
      <c r="C182" s="29" t="inlineStr">
        <is>
          <t>こなゆき</t>
        </is>
      </c>
      <c r="D182" s="29" t="inlineStr">
        <is>
          <t>Poudreuse</t>
        </is>
      </c>
      <c r="E182" s="29" t="inlineStr">
        <is>
          <t>Pulverschnee</t>
        </is>
      </c>
      <c r="F182" s="29" t="inlineStr">
        <is>
          <t>Nieve Polvo</t>
        </is>
      </c>
      <c r="G182" s="29" t="inlineStr">
        <is>
          <t>Polneve</t>
        </is>
      </c>
      <c r="H182" s="29" t="inlineStr">
        <is>
          <t>눈싸라기</t>
        </is>
      </c>
      <c r="I182" s="29" t="inlineStr">
        <is>
          <t>細雪</t>
        </is>
      </c>
      <c r="J182" s="29">
        <f>IFERROR(__xludf.DUMMYFUNCTION("GOOGLETRANSLATE(I182,""zh_HANT"",""zh_HANS"")"),"细雪")</f>
        <v/>
      </c>
      <c r="K182" s="29">
        <f>F182</f>
        <v/>
      </c>
    </row>
    <row r="183">
      <c r="A183" s="29">
        <f>CONCATENATE("NAME_MOVE_", SUBSTITUTE(SUBSTITUTE(UPPER(B183), " ", ""), "-", ""))</f>
        <v/>
      </c>
      <c r="B183" s="29" t="inlineStr">
        <is>
          <t>Protect</t>
        </is>
      </c>
      <c r="C183" s="29" t="inlineStr">
        <is>
          <t>まもる</t>
        </is>
      </c>
      <c r="D183" s="29" t="inlineStr">
        <is>
          <t>Abri</t>
        </is>
      </c>
      <c r="E183" s="29" t="inlineStr">
        <is>
          <t>Schutzschild</t>
        </is>
      </c>
      <c r="F183" s="29" t="inlineStr">
        <is>
          <t>Protección</t>
        </is>
      </c>
      <c r="G183" s="29" t="inlineStr">
        <is>
          <t>Protezione</t>
        </is>
      </c>
      <c r="H183" s="29" t="inlineStr">
        <is>
          <t>방어</t>
        </is>
      </c>
      <c r="I183" s="29" t="inlineStr">
        <is>
          <t>守住</t>
        </is>
      </c>
      <c r="J183" s="29">
        <f>I183</f>
        <v/>
      </c>
      <c r="K183" s="29">
        <f>F183</f>
        <v/>
      </c>
    </row>
    <row r="184">
      <c r="A184" s="29">
        <f>CONCATENATE("NAME_MOVE_", SUBSTITUTE(SUBSTITUTE(UPPER(B184), " ", ""), "-", ""))</f>
        <v/>
      </c>
      <c r="B184" s="29" t="inlineStr">
        <is>
          <t>Mach Punch</t>
        </is>
      </c>
      <c r="C184" s="29" t="inlineStr">
        <is>
          <t>マッハパンチ</t>
        </is>
      </c>
      <c r="D184" s="29">
        <f>B184</f>
        <v/>
      </c>
      <c r="E184" s="29" t="inlineStr">
        <is>
          <t>Tempohieb</t>
        </is>
      </c>
      <c r="F184" s="29" t="inlineStr">
        <is>
          <t>Ultrapuño</t>
        </is>
      </c>
      <c r="G184" s="29" t="inlineStr">
        <is>
          <t>Pugnorapido</t>
        </is>
      </c>
      <c r="H184" s="29" t="inlineStr">
        <is>
          <t>마하펀치</t>
        </is>
      </c>
      <c r="I184" s="29" t="inlineStr">
        <is>
          <t>音速拳</t>
        </is>
      </c>
      <c r="J184" s="29">
        <f>I184</f>
        <v/>
      </c>
      <c r="K184" s="29">
        <f>F184</f>
        <v/>
      </c>
    </row>
    <row r="185">
      <c r="A185" s="29">
        <f>CONCATENATE("NAME_MOVE_", SUBSTITUTE(SUBSTITUTE(UPPER(B185), " ", ""), "-", ""))</f>
        <v/>
      </c>
      <c r="B185" s="29" t="inlineStr">
        <is>
          <t>Scary Face</t>
        </is>
      </c>
      <c r="C185" s="29" t="inlineStr">
        <is>
          <t>こわいかお</t>
        </is>
      </c>
      <c r="D185" s="29" t="inlineStr">
        <is>
          <t>Grimace</t>
        </is>
      </c>
      <c r="E185" s="29" t="inlineStr">
        <is>
          <t>Grimasse</t>
        </is>
      </c>
      <c r="F185" s="29" t="inlineStr">
        <is>
          <t>Cara Susto</t>
        </is>
      </c>
      <c r="G185" s="29" t="inlineStr">
        <is>
          <t>Visotruce</t>
        </is>
      </c>
      <c r="H185" s="29" t="inlineStr">
        <is>
          <t>겁나는얼굴</t>
        </is>
      </c>
      <c r="I185" s="29" t="inlineStr">
        <is>
          <t>鬼面</t>
        </is>
      </c>
      <c r="J185" s="29" t="inlineStr">
        <is>
          <t>可怕面孔</t>
        </is>
      </c>
      <c r="K185" s="29">
        <f>F185</f>
        <v/>
      </c>
    </row>
    <row r="186">
      <c r="A186" s="29">
        <f>CONCATENATE("NAME_MOVE_", SUBSTITUTE(SUBSTITUTE(UPPER(B186), " ", ""), "-", ""))</f>
        <v/>
      </c>
      <c r="B186" s="29" t="inlineStr">
        <is>
          <t>Feint Attack</t>
        </is>
      </c>
      <c r="C186" s="29" t="inlineStr">
        <is>
          <t>だましうち</t>
        </is>
      </c>
      <c r="D186" s="29" t="inlineStr">
        <is>
          <t>Feinte</t>
        </is>
      </c>
      <c r="E186" s="29" t="inlineStr">
        <is>
          <t>Finte</t>
        </is>
      </c>
      <c r="F186" s="29" t="inlineStr">
        <is>
          <t>Finta</t>
        </is>
      </c>
      <c r="G186" s="29">
        <f>F186</f>
        <v/>
      </c>
      <c r="H186" s="29" t="inlineStr">
        <is>
          <t>속여때리기</t>
        </is>
      </c>
      <c r="I186" s="29" t="inlineStr">
        <is>
          <t>出奇一擊</t>
        </is>
      </c>
      <c r="J186" s="29">
        <f>IFERROR(__xludf.DUMMYFUNCTION("GOOGLETRANSLATE(I186,""zh_HANT"",""zh_HANS"")"),"出奇一击")</f>
        <v/>
      </c>
      <c r="K186" s="29">
        <f>F186</f>
        <v/>
      </c>
    </row>
    <row r="187">
      <c r="A187" s="29">
        <f>CONCATENATE("NAME_MOVE_", SUBSTITUTE(SUBSTITUTE(UPPER(B187), " ", ""), "-", ""))</f>
        <v/>
      </c>
      <c r="B187" s="29" t="inlineStr">
        <is>
          <t>Sweet Kiss</t>
        </is>
      </c>
      <c r="C187" s="29" t="inlineStr">
        <is>
          <t>てんしのキッス</t>
        </is>
      </c>
      <c r="D187" s="29" t="inlineStr">
        <is>
          <t>Doux Baiser</t>
        </is>
      </c>
      <c r="E187" s="29" t="inlineStr">
        <is>
          <t>Bitterkaus</t>
        </is>
      </c>
      <c r="F187" s="29" t="inlineStr">
        <is>
          <t>Beso Dulce</t>
        </is>
      </c>
      <c r="G187" s="29" t="inlineStr">
        <is>
          <t>Dulcebacio</t>
        </is>
      </c>
      <c r="H187" s="29" t="inlineStr">
        <is>
          <t>천사의키스</t>
        </is>
      </c>
      <c r="I187" s="29" t="inlineStr">
        <is>
          <t>天使之吻</t>
        </is>
      </c>
      <c r="J187" s="29">
        <f>I187</f>
        <v/>
      </c>
      <c r="K187" s="29">
        <f>F187</f>
        <v/>
      </c>
    </row>
    <row r="188">
      <c r="A188" s="29">
        <f>CONCATENATE("NAME_MOVE_", SUBSTITUTE(SUBSTITUTE(UPPER(B188), " ", ""), "-", ""))</f>
        <v/>
      </c>
      <c r="B188" s="29" t="inlineStr">
        <is>
          <t>Belly Drum</t>
        </is>
      </c>
      <c r="C188" s="29" t="inlineStr">
        <is>
          <t>はらだいこ</t>
        </is>
      </c>
      <c r="D188" s="29" t="inlineStr">
        <is>
          <t>Cognobidon</t>
        </is>
      </c>
      <c r="E188" s="29" t="inlineStr">
        <is>
          <t>Bauchtrommel</t>
        </is>
      </c>
      <c r="F188" s="29" t="inlineStr">
        <is>
          <t>Tambor</t>
        </is>
      </c>
      <c r="G188" s="29" t="inlineStr">
        <is>
          <t>Punciamburo</t>
        </is>
      </c>
      <c r="H188" s="29" t="inlineStr">
        <is>
          <t>배북</t>
        </is>
      </c>
      <c r="I188" s="29" t="inlineStr">
        <is>
          <t>腹鼓</t>
        </is>
      </c>
      <c r="J188" s="29">
        <f>I188</f>
        <v/>
      </c>
      <c r="K188" s="29">
        <f>F188</f>
        <v/>
      </c>
    </row>
    <row r="189">
      <c r="A189" s="29">
        <f>CONCATENATE("NAME_MOVE_", SUBSTITUTE(SUBSTITUTE(UPPER(B189), " ", ""), "-", ""))</f>
        <v/>
      </c>
      <c r="B189" s="29" t="inlineStr">
        <is>
          <t>Sludge Bomb</t>
        </is>
      </c>
      <c r="C189" s="29" t="inlineStr">
        <is>
          <t>ヘドロばくだん</t>
        </is>
      </c>
      <c r="D189" s="29" t="inlineStr">
        <is>
          <t>Bombe Beurk</t>
        </is>
      </c>
      <c r="E189" s="29" t="inlineStr">
        <is>
          <t>Matschbombe</t>
        </is>
      </c>
      <c r="F189" s="29" t="inlineStr">
        <is>
          <t>Bomba Lodo</t>
        </is>
      </c>
      <c r="G189" s="29" t="inlineStr">
        <is>
          <t>Fangobomba</t>
        </is>
      </c>
      <c r="H189" s="29" t="inlineStr">
        <is>
          <t>오물폭탄</t>
        </is>
      </c>
      <c r="I189" s="29" t="inlineStr">
        <is>
          <t>污泥炸彈</t>
        </is>
      </c>
      <c r="J189" s="29">
        <f>IFERROR(__xludf.DUMMYFUNCTION("GOOGLETRANSLATE(I189,""zh_HANT"",""zh_HANS"")"),"污泥炸弹")</f>
        <v/>
      </c>
      <c r="K189" s="29">
        <f>F189</f>
        <v/>
      </c>
    </row>
    <row r="190">
      <c r="A190" s="29">
        <f>CONCATENATE("NAME_MOVE_", SUBSTITUTE(SUBSTITUTE(UPPER(B190), " ", ""), "-", ""))</f>
        <v/>
      </c>
      <c r="B190" s="29" t="inlineStr">
        <is>
          <t>Mud-Slap</t>
        </is>
      </c>
      <c r="C190" s="29" t="inlineStr">
        <is>
          <t>どろかけ</t>
        </is>
      </c>
      <c r="D190" s="29" t="inlineStr">
        <is>
          <t>Coud'Boue</t>
        </is>
      </c>
      <c r="E190" s="29" t="inlineStr">
        <is>
          <t>Lehmschelle</t>
        </is>
      </c>
      <c r="F190" s="29" t="inlineStr">
        <is>
          <t>Bofetón Lodo</t>
        </is>
      </c>
      <c r="G190" s="29" t="inlineStr">
        <is>
          <t>Fangosberla</t>
        </is>
      </c>
      <c r="H190" s="29" t="inlineStr">
        <is>
          <t>진흙뿌리기</t>
        </is>
      </c>
      <c r="I190" s="29" t="inlineStr">
        <is>
          <t>擲泥</t>
        </is>
      </c>
      <c r="J190" s="29">
        <f>IFERROR(__xludf.DUMMYFUNCTION("GOOGLETRANSLATE(I190,""zh_HANT"",""zh_HANS"")"),"掷泥")</f>
        <v/>
      </c>
      <c r="K190" s="29">
        <f>F190</f>
        <v/>
      </c>
    </row>
    <row r="191">
      <c r="A191" s="29">
        <f>CONCATENATE("NAME_MOVE_", SUBSTITUTE(SUBSTITUTE(UPPER(B191), " ", ""), "-", ""))</f>
        <v/>
      </c>
      <c r="B191" s="29" t="inlineStr">
        <is>
          <t>Octazooka</t>
        </is>
      </c>
      <c r="C191" s="29" t="inlineStr">
        <is>
          <t>オクタンほう</t>
        </is>
      </c>
      <c r="D191" s="29">
        <f>B191</f>
        <v/>
      </c>
      <c r="E191" s="29">
        <f>B191</f>
        <v/>
      </c>
      <c r="F191" s="29" t="inlineStr">
        <is>
          <t>Pulpocañón</t>
        </is>
      </c>
      <c r="G191" s="29">
        <f>B191</f>
        <v/>
      </c>
      <c r="H191" s="29" t="inlineStr">
        <is>
          <t>대포무노포</t>
        </is>
      </c>
      <c r="I191" s="29" t="inlineStr">
        <is>
          <t>章魚桶炮</t>
        </is>
      </c>
      <c r="J191" s="29">
        <f>IFERROR(__xludf.DUMMYFUNCTION("GOOGLETRANSLATE(I191,""zh_HANT"",""zh_HANS"")"),"章鱼桶炮")</f>
        <v/>
      </c>
      <c r="K191" s="29">
        <f>F191</f>
        <v/>
      </c>
    </row>
    <row r="192">
      <c r="A192" s="29">
        <f>CONCATENATE("NAME_MOVE_", SUBSTITUTE(SUBSTITUTE(UPPER(B192), " ", ""), "-", ""))</f>
        <v/>
      </c>
      <c r="B192" s="29" t="inlineStr">
        <is>
          <t>Spikes</t>
        </is>
      </c>
      <c r="C192" s="29" t="inlineStr">
        <is>
          <t>まきびし</t>
        </is>
      </c>
      <c r="D192" s="29" t="inlineStr">
        <is>
          <t>Picots</t>
        </is>
      </c>
      <c r="E192" s="29" t="inlineStr">
        <is>
          <t>Stachler</t>
        </is>
      </c>
      <c r="F192" s="29" t="inlineStr">
        <is>
          <t>Púas</t>
        </is>
      </c>
      <c r="G192" s="29" t="inlineStr">
        <is>
          <t>Punte</t>
        </is>
      </c>
      <c r="H192" s="29" t="inlineStr">
        <is>
          <t>압정뿌리기</t>
        </is>
      </c>
      <c r="I192" s="29" t="inlineStr">
        <is>
          <t>撒菱</t>
        </is>
      </c>
      <c r="J192" s="29">
        <f>I192</f>
        <v/>
      </c>
      <c r="K192" s="29">
        <f>F192</f>
        <v/>
      </c>
    </row>
    <row r="193">
      <c r="A193" s="29">
        <f>CONCATENATE("NAME_MOVE_", SUBSTITUTE(SUBSTITUTE(UPPER(B193), " ", ""), "-", ""))</f>
        <v/>
      </c>
      <c r="B193" s="29" t="inlineStr">
        <is>
          <t>Zap Cannon</t>
        </is>
      </c>
      <c r="C193" s="29" t="inlineStr">
        <is>
          <t>でんじほう</t>
        </is>
      </c>
      <c r="D193" s="29" t="inlineStr">
        <is>
          <t>Élécanon</t>
        </is>
      </c>
      <c r="E193" s="29" t="inlineStr">
        <is>
          <t>Blitzkanone</t>
        </is>
      </c>
      <c r="F193" s="29" t="inlineStr">
        <is>
          <t>Electrocañón</t>
        </is>
      </c>
      <c r="G193" s="29" t="inlineStr">
        <is>
          <t>Falcecannone</t>
        </is>
      </c>
      <c r="H193" s="29" t="inlineStr">
        <is>
          <t>전자포</t>
        </is>
      </c>
      <c r="I193" s="29" t="inlineStr">
        <is>
          <t>電磁炮</t>
        </is>
      </c>
      <c r="J193" s="29">
        <f>IFERROR(__xludf.DUMMYFUNCTION("GOOGLETRANSLATE(I193,""zh_HANT"",""zh_HANS"")"),"电磁炮")</f>
        <v/>
      </c>
      <c r="K193" s="29">
        <f>F193</f>
        <v/>
      </c>
    </row>
    <row r="194">
      <c r="A194" s="29">
        <f>CONCATENATE("NAME_MOVE_", SUBSTITUTE(SUBSTITUTE(UPPER(B194), " ", ""), "-", ""))</f>
        <v/>
      </c>
      <c r="B194" s="29" t="inlineStr">
        <is>
          <t>Foresight</t>
        </is>
      </c>
      <c r="C194" s="29" t="inlineStr">
        <is>
          <t>みやぶる</t>
        </is>
      </c>
      <c r="D194" s="29" t="inlineStr">
        <is>
          <t>Clairvoyance</t>
        </is>
      </c>
      <c r="E194" s="29" t="inlineStr">
        <is>
          <t>Scharfblick</t>
        </is>
      </c>
      <c r="F194" s="29" t="inlineStr">
        <is>
          <t>Profecía</t>
        </is>
      </c>
      <c r="G194" s="29" t="inlineStr">
        <is>
          <t>Preveggenza</t>
        </is>
      </c>
      <c r="H194" s="29" t="inlineStr">
        <is>
          <t>꿰뚫어보기</t>
        </is>
      </c>
      <c r="I194" s="29" t="inlineStr">
        <is>
          <t>識破</t>
        </is>
      </c>
      <c r="J194" s="29">
        <f>IFERROR(__xludf.DUMMYFUNCTION("GOOGLETRANSLATE(I194,""zh_HANT"",""zh_HANS"")"),"识破")</f>
        <v/>
      </c>
      <c r="K194" s="29">
        <f>F194</f>
        <v/>
      </c>
    </row>
    <row r="195">
      <c r="A195" s="29">
        <f>CONCATENATE("NAME_MOVE_", SUBSTITUTE(SUBSTITUTE(UPPER(B195), " ", ""), "-", ""))</f>
        <v/>
      </c>
      <c r="B195" s="29" t="inlineStr">
        <is>
          <t>Destiny Bond</t>
        </is>
      </c>
      <c r="C195" s="29" t="inlineStr">
        <is>
          <t>みちづれ</t>
        </is>
      </c>
      <c r="D195" s="29" t="inlineStr">
        <is>
          <t>Lien du Destin</t>
        </is>
      </c>
      <c r="E195" s="29" t="inlineStr">
        <is>
          <t>Abgangsbund</t>
        </is>
      </c>
      <c r="F195" s="29" t="inlineStr">
        <is>
          <t>Destino Final</t>
        </is>
      </c>
      <c r="G195" s="29" t="inlineStr">
        <is>
          <t>Destinobbligato</t>
        </is>
      </c>
      <c r="H195" s="29" t="inlineStr">
        <is>
          <t>길동무</t>
        </is>
      </c>
      <c r="I195" s="29" t="inlineStr">
        <is>
          <t>同命</t>
        </is>
      </c>
      <c r="J195" s="29">
        <f>I195</f>
        <v/>
      </c>
      <c r="K195" s="29">
        <f>F195</f>
        <v/>
      </c>
    </row>
    <row r="196">
      <c r="A196" s="29">
        <f>CONCATENATE("NAME_MOVE_", SUBSTITUTE(SUBSTITUTE(UPPER(B196), " ", ""), "-", ""))</f>
        <v/>
      </c>
      <c r="B196" s="29" t="inlineStr">
        <is>
          <t>Perish Song</t>
        </is>
      </c>
      <c r="C196" s="29" t="inlineStr">
        <is>
          <t>ほろびのうた</t>
        </is>
      </c>
      <c r="D196" s="29" t="inlineStr">
        <is>
          <t>Requiem</t>
        </is>
      </c>
      <c r="E196" s="29" t="inlineStr">
        <is>
          <t>Abgesang</t>
        </is>
      </c>
      <c r="F196" s="29" t="inlineStr">
        <is>
          <t>Canto Mortal</t>
        </is>
      </c>
      <c r="G196" s="29" t="inlineStr">
        <is>
          <t>Ultimocanto</t>
        </is>
      </c>
      <c r="H196" s="29" t="inlineStr">
        <is>
          <t>멸망의노래</t>
        </is>
      </c>
      <c r="I196" s="29" t="inlineStr">
        <is>
          <t>滅亡之歌</t>
        </is>
      </c>
      <c r="J196" s="29" t="inlineStr">
        <is>
          <t>终焉之歌</t>
        </is>
      </c>
      <c r="K196" s="29">
        <f>F196</f>
        <v/>
      </c>
    </row>
    <row r="197">
      <c r="A197" s="29">
        <f>CONCATENATE("NAME_MOVE_", SUBSTITUTE(SUBSTITUTE(UPPER(B197), " ", ""), "-", ""))</f>
        <v/>
      </c>
      <c r="B197" s="29" t="inlineStr">
        <is>
          <t>Icy Wind</t>
        </is>
      </c>
      <c r="C197" s="29" t="inlineStr">
        <is>
          <t>こごえるかぜ</t>
        </is>
      </c>
      <c r="D197" s="29" t="inlineStr">
        <is>
          <t>Vent-Glace</t>
        </is>
      </c>
      <c r="E197" s="29" t="inlineStr">
        <is>
          <t>Eissturm</t>
        </is>
      </c>
      <c r="F197" s="29" t="inlineStr">
        <is>
          <t>Viento Hielo</t>
        </is>
      </c>
      <c r="G197" s="29" t="inlineStr">
        <is>
          <t>Ventogelato</t>
        </is>
      </c>
      <c r="H197" s="29" t="inlineStr">
        <is>
          <t>얼다바람</t>
        </is>
      </c>
      <c r="I197" s="29" t="inlineStr">
        <is>
          <t>冰凍之風</t>
        </is>
      </c>
      <c r="J197" s="29">
        <f>IFERROR(__xludf.DUMMYFUNCTION("GOOGLETRANSLATE(I197,""zh_HANT"",""zh_HANS"")"),"冰冻之风")</f>
        <v/>
      </c>
      <c r="K197" s="29">
        <f>F197</f>
        <v/>
      </c>
    </row>
    <row r="198">
      <c r="A198" s="29">
        <f>CONCATENATE("NAME_MOVE_", SUBSTITUTE(SUBSTITUTE(UPPER(B198), " ", ""), "-", ""))</f>
        <v/>
      </c>
      <c r="B198" s="29" t="inlineStr">
        <is>
          <t>Detect</t>
        </is>
      </c>
      <c r="C198" s="29" t="inlineStr">
        <is>
          <t>みきり</t>
        </is>
      </c>
      <c r="D198" s="29" t="inlineStr">
        <is>
          <t>Détection</t>
        </is>
      </c>
      <c r="E198" s="29" t="inlineStr">
        <is>
          <t>Scanner</t>
        </is>
      </c>
      <c r="F198" s="29" t="inlineStr">
        <is>
          <t>Detección</t>
        </is>
      </c>
      <c r="G198" s="29" t="inlineStr">
        <is>
          <t>Individua</t>
        </is>
      </c>
      <c r="H198" s="29" t="inlineStr">
        <is>
          <t>선찰</t>
        </is>
      </c>
      <c r="I198" s="29" t="inlineStr">
        <is>
          <t>看穿</t>
        </is>
      </c>
      <c r="J198" s="29">
        <f>I198</f>
        <v/>
      </c>
      <c r="K198" s="29">
        <f>F198</f>
        <v/>
      </c>
    </row>
    <row r="199">
      <c r="A199" s="29">
        <f>CONCATENATE("NAME_MOVE_", SUBSTITUTE(SUBSTITUTE(UPPER(B199), " ", ""), "-", ""))</f>
        <v/>
      </c>
      <c r="B199" s="29" t="inlineStr">
        <is>
          <t>Bone Rush</t>
        </is>
      </c>
      <c r="C199" s="29" t="inlineStr">
        <is>
          <t>ボーンラッシュ</t>
        </is>
      </c>
      <c r="D199" s="29" t="inlineStr">
        <is>
          <t>Charge-Os</t>
        </is>
      </c>
      <c r="E199" s="29" t="inlineStr">
        <is>
          <t>Knochenhatz</t>
        </is>
      </c>
      <c r="F199" s="29" t="inlineStr">
        <is>
          <t>Ataque Óseo</t>
        </is>
      </c>
      <c r="G199" s="29" t="inlineStr">
        <is>
          <t>Ossoraffica</t>
        </is>
      </c>
      <c r="H199" s="29" t="inlineStr">
        <is>
          <t>본러쉬</t>
        </is>
      </c>
      <c r="I199" s="29" t="inlineStr">
        <is>
          <t>骨棒亂打</t>
        </is>
      </c>
      <c r="J199" s="29">
        <f>IFERROR(__xludf.DUMMYFUNCTION("GOOGLETRANSLATE(I199,""zh_HANT"",""zh_HANS"")"),"骨棒乱打")</f>
        <v/>
      </c>
      <c r="K199" s="29">
        <f>F199</f>
        <v/>
      </c>
    </row>
    <row r="200">
      <c r="A200" s="29">
        <f>CONCATENATE("NAME_MOVE_", SUBSTITUTE(SUBSTITUTE(UPPER(B200), " ", ""), "-", ""))</f>
        <v/>
      </c>
      <c r="B200" s="29" t="inlineStr">
        <is>
          <t>Lock-On</t>
        </is>
      </c>
      <c r="C200" s="29" t="inlineStr">
        <is>
          <t>ロックオン</t>
        </is>
      </c>
      <c r="D200" s="29" t="inlineStr">
        <is>
          <t>Verrouillage</t>
        </is>
      </c>
      <c r="E200" s="29" t="inlineStr">
        <is>
          <t>Zielschuss</t>
        </is>
      </c>
      <c r="F200" s="29" t="inlineStr">
        <is>
          <t>Fijar Blanco</t>
        </is>
      </c>
      <c r="G200" s="29" t="inlineStr">
        <is>
          <t>Localizza</t>
        </is>
      </c>
      <c r="H200" s="29" t="inlineStr">
        <is>
          <t>록온</t>
        </is>
      </c>
      <c r="I200" s="29" t="inlineStr">
        <is>
          <t>鎖定</t>
        </is>
      </c>
      <c r="J200" s="29">
        <f>IFERROR(__xludf.DUMMYFUNCTION("GOOGLETRANSLATE(I200,""zh_HANT"",""zh_HANS"")"),"锁定")</f>
        <v/>
      </c>
      <c r="K200" s="29">
        <f>F200</f>
        <v/>
      </c>
    </row>
    <row r="201">
      <c r="A201" s="29">
        <f>CONCATENATE("NAME_MOVE_", SUBSTITUTE(SUBSTITUTE(UPPER(B201), " ", ""), "-", ""))</f>
        <v/>
      </c>
      <c r="B201" s="29" t="inlineStr">
        <is>
          <t>Outrage</t>
        </is>
      </c>
      <c r="C201" s="29" t="inlineStr">
        <is>
          <t>げきりん</t>
        </is>
      </c>
      <c r="D201" s="29" t="inlineStr">
        <is>
          <t>Colère</t>
        </is>
      </c>
      <c r="E201" s="29" t="inlineStr">
        <is>
          <t>Wutanfall</t>
        </is>
      </c>
      <c r="F201" s="29" t="inlineStr">
        <is>
          <t>Enfado</t>
        </is>
      </c>
      <c r="G201" s="29" t="inlineStr">
        <is>
          <t>Oltraggio</t>
        </is>
      </c>
      <c r="H201" s="29" t="inlineStr">
        <is>
          <t>역린</t>
        </is>
      </c>
      <c r="I201" s="29" t="inlineStr">
        <is>
          <t>逆鱗</t>
        </is>
      </c>
      <c r="J201" s="29">
        <f>IFERROR(__xludf.DUMMYFUNCTION("GOOGLETRANSLATE(I201,""zh_HANT"",""zh_HANS"")"),"逆鳞")</f>
        <v/>
      </c>
      <c r="K201" s="29">
        <f>F201</f>
        <v/>
      </c>
    </row>
    <row r="202">
      <c r="A202" s="29">
        <f>CONCATENATE("NAME_MOVE_", SUBSTITUTE(SUBSTITUTE(UPPER(B202), " ", ""), "-", ""))</f>
        <v/>
      </c>
      <c r="B202" s="29" t="inlineStr">
        <is>
          <t>Sandstorm</t>
        </is>
      </c>
      <c r="C202" s="29" t="inlineStr">
        <is>
          <t>すなあらし</t>
        </is>
      </c>
      <c r="D202" s="29" t="inlineStr">
        <is>
          <t>Tempête-Sable</t>
        </is>
      </c>
      <c r="E202" s="29" t="inlineStr">
        <is>
          <t>Sandsturm</t>
        </is>
      </c>
      <c r="F202" s="29" t="inlineStr">
        <is>
          <t>Tormenta Arena</t>
        </is>
      </c>
      <c r="G202" s="29" t="inlineStr">
        <is>
          <t>Terrempesta</t>
        </is>
      </c>
      <c r="H202" s="29" t="inlineStr">
        <is>
          <t>모래바람</t>
        </is>
      </c>
      <c r="I202" s="29" t="inlineStr">
        <is>
          <t>沙暴</t>
        </is>
      </c>
      <c r="J202" s="29">
        <f>I202</f>
        <v/>
      </c>
      <c r="K202" s="29">
        <f>F202</f>
        <v/>
      </c>
    </row>
    <row r="203">
      <c r="A203" s="29">
        <f>CONCATENATE("NAME_MOVE_", SUBSTITUTE(SUBSTITUTE(UPPER(B203), " ", ""), "-", ""))</f>
        <v/>
      </c>
      <c r="B203" s="29" t="inlineStr">
        <is>
          <t>Giga Drain</t>
        </is>
      </c>
      <c r="C203" s="29" t="inlineStr">
        <is>
          <t>ギガドレイン</t>
        </is>
      </c>
      <c r="D203" s="29" t="inlineStr">
        <is>
          <t>Giga-Sangsue</t>
        </is>
      </c>
      <c r="E203" s="29" t="inlineStr">
        <is>
          <t>Gigasauger</t>
        </is>
      </c>
      <c r="F203" s="29" t="inlineStr">
        <is>
          <t>Gigadrenado</t>
        </is>
      </c>
      <c r="G203" s="29" t="inlineStr">
        <is>
          <t>Gigassorbimento</t>
        </is>
      </c>
      <c r="H203" s="29" t="inlineStr">
        <is>
          <t>기가드레인</t>
        </is>
      </c>
      <c r="I203" s="29" t="inlineStr">
        <is>
          <t>終極吸取</t>
        </is>
      </c>
      <c r="J203" s="29">
        <f>IFERROR(__xludf.DUMMYFUNCTION("GOOGLETRANSLATE(I203,""zh_HANT"",""zh_HANS"")"),"终极吸取")</f>
        <v/>
      </c>
      <c r="K203" s="29">
        <f>F203</f>
        <v/>
      </c>
    </row>
    <row r="204">
      <c r="A204" s="29">
        <f>CONCATENATE("NAME_MOVE_", SUBSTITUTE(SUBSTITUTE(UPPER(B204), " ", ""), "-", ""))</f>
        <v/>
      </c>
      <c r="B204" s="29" t="inlineStr">
        <is>
          <t>Endure</t>
        </is>
      </c>
      <c r="C204" s="29" t="inlineStr">
        <is>
          <t>こらえる</t>
        </is>
      </c>
      <c r="D204" s="29" t="inlineStr">
        <is>
          <t>Ténacité</t>
        </is>
      </c>
      <c r="E204" s="29" t="inlineStr">
        <is>
          <t>Ausdauer</t>
        </is>
      </c>
      <c r="F204" s="29" t="inlineStr">
        <is>
          <t>Aguante</t>
        </is>
      </c>
      <c r="G204" s="29" t="inlineStr">
        <is>
          <t>Resistenza</t>
        </is>
      </c>
      <c r="H204" s="29" t="inlineStr">
        <is>
          <t>버티기</t>
        </is>
      </c>
      <c r="I204" s="29" t="inlineStr">
        <is>
          <t>挺住</t>
        </is>
      </c>
      <c r="J204" s="29">
        <f>I204</f>
        <v/>
      </c>
      <c r="K204" s="29">
        <f>F204</f>
        <v/>
      </c>
    </row>
    <row r="205">
      <c r="A205" s="29">
        <f>CONCATENATE("NAME_MOVE_", SUBSTITUTE(SUBSTITUTE(UPPER(B205), " ", ""), "-", ""))</f>
        <v/>
      </c>
      <c r="B205" s="29" t="inlineStr">
        <is>
          <t>Charm</t>
        </is>
      </c>
      <c r="C205" s="29" t="inlineStr">
        <is>
          <t>あまえる</t>
        </is>
      </c>
      <c r="D205" s="29" t="inlineStr">
        <is>
          <t>Charme</t>
        </is>
      </c>
      <c r="E205" s="29">
        <f>D205</f>
        <v/>
      </c>
      <c r="F205" s="29" t="inlineStr">
        <is>
          <t>Encanto</t>
        </is>
      </c>
      <c r="G205" s="29" t="inlineStr">
        <is>
          <t>Fascino</t>
        </is>
      </c>
      <c r="H205" s="29" t="inlineStr">
        <is>
          <t>애교부리기</t>
        </is>
      </c>
      <c r="I205" s="29" t="inlineStr">
        <is>
          <t>撒嬌</t>
        </is>
      </c>
      <c r="J205" s="29">
        <f>IFERROR(__xludf.DUMMYFUNCTION("GOOGLETRANSLATE(I205,""zh_HANT"",""zh_HANS"")"),"撒娇")</f>
        <v/>
      </c>
      <c r="K205" s="29">
        <f>F205</f>
        <v/>
      </c>
    </row>
    <row r="206">
      <c r="A206" s="29">
        <f>CONCATENATE("NAME_MOVE_", SUBSTITUTE(SUBSTITUTE(UPPER(B206), " ", ""), "-", ""))</f>
        <v/>
      </c>
      <c r="B206" s="29" t="inlineStr">
        <is>
          <t>Rollout</t>
        </is>
      </c>
      <c r="C206" s="29" t="inlineStr">
        <is>
          <t>ころがる</t>
        </is>
      </c>
      <c r="D206" s="29" t="inlineStr">
        <is>
          <t>Roulade</t>
        </is>
      </c>
      <c r="E206" s="29" t="inlineStr">
        <is>
          <t>Walzer</t>
        </is>
      </c>
      <c r="F206" s="29" t="inlineStr">
        <is>
          <t>Rodar</t>
        </is>
      </c>
      <c r="G206" s="29" t="inlineStr">
        <is>
          <t>Rotolamento</t>
        </is>
      </c>
      <c r="H206" s="29" t="inlineStr">
        <is>
          <t>구르기</t>
        </is>
      </c>
      <c r="I206" s="29" t="inlineStr">
        <is>
          <t>滾動</t>
        </is>
      </c>
      <c r="J206" s="29">
        <f>IFERROR(__xludf.DUMMYFUNCTION("GOOGLETRANSLATE(I206,""zh_HANT"",""zh_HANS"")"),"滚动")</f>
        <v/>
      </c>
      <c r="K206" s="29">
        <f>F206</f>
        <v/>
      </c>
    </row>
    <row r="207">
      <c r="A207" s="29">
        <f>CONCATENATE("NAME_MOVE_", SUBSTITUTE(SUBSTITUTE(UPPER(B207), " ", ""), "-", ""))</f>
        <v/>
      </c>
      <c r="B207" s="29" t="inlineStr">
        <is>
          <t>False Swipe</t>
        </is>
      </c>
      <c r="C207" s="29" t="inlineStr">
        <is>
          <t>むねうち</t>
        </is>
      </c>
      <c r="D207" s="29" t="inlineStr">
        <is>
          <t>Faux-Chage</t>
        </is>
      </c>
      <c r="E207" s="29" t="inlineStr">
        <is>
          <t>Trugschlag</t>
        </is>
      </c>
      <c r="F207" s="29" t="inlineStr">
        <is>
          <t>Falsotortazo</t>
        </is>
      </c>
      <c r="G207" s="29" t="inlineStr">
        <is>
          <t>Falsofinale</t>
        </is>
      </c>
      <c r="H207" s="29" t="inlineStr">
        <is>
          <t>칼등치기</t>
        </is>
      </c>
      <c r="I207" s="29" t="inlineStr">
        <is>
          <t>點到為止</t>
        </is>
      </c>
      <c r="J207" s="29">
        <f>IFERROR(__xludf.DUMMYFUNCTION("GOOGLETRANSLATE(I207,""zh_HANT"",""zh_HANS"")"),"点到为止")</f>
        <v/>
      </c>
      <c r="K207" s="29">
        <f>F207</f>
        <v/>
      </c>
    </row>
    <row r="208">
      <c r="A208" s="29">
        <f>CONCATENATE("NAME_MOVE_", SUBSTITUTE(SUBSTITUTE(UPPER(B208), " ", ""), "-", ""))</f>
        <v/>
      </c>
      <c r="B208" s="29" t="inlineStr">
        <is>
          <t>Swagger</t>
        </is>
      </c>
      <c r="C208" s="29" t="inlineStr">
        <is>
          <t>いばる</t>
        </is>
      </c>
      <c r="D208" s="29" t="inlineStr">
        <is>
          <t>Vantardise</t>
        </is>
      </c>
      <c r="E208" s="29" t="inlineStr">
        <is>
          <t>Angeberei</t>
        </is>
      </c>
      <c r="F208" s="29" t="inlineStr">
        <is>
          <t>Contoneo</t>
        </is>
      </c>
      <c r="G208" s="29" t="inlineStr">
        <is>
          <t>Bullo</t>
        </is>
      </c>
      <c r="H208" s="29" t="inlineStr">
        <is>
          <t>뽐내기</t>
        </is>
      </c>
      <c r="I208" s="29" t="inlineStr">
        <is>
          <t>虛張聲勢</t>
        </is>
      </c>
      <c r="J208" s="29">
        <f>IFERROR(__xludf.DUMMYFUNCTION("GOOGLETRANSLATE(I208,""zh_HANT"",""zh_HANS"")"),"虚张声势")</f>
        <v/>
      </c>
      <c r="K208" s="29">
        <f>F208</f>
        <v/>
      </c>
    </row>
    <row r="209">
      <c r="A209" s="29">
        <f>CONCATENATE("NAME_MOVE_", SUBSTITUTE(SUBSTITUTE(UPPER(B209), " ", ""), "-", ""))</f>
        <v/>
      </c>
      <c r="B209" s="29" t="inlineStr">
        <is>
          <t>Milk Drink</t>
        </is>
      </c>
      <c r="C209" s="29" t="inlineStr">
        <is>
          <t>ミルクのみ</t>
        </is>
      </c>
      <c r="D209" s="29" t="inlineStr">
        <is>
          <t>Lait à Boire</t>
        </is>
      </c>
      <c r="E209" s="29" t="inlineStr">
        <is>
          <t>Milchgetränk</t>
        </is>
      </c>
      <c r="F209" s="29" t="inlineStr">
        <is>
          <t>Batido</t>
        </is>
      </c>
      <c r="G209" s="29" t="inlineStr">
        <is>
          <t>Buonlatte</t>
        </is>
      </c>
      <c r="H209" s="29" t="inlineStr">
        <is>
          <t>우유마시기</t>
        </is>
      </c>
      <c r="I209" s="29" t="inlineStr">
        <is>
          <t>喝牛奶</t>
        </is>
      </c>
      <c r="J209" s="29">
        <f>I209</f>
        <v/>
      </c>
      <c r="K209" s="29">
        <f>F209</f>
        <v/>
      </c>
    </row>
    <row r="210">
      <c r="A210" s="29">
        <f>CONCATENATE("NAME_MOVE_", SUBSTITUTE(SUBSTITUTE(UPPER(B210), " ", ""), "-", ""))</f>
        <v/>
      </c>
      <c r="B210" s="29" t="inlineStr">
        <is>
          <t>Spark</t>
        </is>
      </c>
      <c r="C210" s="29" t="inlineStr">
        <is>
          <t>スパーク</t>
        </is>
      </c>
      <c r="D210" s="29" t="inlineStr">
        <is>
          <t>Étincelle</t>
        </is>
      </c>
      <c r="E210" s="29" t="inlineStr">
        <is>
          <t>Funkensprung</t>
        </is>
      </c>
      <c r="F210" s="29" t="inlineStr">
        <is>
          <t>Chispa</t>
        </is>
      </c>
      <c r="G210" s="29" t="inlineStr">
        <is>
          <t>Scintilla</t>
        </is>
      </c>
      <c r="H210" s="29" t="inlineStr">
        <is>
          <t>스파크</t>
        </is>
      </c>
      <c r="I210" s="29" t="inlineStr">
        <is>
          <t>電光</t>
        </is>
      </c>
      <c r="J210" s="29">
        <f>IFERROR(__xludf.DUMMYFUNCTION("GOOGLETRANSLATE(I210,""zh_HANT"",""zh_HANS"")"),"电光")</f>
        <v/>
      </c>
      <c r="K210" s="29">
        <f>F210</f>
        <v/>
      </c>
    </row>
    <row r="211">
      <c r="A211" s="29">
        <f>CONCATENATE("NAME_MOVE_", SUBSTITUTE(SUBSTITUTE(UPPER(B211), " ", ""), "-", ""))</f>
        <v/>
      </c>
      <c r="B211" s="29" t="inlineStr">
        <is>
          <t>Fury Cutter</t>
        </is>
      </c>
      <c r="C211" s="29" t="inlineStr">
        <is>
          <t>れんぞくぎり</t>
        </is>
      </c>
      <c r="D211" s="29" t="inlineStr">
        <is>
          <t>Taillade</t>
        </is>
      </c>
      <c r="E211" s="29" t="inlineStr">
        <is>
          <t>Zornklinge</t>
        </is>
      </c>
      <c r="F211" s="29" t="inlineStr">
        <is>
          <t>Corte Furia</t>
        </is>
      </c>
      <c r="G211" s="29" t="inlineStr">
        <is>
          <t>Tagliofuria</t>
        </is>
      </c>
      <c r="H211" s="29" t="inlineStr">
        <is>
          <t>연속자르기</t>
        </is>
      </c>
      <c r="I211" s="29" t="inlineStr">
        <is>
          <t>連斬</t>
        </is>
      </c>
      <c r="J211" s="29">
        <f>IFERROR(__xludf.DUMMYFUNCTION("GOOGLETRANSLATE(I211,""zh_HANT"",""zh_HANS"")"),"连斩")</f>
        <v/>
      </c>
      <c r="K211" s="29">
        <f>F211</f>
        <v/>
      </c>
    </row>
    <row r="212">
      <c r="A212" s="29">
        <f>CONCATENATE("NAME_MOVE_", SUBSTITUTE(SUBSTITUTE(UPPER(B212), " ", ""), "-", ""))</f>
        <v/>
      </c>
      <c r="B212" s="29" t="inlineStr">
        <is>
          <t>Steel Wing</t>
        </is>
      </c>
      <c r="C212" s="29" t="inlineStr">
        <is>
          <t>はがねのつばさ</t>
        </is>
      </c>
      <c r="D212" s="29" t="inlineStr">
        <is>
          <t>Ailes d'Acier</t>
        </is>
      </c>
      <c r="E212" s="29" t="inlineStr">
        <is>
          <t>Stahlflügel</t>
        </is>
      </c>
      <c r="F212" s="29" t="inlineStr">
        <is>
          <t>Ala de Acero</t>
        </is>
      </c>
      <c r="G212" s="29" t="inlineStr">
        <is>
          <t>Alacciaio</t>
        </is>
      </c>
      <c r="H212" s="29" t="inlineStr">
        <is>
          <t>강철날개</t>
        </is>
      </c>
      <c r="I212" s="29" t="inlineStr">
        <is>
          <t>鋼翼</t>
        </is>
      </c>
      <c r="J212" s="29">
        <f>IFERROR(__xludf.DUMMYFUNCTION("GOOGLETRANSLATE(I212,""zh_HANT"",""zh_HANS"")"),"钢翼")</f>
        <v/>
      </c>
      <c r="K212" s="29">
        <f>F212</f>
        <v/>
      </c>
    </row>
    <row r="213">
      <c r="A213" s="29">
        <f>CONCATENATE("NAME_MOVE_", SUBSTITUTE(SUBSTITUTE(UPPER(B213), " ", ""), "-", ""))</f>
        <v/>
      </c>
      <c r="B213" s="29" t="inlineStr">
        <is>
          <t>Mean Look</t>
        </is>
      </c>
      <c r="C213" s="29" t="inlineStr">
        <is>
          <t>くろいまなざし</t>
        </is>
      </c>
      <c r="D213" s="29" t="inlineStr">
        <is>
          <t>Regard Noir</t>
        </is>
      </c>
      <c r="E213" s="29" t="inlineStr">
        <is>
          <t>Horrorblick</t>
        </is>
      </c>
      <c r="F213" s="29" t="inlineStr">
        <is>
          <t>Mal de Ojo</t>
        </is>
      </c>
      <c r="G213" s="29" t="inlineStr">
        <is>
          <t>Malosguardo</t>
        </is>
      </c>
      <c r="H213" s="29" t="inlineStr">
        <is>
          <t>검은눈빛</t>
        </is>
      </c>
      <c r="I213" s="29" t="inlineStr">
        <is>
          <t>黑色目光</t>
        </is>
      </c>
      <c r="J213" s="29">
        <f>I213</f>
        <v/>
      </c>
      <c r="K213" s="29">
        <f>F213</f>
        <v/>
      </c>
    </row>
    <row r="214">
      <c r="A214" s="29">
        <f>CONCATENATE("NAME_MOVE_", SUBSTITUTE(SUBSTITUTE(UPPER(B214), " ", ""), "-", ""))</f>
        <v/>
      </c>
      <c r="B214" s="29" t="inlineStr">
        <is>
          <t>Attract</t>
        </is>
      </c>
      <c r="C214" s="9" t="inlineStr">
        <is>
          <t>メロメロ</t>
        </is>
      </c>
      <c r="D214" s="29" t="inlineStr">
        <is>
          <t>Attraction</t>
        </is>
      </c>
      <c r="E214" s="29" t="inlineStr">
        <is>
          <t>Anziehung</t>
        </is>
      </c>
      <c r="F214" s="29" t="inlineStr">
        <is>
          <t>Atracción</t>
        </is>
      </c>
      <c r="G214" s="29" t="inlineStr">
        <is>
          <t>Attrazione</t>
        </is>
      </c>
      <c r="H214" s="29" t="inlineStr">
        <is>
          <t>헤롱헤롱</t>
        </is>
      </c>
      <c r="I214" s="29" t="inlineStr">
        <is>
          <t>迷人</t>
        </is>
      </c>
      <c r="J214" s="29">
        <f>I214</f>
        <v/>
      </c>
      <c r="K214" s="29">
        <f>F214</f>
        <v/>
      </c>
    </row>
    <row r="215">
      <c r="A215" s="29">
        <f>CONCATENATE("NAME_MOVE_", SUBSTITUTE(SUBSTITUTE(UPPER(B215), " ", ""), "-", ""))</f>
        <v/>
      </c>
      <c r="B215" s="29" t="inlineStr">
        <is>
          <t>Sleep Talk</t>
        </is>
      </c>
      <c r="C215" s="29" t="inlineStr">
        <is>
          <t>ねごと</t>
        </is>
      </c>
      <c r="D215" s="29" t="inlineStr">
        <is>
          <t>Blabla-Dodo</t>
        </is>
      </c>
      <c r="E215" s="29" t="inlineStr">
        <is>
          <t>Schlafrede</t>
        </is>
      </c>
      <c r="F215" s="29" t="inlineStr">
        <is>
          <t>Sonámbulo</t>
        </is>
      </c>
      <c r="G215" s="29" t="inlineStr">
        <is>
          <t>Sonnolalia</t>
        </is>
      </c>
      <c r="H215" s="29" t="inlineStr">
        <is>
          <t>잠꼬대</t>
        </is>
      </c>
      <c r="I215" s="29" t="inlineStr">
        <is>
          <t>夢話</t>
        </is>
      </c>
      <c r="J215" s="29">
        <f>IFERROR(__xludf.DUMMYFUNCTION("GOOGLETRANSLATE(I215,""zh_HANT"",""zh_HANS"")"),"梦话")</f>
        <v/>
      </c>
      <c r="K215" s="29">
        <f>F215</f>
        <v/>
      </c>
    </row>
    <row r="216">
      <c r="A216" s="29">
        <f>CONCATENATE("NAME_MOVE_", SUBSTITUTE(SUBSTITUTE(UPPER(B216), " ", ""), "-", ""))</f>
        <v/>
      </c>
      <c r="B216" s="29" t="inlineStr">
        <is>
          <t>Heal Bell</t>
        </is>
      </c>
      <c r="C216" s="29" t="inlineStr">
        <is>
          <t>いやしのすず</t>
        </is>
      </c>
      <c r="D216" s="29" t="inlineStr">
        <is>
          <t>Glas de Soin</t>
        </is>
      </c>
      <c r="E216" s="29" t="inlineStr">
        <is>
          <t>Vitalglocke</t>
        </is>
      </c>
      <c r="F216" s="29" t="inlineStr">
        <is>
          <t>Campana Cura</t>
        </is>
      </c>
      <c r="G216" s="29" t="inlineStr">
        <is>
          <t>Rintoccasana</t>
        </is>
      </c>
      <c r="H216" s="29" t="inlineStr">
        <is>
          <t>치료방울</t>
        </is>
      </c>
      <c r="I216" s="29" t="inlineStr">
        <is>
          <t>治癒鈴聲</t>
        </is>
      </c>
      <c r="J216" s="29">
        <f>IFERROR(__xludf.DUMMYFUNCTION("GOOGLETRANSLATE(I216,""zh_HANT"",""zh_HANS"")"),"治愈铃声")</f>
        <v/>
      </c>
      <c r="K216" s="29">
        <f>F216</f>
        <v/>
      </c>
    </row>
    <row r="217">
      <c r="A217" s="29">
        <f>CONCATENATE("NAME_MOVE_", SUBSTITUTE(SUBSTITUTE(UPPER(B217), " ", ""), "-", ""))</f>
        <v/>
      </c>
      <c r="B217" s="29" t="inlineStr">
        <is>
          <t>Return</t>
        </is>
      </c>
      <c r="C217" s="29" t="inlineStr">
        <is>
          <t>おんがえし</t>
        </is>
      </c>
      <c r="D217" s="29" t="inlineStr">
        <is>
          <t>Retour</t>
        </is>
      </c>
      <c r="E217" s="29" t="inlineStr">
        <is>
          <t>Rückkehr</t>
        </is>
      </c>
      <c r="F217" s="29" t="inlineStr">
        <is>
          <t>Retribución</t>
        </is>
      </c>
      <c r="G217" s="29" t="inlineStr">
        <is>
          <t>Ritorno</t>
        </is>
      </c>
      <c r="H217" s="29" t="inlineStr">
        <is>
          <t>은혜갚기</t>
        </is>
      </c>
      <c r="I217" s="29" t="inlineStr">
        <is>
          <t>報恩</t>
        </is>
      </c>
      <c r="J217" s="29">
        <f>IFERROR(__xludf.DUMMYFUNCTION("GOOGLETRANSLATE(I217,""zh_HANT"",""zh_HANS"")"),"报恩")</f>
        <v/>
      </c>
      <c r="K217" s="29">
        <f>F217</f>
        <v/>
      </c>
    </row>
    <row r="218">
      <c r="A218" s="29">
        <f>CONCATENATE("NAME_MOVE_", SUBSTITUTE(SUBSTITUTE(UPPER(B218), " ", ""), "-", ""))</f>
        <v/>
      </c>
      <c r="B218" s="29" t="inlineStr">
        <is>
          <t>Present</t>
        </is>
      </c>
      <c r="C218" s="29" t="inlineStr">
        <is>
          <t>プレセント</t>
        </is>
      </c>
      <c r="D218" s="29" t="inlineStr">
        <is>
          <t>Cadeau</t>
        </is>
      </c>
      <c r="E218" s="29" t="inlineStr">
        <is>
          <t>Geschenk</t>
        </is>
      </c>
      <c r="F218" s="29" t="inlineStr">
        <is>
          <t>Presente</t>
        </is>
      </c>
      <c r="G218" s="29" t="inlineStr">
        <is>
          <t>Regalino</t>
        </is>
      </c>
      <c r="H218" s="29" t="inlineStr">
        <is>
          <t>프레젠트</t>
        </is>
      </c>
      <c r="I218" s="29" t="inlineStr">
        <is>
          <t>禮物</t>
        </is>
      </c>
      <c r="J218" s="29">
        <f>IFERROR(__xludf.DUMMYFUNCTION("GOOGLETRANSLATE(I218,""zh_HANT"",""zh_HANS"")"),"礼物")</f>
        <v/>
      </c>
      <c r="K218" s="29">
        <f>F218</f>
        <v/>
      </c>
    </row>
    <row r="219">
      <c r="A219" s="29">
        <f>CONCATENATE("NAME_MOVE_", SUBSTITUTE(SUBSTITUTE(UPPER(B219), " ", ""), "-", ""))</f>
        <v/>
      </c>
      <c r="B219" s="29" t="inlineStr">
        <is>
          <t>Frustration</t>
        </is>
      </c>
      <c r="C219" s="29" t="inlineStr">
        <is>
          <t>やつあたり</t>
        </is>
      </c>
      <c r="D219" s="29">
        <f>B219</f>
        <v/>
      </c>
      <c r="E219" s="29">
        <f>B219</f>
        <v/>
      </c>
      <c r="F219" s="29" t="inlineStr">
        <is>
          <t>Frustración</t>
        </is>
      </c>
      <c r="G219" s="29" t="inlineStr">
        <is>
          <t>Frustrazione</t>
        </is>
      </c>
      <c r="H219" s="29" t="inlineStr">
        <is>
          <t>화풀이</t>
        </is>
      </c>
      <c r="I219" s="29" t="inlineStr">
        <is>
          <t>遷怒</t>
        </is>
      </c>
      <c r="J219" s="29">
        <f>IFERROR(__xludf.DUMMYFUNCTION("GOOGLETRANSLATE(I219,""zh_HANT"",""zh_HANS"")"),"迁怒")</f>
        <v/>
      </c>
      <c r="K219" s="29">
        <f>F219</f>
        <v/>
      </c>
    </row>
    <row r="220">
      <c r="A220" s="29">
        <f>CONCATENATE("NAME_MOVE_", SUBSTITUTE(SUBSTITUTE(UPPER(B220), " ", ""), "-", ""))</f>
        <v/>
      </c>
      <c r="B220" s="29" t="inlineStr">
        <is>
          <t>Safeguard</t>
        </is>
      </c>
      <c r="C220" s="29" t="inlineStr">
        <is>
          <t>しんぴのまもり</t>
        </is>
      </c>
      <c r="D220" s="29" t="inlineStr">
        <is>
          <t>Rune Protect</t>
        </is>
      </c>
      <c r="E220" s="29" t="inlineStr">
        <is>
          <t>Bodyguard</t>
        </is>
      </c>
      <c r="F220" s="29" t="inlineStr">
        <is>
          <t>Velo Sagrado</t>
        </is>
      </c>
      <c r="G220" s="29" t="inlineStr">
        <is>
          <t>Salvaguardia</t>
        </is>
      </c>
      <c r="H220" s="29" t="inlineStr">
        <is>
          <t>신비의부적</t>
        </is>
      </c>
      <c r="I220" s="29" t="inlineStr">
        <is>
          <t>神秘守護</t>
        </is>
      </c>
      <c r="J220" s="29">
        <f>IFERROR(__xludf.DUMMYFUNCTION("GOOGLETRANSLATE(I220,""zh_HANT"",""zh_HANS"")"),"神秘守护")</f>
        <v/>
      </c>
      <c r="K220" s="29">
        <f>F220</f>
        <v/>
      </c>
    </row>
    <row r="221">
      <c r="A221" s="29">
        <f>CONCATENATE("NAME_MOVE_", SUBSTITUTE(SUBSTITUTE(UPPER(B221), " ", ""), "-", ""))</f>
        <v/>
      </c>
      <c r="B221" s="29" t="inlineStr">
        <is>
          <t>Pain Split</t>
        </is>
      </c>
      <c r="C221" s="29" t="inlineStr">
        <is>
          <t>いたみわけ</t>
        </is>
      </c>
      <c r="D221" s="29" t="inlineStr">
        <is>
          <t>Balance</t>
        </is>
      </c>
      <c r="E221" s="29" t="inlineStr">
        <is>
          <t>Leidteiler</t>
        </is>
      </c>
      <c r="F221" s="29" t="inlineStr">
        <is>
          <t>Divide Dolor</t>
        </is>
      </c>
      <c r="G221" s="29" t="inlineStr">
        <is>
          <t>Malcomune</t>
        </is>
      </c>
      <c r="H221" s="29" t="inlineStr">
        <is>
          <t>아픔나누기</t>
        </is>
      </c>
      <c r="I221" s="29" t="inlineStr">
        <is>
          <t>分擔痛楚</t>
        </is>
      </c>
      <c r="J221" s="29">
        <f>IFERROR(__xludf.DUMMYFUNCTION("GOOGLETRANSLATE(I221,""zh_HANT"",""zh_HANS"")"),"分担痛楚")</f>
        <v/>
      </c>
      <c r="K221" s="29">
        <f>F221</f>
        <v/>
      </c>
    </row>
    <row r="222">
      <c r="A222" s="29">
        <f>CONCATENATE("NAME_MOVE_", SUBSTITUTE(SUBSTITUTE(UPPER(B222), " ", ""), "-", ""))</f>
        <v/>
      </c>
      <c r="B222" s="29" t="inlineStr">
        <is>
          <t>Sacred Fire</t>
        </is>
      </c>
      <c r="C222" s="29" t="inlineStr">
        <is>
          <t>せいなるほのう</t>
        </is>
      </c>
      <c r="D222" s="29" t="inlineStr">
        <is>
          <t>Feu Sacré</t>
        </is>
      </c>
      <c r="E222" s="29" t="inlineStr">
        <is>
          <t>Läuterfeuer</t>
        </is>
      </c>
      <c r="F222" s="29" t="inlineStr">
        <is>
          <t>Fuego Sagrado</t>
        </is>
      </c>
      <c r="G222" s="29" t="inlineStr">
        <is>
          <t>Magifuoco</t>
        </is>
      </c>
      <c r="H222" s="29" t="inlineStr">
        <is>
          <t>성스러운불꽃</t>
        </is>
      </c>
      <c r="I222" s="29" t="inlineStr">
        <is>
          <t>神聖之火</t>
        </is>
      </c>
      <c r="J222" s="29">
        <f>IFERROR(__xludf.DUMMYFUNCTION("GOOGLETRANSLATE(I222,""zh_HANT"",""zh_HANS"")"),"神圣之火")</f>
        <v/>
      </c>
      <c r="K222" s="29">
        <f>F222</f>
        <v/>
      </c>
    </row>
    <row r="223">
      <c r="A223" s="29">
        <f>CONCATENATE("NAME_MOVE_", SUBSTITUTE(SUBSTITUTE(UPPER(B223), " ", ""), "-", ""))</f>
        <v/>
      </c>
      <c r="B223" s="29" t="inlineStr">
        <is>
          <t>Magnitude</t>
        </is>
      </c>
      <c r="C223" s="29" t="inlineStr">
        <is>
          <t>マグニチュード</t>
        </is>
      </c>
      <c r="D223" s="29" t="inlineStr">
        <is>
          <t>Ampleur</t>
        </is>
      </c>
      <c r="E223" s="29" t="inlineStr">
        <is>
          <t>Intensität</t>
        </is>
      </c>
      <c r="F223" s="29" t="inlineStr">
        <is>
          <t>Magnitud</t>
        </is>
      </c>
      <c r="G223" s="29">
        <f>CONCATENATE(F223,"o")</f>
        <v/>
      </c>
      <c r="H223" s="29" t="inlineStr">
        <is>
          <t>매그니튜드</t>
        </is>
      </c>
      <c r="I223" s="29" t="inlineStr">
        <is>
          <t>震級</t>
        </is>
      </c>
      <c r="J223" s="29">
        <f>IFERROR(__xludf.DUMMYFUNCTION("GOOGLETRANSLATE(I223,""zh_HANT"",""zh_HANS"")"),"震级")</f>
        <v/>
      </c>
      <c r="K223" s="29">
        <f>F223</f>
        <v/>
      </c>
    </row>
    <row r="224">
      <c r="A224" s="29">
        <f>CONCATENATE("NAME_MOVE_", SUBSTITUTE(SUBSTITUTE(UPPER(B224), " ", ""), "-", ""))</f>
        <v/>
      </c>
      <c r="B224" s="29" t="inlineStr">
        <is>
          <t>Dynamic Punch</t>
        </is>
      </c>
      <c r="C224" s="29" t="inlineStr">
        <is>
          <t>ばくれつパンチ</t>
        </is>
      </c>
      <c r="D224" s="29" t="inlineStr">
        <is>
          <t>Dynamo-Poing</t>
        </is>
      </c>
      <c r="E224" s="29" t="inlineStr">
        <is>
          <t>Wuchtschlag</t>
        </is>
      </c>
      <c r="F224" s="29" t="inlineStr">
        <is>
          <t>Puño Dinámico</t>
        </is>
      </c>
      <c r="G224" s="29" t="inlineStr">
        <is>
          <t>Dinamipugno</t>
        </is>
      </c>
      <c r="H224" s="29" t="inlineStr">
        <is>
          <t>폭발펀치</t>
        </is>
      </c>
      <c r="I224" s="29" t="inlineStr">
        <is>
          <t>爆裂拳</t>
        </is>
      </c>
      <c r="J224" s="29">
        <f>I224</f>
        <v/>
      </c>
      <c r="K224" s="29">
        <f>F224</f>
        <v/>
      </c>
    </row>
    <row r="225">
      <c r="A225" s="29">
        <f>CONCATENATE("NAME_MOVE_", SUBSTITUTE(SUBSTITUTE(UPPER(B225), " ", ""), "-", ""))</f>
        <v/>
      </c>
      <c r="B225" s="29" t="inlineStr">
        <is>
          <t>Megahorn</t>
        </is>
      </c>
      <c r="C225" s="29" t="inlineStr">
        <is>
          <t>メガホーン</t>
        </is>
      </c>
      <c r="D225" s="29" t="inlineStr">
        <is>
          <t>Mégacorne</t>
        </is>
      </c>
      <c r="E225" s="29" t="inlineStr">
        <is>
          <t>Vielender</t>
        </is>
      </c>
      <c r="F225" s="29" t="inlineStr">
        <is>
          <t>Megacuerno</t>
        </is>
      </c>
      <c r="G225" s="29" t="inlineStr">
        <is>
          <t>Megacorno</t>
        </is>
      </c>
      <c r="H225" s="29" t="inlineStr">
        <is>
          <t>메가폰</t>
        </is>
      </c>
      <c r="I225" s="29" t="inlineStr">
        <is>
          <t>超級角擊</t>
        </is>
      </c>
      <c r="J225" s="29">
        <f>IFERROR(__xludf.DUMMYFUNCTION("GOOGLETRANSLATE(I225,""zh_HANT"",""zh_HANS"")"),"超级角击")</f>
        <v/>
      </c>
      <c r="K225" s="29">
        <f>F225</f>
        <v/>
      </c>
    </row>
    <row r="226">
      <c r="A226" s="29">
        <f>CONCATENATE("NAME_MOVE_", SUBSTITUTE(SUBSTITUTE(UPPER(B226), " ", ""), "-", ""))</f>
        <v/>
      </c>
      <c r="B226" s="29" t="inlineStr">
        <is>
          <t>Dragon Breath</t>
        </is>
      </c>
      <c r="C226" s="29" t="inlineStr">
        <is>
          <t>りゅうのいぶき</t>
        </is>
      </c>
      <c r="D226" s="29" t="inlineStr">
        <is>
          <t>Dracosouffle</t>
        </is>
      </c>
      <c r="E226" s="29" t="inlineStr">
        <is>
          <t>Feuerodem</t>
        </is>
      </c>
      <c r="F226" s="29" t="inlineStr">
        <is>
          <t>Dragoaliento</t>
        </is>
      </c>
      <c r="G226" s="29" t="inlineStr">
        <is>
          <t>Dragospiro</t>
        </is>
      </c>
      <c r="H226" s="29" t="inlineStr">
        <is>
          <t>용의숨결</t>
        </is>
      </c>
      <c r="I226" s="29" t="inlineStr">
        <is>
          <t>龍息</t>
        </is>
      </c>
      <c r="J226" s="29">
        <f>IFERROR(__xludf.DUMMYFUNCTION("GOOGLETRANSLATE(I226,""zh_HANT"",""zh_HANS"")"),"龙息")</f>
        <v/>
      </c>
      <c r="K226" s="29">
        <f>F226</f>
        <v/>
      </c>
    </row>
    <row r="227">
      <c r="A227" s="29">
        <f>CONCATENATE("NAME_MOVE_", SUBSTITUTE(SUBSTITUTE(UPPER(B227), " ", ""), "-", ""))</f>
        <v/>
      </c>
      <c r="B227" s="29" t="inlineStr">
        <is>
          <t>Baton Pass</t>
        </is>
      </c>
      <c r="C227" s="29" t="inlineStr">
        <is>
          <t>バトンタッチ</t>
        </is>
      </c>
      <c r="D227" s="29" t="inlineStr">
        <is>
          <t>Relai</t>
        </is>
      </c>
      <c r="E227" s="29" t="inlineStr">
        <is>
          <t>Stafette</t>
        </is>
      </c>
      <c r="F227" s="29" t="inlineStr">
        <is>
          <t>Relevo</t>
        </is>
      </c>
      <c r="G227" s="29" t="inlineStr">
        <is>
          <t>Staffetta</t>
        </is>
      </c>
      <c r="H227" s="29" t="inlineStr">
        <is>
          <t>바톤터치</t>
        </is>
      </c>
      <c r="I227" s="29" t="inlineStr">
        <is>
          <t>接棒</t>
        </is>
      </c>
      <c r="J227" s="29">
        <f>I227</f>
        <v/>
      </c>
      <c r="K227" s="29">
        <f>F227</f>
        <v/>
      </c>
    </row>
    <row r="228">
      <c r="A228" s="29">
        <f>CONCATENATE("NAME_MOVE_", SUBSTITUTE(SUBSTITUTE(UPPER(B228), " ", ""), "-", ""))</f>
        <v/>
      </c>
      <c r="B228" s="29" t="inlineStr">
        <is>
          <t>Encore</t>
        </is>
      </c>
      <c r="C228" s="29" t="inlineStr">
        <is>
          <t>アンコール</t>
        </is>
      </c>
      <c r="D228" s="29">
        <f>B228</f>
        <v/>
      </c>
      <c r="E228" s="29" t="inlineStr">
        <is>
          <t>Zugabe</t>
        </is>
      </c>
      <c r="F228" s="29" t="inlineStr">
        <is>
          <t>Otra Vez</t>
        </is>
      </c>
      <c r="G228" s="29" t="inlineStr">
        <is>
          <t>Ripeti</t>
        </is>
      </c>
      <c r="H228" s="29" t="inlineStr">
        <is>
          <t>앵콜</t>
        </is>
      </c>
      <c r="I228" s="29" t="inlineStr">
        <is>
          <t>再來一次</t>
        </is>
      </c>
      <c r="J228" s="29">
        <f>IFERROR(__xludf.DUMMYFUNCTION("GOOGLETRANSLATE(I228,""zh_HANT"",""zh_HANS"")"),"再来一次")</f>
        <v/>
      </c>
      <c r="K228" s="29">
        <f>F228</f>
        <v/>
      </c>
    </row>
    <row r="229">
      <c r="A229" s="29">
        <f>CONCATENATE("NAME_MOVE_", SUBSTITUTE(SUBSTITUTE(UPPER(B229), " ", ""), "-", ""))</f>
        <v/>
      </c>
      <c r="B229" s="29" t="inlineStr">
        <is>
          <t>Pursuit</t>
        </is>
      </c>
      <c r="C229" s="29" t="inlineStr">
        <is>
          <t>おいうち</t>
        </is>
      </c>
      <c r="D229" s="29" t="inlineStr">
        <is>
          <t>Poursuite</t>
        </is>
      </c>
      <c r="E229" s="29" t="inlineStr">
        <is>
          <t>Verfolgung</t>
        </is>
      </c>
      <c r="F229" s="29" t="inlineStr">
        <is>
          <t>Persecución</t>
        </is>
      </c>
      <c r="G229" s="29" t="inlineStr">
        <is>
          <t>Inseguimento</t>
        </is>
      </c>
      <c r="H229" s="29" t="inlineStr">
        <is>
          <t>따라가때리기</t>
        </is>
      </c>
      <c r="I229" s="29" t="inlineStr">
        <is>
          <t>追打</t>
        </is>
      </c>
      <c r="J229" s="29">
        <f>I229</f>
        <v/>
      </c>
      <c r="K229" s="29">
        <f>F229</f>
        <v/>
      </c>
    </row>
    <row r="230">
      <c r="A230" s="29">
        <f>CONCATENATE("NAME_MOVE_", SUBSTITUTE(SUBSTITUTE(UPPER(B230), " ", ""), "-", ""))</f>
        <v/>
      </c>
      <c r="B230" s="29" t="inlineStr">
        <is>
          <t>Rapid Spin</t>
        </is>
      </c>
      <c r="C230" s="29" t="inlineStr">
        <is>
          <t>こうそくスピン</t>
        </is>
      </c>
      <c r="D230" s="29" t="inlineStr">
        <is>
          <t>Tour Rapide</t>
        </is>
      </c>
      <c r="E230" s="29" t="inlineStr">
        <is>
          <t>Turbodreher</t>
        </is>
      </c>
      <c r="F230" s="29" t="inlineStr">
        <is>
          <t>Giro Rápido</t>
        </is>
      </c>
      <c r="G230" s="29" t="inlineStr">
        <is>
          <t>Rapigiro</t>
        </is>
      </c>
      <c r="H230" s="29" t="inlineStr">
        <is>
          <t>고속스핀</t>
        </is>
      </c>
      <c r="I230" s="29" t="inlineStr">
        <is>
          <t>高速旋轉</t>
        </is>
      </c>
      <c r="J230" s="29">
        <f>IFERROR(__xludf.DUMMYFUNCTION("GOOGLETRANSLATE(I230,""zh_HANT"",""zh_HANS"")"),"高速旋转")</f>
        <v/>
      </c>
      <c r="K230" s="29">
        <f>F230</f>
        <v/>
      </c>
    </row>
    <row r="231">
      <c r="A231" s="29">
        <f>CONCATENATE("NAME_MOVE_", SUBSTITUTE(SUBSTITUTE(UPPER(B231), " ", ""), "-", ""))</f>
        <v/>
      </c>
      <c r="B231" s="29" t="inlineStr">
        <is>
          <t>Sweet Scent</t>
        </is>
      </c>
      <c r="C231" s="29" t="inlineStr">
        <is>
          <t>あまいかおり</t>
        </is>
      </c>
      <c r="D231" s="29" t="inlineStr">
        <is>
          <t>Doux Parfum</t>
        </is>
      </c>
      <c r="E231" s="29" t="inlineStr">
        <is>
          <t>Lockduft</t>
        </is>
      </c>
      <c r="F231" s="29" t="inlineStr">
        <is>
          <t>Dulce Aroma</t>
        </is>
      </c>
      <c r="G231" s="29" t="inlineStr">
        <is>
          <t>Profumino</t>
        </is>
      </c>
      <c r="H231" s="29" t="inlineStr">
        <is>
          <t>달콤한향기</t>
        </is>
      </c>
      <c r="I231" s="29" t="inlineStr">
        <is>
          <t>甜甜香氣</t>
        </is>
      </c>
      <c r="J231" s="29">
        <f>IFERROR(__xludf.DUMMYFUNCTION("GOOGLETRANSLATE(I231,""zh_HANT"",""zh_HANS"")"),"甜甜香气")</f>
        <v/>
      </c>
      <c r="K231" s="29">
        <f>F231</f>
        <v/>
      </c>
    </row>
    <row r="232">
      <c r="A232" s="29">
        <f>CONCATENATE("NAME_MOVE_", SUBSTITUTE(SUBSTITUTE(UPPER(B232), " ", ""), "-", ""))</f>
        <v/>
      </c>
      <c r="B232" s="29" t="inlineStr">
        <is>
          <t>Iron Tail</t>
        </is>
      </c>
      <c r="C232" s="29" t="inlineStr">
        <is>
          <t>アイヤンテール</t>
        </is>
      </c>
      <c r="D232" s="29" t="inlineStr">
        <is>
          <t>Queue de Fer</t>
        </is>
      </c>
      <c r="E232" s="29" t="inlineStr">
        <is>
          <t>Eisenschweif</t>
        </is>
      </c>
      <c r="F232" s="29" t="inlineStr">
        <is>
          <t>Cola Férrea</t>
        </is>
      </c>
      <c r="G232" s="29" t="inlineStr">
        <is>
          <t>Codacciaio</t>
        </is>
      </c>
      <c r="H232" s="29" t="inlineStr">
        <is>
          <t>아이언테일</t>
        </is>
      </c>
      <c r="I232" s="29" t="inlineStr">
        <is>
          <t>鐵尾</t>
        </is>
      </c>
      <c r="J232" s="29">
        <f>IFERROR(__xludf.DUMMYFUNCTION("GOOGLETRANSLATE(I232,""zh_HANT"",""zh_HANS"")"),"铁尾")</f>
        <v/>
      </c>
      <c r="K232" s="29">
        <f>F232</f>
        <v/>
      </c>
    </row>
    <row r="233">
      <c r="A233" s="29">
        <f>CONCATENATE("NAME_MOVE_", SUBSTITUTE(SUBSTITUTE(UPPER(B233), " ", ""), "-", ""))</f>
        <v/>
      </c>
      <c r="B233" s="29" t="inlineStr">
        <is>
          <t>Metal Claw</t>
        </is>
      </c>
      <c r="C233" s="29" t="inlineStr">
        <is>
          <t>メトルクロー</t>
        </is>
      </c>
      <c r="D233" s="29" t="inlineStr">
        <is>
          <t>Griffe-Acier</t>
        </is>
      </c>
      <c r="E233" s="29" t="inlineStr">
        <is>
          <t>Metallklaue</t>
        </is>
      </c>
      <c r="F233" s="29" t="inlineStr">
        <is>
          <t>Garra Metal</t>
        </is>
      </c>
      <c r="G233" s="29" t="inlineStr">
        <is>
          <t>Ferrartigli</t>
        </is>
      </c>
      <c r="H233" s="29" t="inlineStr">
        <is>
          <t>메탈크로우</t>
        </is>
      </c>
      <c r="I233" s="29" t="inlineStr">
        <is>
          <t>金屬爪</t>
        </is>
      </c>
      <c r="J233" s="29">
        <f>IFERROR(__xludf.DUMMYFUNCTION("GOOGLETRANSLATE(I233,""zh_HANT"",""zh_HANS"")"),"金属爪")</f>
        <v/>
      </c>
      <c r="K233" s="29">
        <f>F233</f>
        <v/>
      </c>
    </row>
    <row r="234">
      <c r="A234" s="29">
        <f>CONCATENATE("NAME_MOVE_", SUBSTITUTE(SUBSTITUTE(UPPER(B234), " ", ""), "-", ""))</f>
        <v/>
      </c>
      <c r="B234" s="29" t="inlineStr">
        <is>
          <t>Vital Throw</t>
        </is>
      </c>
      <c r="C234" s="29" t="inlineStr">
        <is>
          <t>あてみなげ</t>
        </is>
      </c>
      <c r="D234" s="29" t="inlineStr">
        <is>
          <t>Corps Perdu</t>
        </is>
      </c>
      <c r="E234" s="29" t="inlineStr">
        <is>
          <t>Überwurf</t>
        </is>
      </c>
      <c r="F234" s="29" t="inlineStr">
        <is>
          <t>Tiro Vital</t>
        </is>
      </c>
      <c r="G234" s="29" t="inlineStr">
        <is>
          <t>Vitaltiro</t>
        </is>
      </c>
      <c r="H234" s="29" t="inlineStr">
        <is>
          <t>받아던지기</t>
        </is>
      </c>
      <c r="I234" s="29" t="inlineStr">
        <is>
          <t>借力摔</t>
        </is>
      </c>
      <c r="J234" s="29">
        <f>I234</f>
        <v/>
      </c>
      <c r="K234" s="29">
        <f>F234</f>
        <v/>
      </c>
    </row>
    <row r="235">
      <c r="A235" s="29">
        <f>CONCATENATE("NAME_MOVE_", SUBSTITUTE(SUBSTITUTE(UPPER(B235), " ", ""), "-", ""))</f>
        <v/>
      </c>
      <c r="B235" s="29" t="inlineStr">
        <is>
          <t>Morning Sun</t>
        </is>
      </c>
      <c r="C235" s="29" t="inlineStr">
        <is>
          <t>あさのひざし</t>
        </is>
      </c>
      <c r="D235" s="29" t="inlineStr">
        <is>
          <t>Aurore</t>
        </is>
      </c>
      <c r="E235" s="29" t="inlineStr">
        <is>
          <t>Morgengrauen</t>
        </is>
      </c>
      <c r="F235" s="29" t="inlineStr">
        <is>
          <t>Sol Matinal</t>
        </is>
      </c>
      <c r="G235" s="29" t="inlineStr">
        <is>
          <t>Mattindoro</t>
        </is>
      </c>
      <c r="H235" s="29" t="inlineStr">
        <is>
          <t>아침햇살</t>
        </is>
      </c>
      <c r="I235" s="29" t="inlineStr">
        <is>
          <t>晨光</t>
        </is>
      </c>
      <c r="J235" s="29">
        <f>I235</f>
        <v/>
      </c>
      <c r="K235" s="29">
        <f>F235</f>
        <v/>
      </c>
    </row>
    <row r="236">
      <c r="A236" s="29">
        <f>CONCATENATE("NAME_MOVE_", SUBSTITUTE(SUBSTITUTE(UPPER(B236), " ", ""), "-", ""))</f>
        <v/>
      </c>
      <c r="B236" s="29" t="inlineStr">
        <is>
          <t>Synthesis</t>
        </is>
      </c>
      <c r="C236" s="29" t="inlineStr">
        <is>
          <t>こうごうせい</t>
        </is>
      </c>
      <c r="D236" s="29" t="inlineStr">
        <is>
          <t>Synthèse</t>
        </is>
      </c>
      <c r="E236" s="29" t="inlineStr">
        <is>
          <t>Synthese</t>
        </is>
      </c>
      <c r="F236" s="29" t="inlineStr">
        <is>
          <t>Síntesis</t>
        </is>
      </c>
      <c r="G236" s="29" t="inlineStr">
        <is>
          <t>Sintesi</t>
        </is>
      </c>
      <c r="H236" s="29" t="inlineStr">
        <is>
          <t>광합성</t>
        </is>
      </c>
      <c r="I236" s="29" t="inlineStr">
        <is>
          <t>光合作用</t>
        </is>
      </c>
      <c r="J236" s="29">
        <f>I236</f>
        <v/>
      </c>
      <c r="K236" s="29">
        <f>F236</f>
        <v/>
      </c>
    </row>
    <row r="237">
      <c r="A237" s="29">
        <f>CONCATENATE("NAME_MOVE_", SUBSTITUTE(SUBSTITUTE(UPPER(B237), " ", ""), "-", ""))</f>
        <v/>
      </c>
      <c r="B237" s="29" t="inlineStr">
        <is>
          <t>Moonlight</t>
        </is>
      </c>
      <c r="C237" s="29" t="inlineStr">
        <is>
          <t>つきのひかり</t>
        </is>
      </c>
      <c r="D237" s="29" t="inlineStr">
        <is>
          <t>Rayon Lune</t>
        </is>
      </c>
      <c r="E237" s="29" t="inlineStr">
        <is>
          <t>Mondschein</t>
        </is>
      </c>
      <c r="F237" s="29" t="inlineStr">
        <is>
          <t>Luz Lunar</t>
        </is>
      </c>
      <c r="G237" s="29" t="inlineStr">
        <is>
          <t>Lucelunare</t>
        </is>
      </c>
      <c r="H237" s="29" t="inlineStr">
        <is>
          <t>달의불빛</t>
        </is>
      </c>
      <c r="I237" s="29" t="inlineStr">
        <is>
          <t>月光</t>
        </is>
      </c>
      <c r="J237" s="29">
        <f>I237</f>
        <v/>
      </c>
      <c r="K237" s="29">
        <f>F237</f>
        <v/>
      </c>
    </row>
    <row r="238">
      <c r="A238" s="29">
        <f>CONCATENATE("NAME_MOVE_", SUBSTITUTE(SUBSTITUTE(UPPER(B238), " ", ""), "-", ""))</f>
        <v/>
      </c>
      <c r="B238" s="29" t="inlineStr">
        <is>
          <t>Hidden Power</t>
        </is>
      </c>
      <c r="C238" s="29" t="inlineStr">
        <is>
          <t>めざめるパワー</t>
        </is>
      </c>
      <c r="D238" s="29" t="inlineStr">
        <is>
          <t>Puissance Cachée</t>
        </is>
      </c>
      <c r="E238" s="29" t="inlineStr">
        <is>
          <t>Kraftreserve</t>
        </is>
      </c>
      <c r="F238" s="29" t="inlineStr">
        <is>
          <t>Poder Oculto</t>
        </is>
      </c>
      <c r="G238" s="29" t="inlineStr">
        <is>
          <t>Introforza</t>
        </is>
      </c>
      <c r="H238" s="29" t="inlineStr">
        <is>
          <t>잠재파워</t>
        </is>
      </c>
      <c r="I238" s="29" t="inlineStr">
        <is>
          <t>覺醒力量</t>
        </is>
      </c>
      <c r="J238" s="29">
        <f>IFERROR(__xludf.DUMMYFUNCTION("GOOGLETRANSLATE(I238,""zh_HANT"",""zh_HANS"")"),"觉醒力量")</f>
        <v/>
      </c>
      <c r="K238" s="29">
        <f>F238</f>
        <v/>
      </c>
    </row>
    <row r="239">
      <c r="A239" s="29">
        <f>CONCATENATE("NAME_MOVE_", SUBSTITUTE(SUBSTITUTE(UPPER(B239), " ", ""), "-", ""))</f>
        <v/>
      </c>
      <c r="B239" s="29" t="inlineStr">
        <is>
          <t>Cross Chop</t>
        </is>
      </c>
      <c r="C239" s="29" t="inlineStr">
        <is>
          <t>クロスチョップ</t>
        </is>
      </c>
      <c r="D239" s="29" t="inlineStr">
        <is>
          <t>Coup-Croix</t>
        </is>
      </c>
      <c r="E239" s="29" t="inlineStr">
        <is>
          <t>Kreuzhieb</t>
        </is>
      </c>
      <c r="F239" s="29" t="inlineStr">
        <is>
          <t>Tajo Cruzado</t>
        </is>
      </c>
      <c r="G239" s="29" t="inlineStr">
        <is>
          <t>Incrocolpo</t>
        </is>
      </c>
      <c r="H239" s="29" t="inlineStr">
        <is>
          <t>크로스촙</t>
        </is>
      </c>
      <c r="I239" s="29" t="inlineStr">
        <is>
          <t>十字劈</t>
        </is>
      </c>
      <c r="J239" s="29">
        <f>I239</f>
        <v/>
      </c>
      <c r="K239" s="29">
        <f>F239</f>
        <v/>
      </c>
    </row>
    <row r="240">
      <c r="A240" s="29">
        <f>CONCATENATE("NAME_MOVE_", SUBSTITUTE(SUBSTITUTE(UPPER(B240), " ", ""), "-", ""))</f>
        <v/>
      </c>
      <c r="B240" s="29" t="inlineStr">
        <is>
          <t>Twister</t>
        </is>
      </c>
      <c r="C240" s="29" t="inlineStr">
        <is>
          <t>たつまき</t>
        </is>
      </c>
      <c r="D240" s="29" t="inlineStr">
        <is>
          <t>Ouragan</t>
        </is>
      </c>
      <c r="E240" s="29" t="inlineStr">
        <is>
          <t>Windhose</t>
        </is>
      </c>
      <c r="F240" s="29" t="inlineStr">
        <is>
          <t>Ciclón</t>
        </is>
      </c>
      <c r="G240" s="29" t="inlineStr">
        <is>
          <t>Tornado</t>
        </is>
      </c>
      <c r="H240" s="29" t="inlineStr">
        <is>
          <t>회오리</t>
        </is>
      </c>
      <c r="I240" s="29" t="inlineStr">
        <is>
          <t>龍捲風</t>
        </is>
      </c>
      <c r="J240" s="29">
        <f>IFERROR(__xludf.DUMMYFUNCTION("GOOGLETRANSLATE(I240,""zh_HANT"",""zh_HANS"")"),"龙卷风")</f>
        <v/>
      </c>
      <c r="K240" s="29">
        <f>F240</f>
        <v/>
      </c>
    </row>
    <row r="241">
      <c r="A241" s="29">
        <f>CONCATENATE("NAME_MOVE_", SUBSTITUTE(SUBSTITUTE(UPPER(B241), " ", ""), "-", ""))</f>
        <v/>
      </c>
      <c r="B241" s="29" t="inlineStr">
        <is>
          <t>Rain Dance</t>
        </is>
      </c>
      <c r="C241" s="29" t="inlineStr">
        <is>
          <t>あまごい</t>
        </is>
      </c>
      <c r="D241" s="29" t="inlineStr">
        <is>
          <t>Danse-Pluie</t>
        </is>
      </c>
      <c r="E241" s="29" t="inlineStr">
        <is>
          <t>Regentanz</t>
        </is>
      </c>
      <c r="F241" s="29" t="inlineStr">
        <is>
          <t>Danza Lluvia</t>
        </is>
      </c>
      <c r="G241" s="29" t="inlineStr">
        <is>
          <t>Pioggiadanza</t>
        </is>
      </c>
      <c r="H241" s="29" t="inlineStr">
        <is>
          <t>비바라기</t>
        </is>
      </c>
      <c r="I241" s="29" t="inlineStr">
        <is>
          <t>求雨</t>
        </is>
      </c>
      <c r="J241" s="29">
        <f>I241</f>
        <v/>
      </c>
      <c r="K241" s="29">
        <f>F241</f>
        <v/>
      </c>
    </row>
    <row r="242">
      <c r="A242" s="29">
        <f>CONCATENATE("NAME_MOVE_", SUBSTITUTE(SUBSTITUTE(UPPER(B242), " ", ""), "-", ""))</f>
        <v/>
      </c>
      <c r="B242" s="29" t="inlineStr">
        <is>
          <t>Sunny Day</t>
        </is>
      </c>
      <c r="C242" s="29" t="inlineStr">
        <is>
          <t>にほんばれ</t>
        </is>
      </c>
      <c r="D242" s="29" t="inlineStr">
        <is>
          <t>Zénith</t>
        </is>
      </c>
      <c r="E242" s="29" t="inlineStr">
        <is>
          <t>Sonnentag</t>
        </is>
      </c>
      <c r="F242" s="29" t="inlineStr">
        <is>
          <t>Día Soleado</t>
        </is>
      </c>
      <c r="G242" s="29" t="inlineStr">
        <is>
          <t>Giornodisole</t>
        </is>
      </c>
      <c r="H242" s="29" t="inlineStr">
        <is>
          <t>쾌청</t>
        </is>
      </c>
      <c r="I242" s="29" t="inlineStr">
        <is>
          <t>大晴天</t>
        </is>
      </c>
      <c r="J242" s="29">
        <f>I242</f>
        <v/>
      </c>
      <c r="K242" s="29">
        <f>F242</f>
        <v/>
      </c>
    </row>
    <row r="243">
      <c r="A243" s="29">
        <f>CONCATENATE("NAME_MOVE_", SUBSTITUTE(SUBSTITUTE(UPPER(B243), " ", ""), "-", ""))</f>
        <v/>
      </c>
      <c r="B243" s="29" t="inlineStr">
        <is>
          <t>Crunch</t>
        </is>
      </c>
      <c r="C243" s="29" t="inlineStr">
        <is>
          <t>かみくだく</t>
        </is>
      </c>
      <c r="D243" s="29" t="inlineStr">
        <is>
          <t>Mâchouille</t>
        </is>
      </c>
      <c r="E243" s="29" t="inlineStr">
        <is>
          <t>Knirscher</t>
        </is>
      </c>
      <c r="F243" s="29" t="inlineStr">
        <is>
          <t>Triturar</t>
        </is>
      </c>
      <c r="G243" s="29" t="inlineStr">
        <is>
          <t>Sgranocchio</t>
        </is>
      </c>
      <c r="H243" s="29" t="inlineStr">
        <is>
          <t>깨물어부수기</t>
        </is>
      </c>
      <c r="I243" s="29" t="inlineStr">
        <is>
          <t>咬碎</t>
        </is>
      </c>
      <c r="J243" s="29">
        <f>I243</f>
        <v/>
      </c>
      <c r="K243" s="29">
        <f>F243</f>
        <v/>
      </c>
    </row>
    <row r="244">
      <c r="A244" s="29">
        <f>CONCATENATE("NAME_MOVE_", SUBSTITUTE(SUBSTITUTE(UPPER(B244), " ", ""), "-", ""))</f>
        <v/>
      </c>
      <c r="B244" s="29" t="inlineStr">
        <is>
          <t>Mirror Coat</t>
        </is>
      </c>
      <c r="C244" s="29" t="inlineStr">
        <is>
          <t>ミラーコート</t>
        </is>
      </c>
      <c r="D244" s="29" t="inlineStr">
        <is>
          <t>Voile Mirroir</t>
        </is>
      </c>
      <c r="E244" s="29" t="inlineStr">
        <is>
          <t>Spiegelcape</t>
        </is>
      </c>
      <c r="F244" s="29" t="inlineStr">
        <is>
          <t>Manto Espejo</t>
        </is>
      </c>
      <c r="G244" s="29" t="inlineStr">
        <is>
          <t>Specchiovelo</t>
        </is>
      </c>
      <c r="H244" s="29" t="inlineStr">
        <is>
          <t>미러코트</t>
        </is>
      </c>
      <c r="I244" s="29" t="inlineStr">
        <is>
          <t>鏡面反射</t>
        </is>
      </c>
      <c r="J244" s="29">
        <f>IFERROR(__xludf.DUMMYFUNCTION("GOOGLETRANSLATE(I244,""zh_HANT"",""zh_HANS"")"),"镜面反射")</f>
        <v/>
      </c>
      <c r="K244" s="29">
        <f>F244</f>
        <v/>
      </c>
    </row>
    <row r="245">
      <c r="A245" s="29">
        <f>CONCATENATE("NAME_MOVE_", SUBSTITUTE(SUBSTITUTE(UPPER(B245), " ", ""), "-", ""))</f>
        <v/>
      </c>
      <c r="B245" s="29" t="inlineStr">
        <is>
          <t>Psych Up</t>
        </is>
      </c>
      <c r="C245" s="29" t="inlineStr">
        <is>
          <t>じこあんじ</t>
        </is>
      </c>
      <c r="D245" s="29" t="inlineStr">
        <is>
          <t>Boost</t>
        </is>
      </c>
      <c r="E245" s="29" t="inlineStr">
        <is>
          <t>Psycho-Plus</t>
        </is>
      </c>
      <c r="F245" s="29" t="inlineStr">
        <is>
          <t>Más Psique</t>
        </is>
      </c>
      <c r="G245" s="29" t="inlineStr">
        <is>
          <t>Psicamisù</t>
        </is>
      </c>
      <c r="H245" s="29" t="inlineStr">
        <is>
          <t>자기암시</t>
        </is>
      </c>
      <c r="I245" s="29" t="inlineStr">
        <is>
          <t>自我暗示</t>
        </is>
      </c>
      <c r="J245" s="29">
        <f>I245</f>
        <v/>
      </c>
      <c r="K245" s="29">
        <f>F245</f>
        <v/>
      </c>
    </row>
    <row r="246">
      <c r="A246" s="29">
        <f>CONCATENATE("NAME_MOVE_", SUBSTITUTE(SUBSTITUTE(UPPER(B246), " ", ""), "-", ""))</f>
        <v/>
      </c>
      <c r="B246" s="29" t="inlineStr">
        <is>
          <t>Extreme Speed</t>
        </is>
      </c>
      <c r="C246" s="29" t="inlineStr">
        <is>
          <t>しんそく</t>
        </is>
      </c>
      <c r="D246" s="29" t="inlineStr">
        <is>
          <t>Vitesse Extrême</t>
        </is>
      </c>
      <c r="E246" s="29" t="inlineStr">
        <is>
          <t>Turbotempo</t>
        </is>
      </c>
      <c r="F246" s="29" t="inlineStr">
        <is>
          <t>Vel. Extrema</t>
        </is>
      </c>
      <c r="G246" s="29" t="inlineStr">
        <is>
          <t>Extrarapido</t>
        </is>
      </c>
      <c r="H246" s="29" t="inlineStr">
        <is>
          <t>신속</t>
        </is>
      </c>
      <c r="I246" s="29" t="inlineStr">
        <is>
          <t>神速</t>
        </is>
      </c>
      <c r="J246" s="29">
        <f>I246</f>
        <v/>
      </c>
      <c r="K246" s="29">
        <f>F246</f>
        <v/>
      </c>
    </row>
    <row r="247">
      <c r="A247" s="29">
        <f>CONCATENATE("NAME_MOVE_", SUBSTITUTE(SUBSTITUTE(UPPER(B247), " ", ""), "-", ""))</f>
        <v/>
      </c>
      <c r="B247" s="29" t="inlineStr">
        <is>
          <t>Ancient Power</t>
        </is>
      </c>
      <c r="C247" s="29" t="inlineStr">
        <is>
          <t>げんしのちから</t>
        </is>
      </c>
      <c r="D247" s="29" t="inlineStr">
        <is>
          <t>Pouvoir Antique</t>
        </is>
      </c>
      <c r="E247" s="29" t="inlineStr">
        <is>
          <t>Antik-Kraft</t>
        </is>
      </c>
      <c r="F247" s="29" t="inlineStr">
        <is>
          <t>Poder Pasado</t>
        </is>
      </c>
      <c r="G247" s="29" t="inlineStr">
        <is>
          <t>Forzantica</t>
        </is>
      </c>
      <c r="H247" s="29" t="inlineStr">
        <is>
          <t>원시의힘</t>
        </is>
      </c>
      <c r="I247" s="29" t="inlineStr">
        <is>
          <t>原始之力</t>
        </is>
      </c>
      <c r="J247" s="29">
        <f>I247</f>
        <v/>
      </c>
      <c r="K247" s="29">
        <f>F247</f>
        <v/>
      </c>
    </row>
    <row r="248">
      <c r="A248" s="29">
        <f>CONCATENATE("NAME_MOVE_", SUBSTITUTE(SUBSTITUTE(UPPER(B248), " ", ""), "-", ""))</f>
        <v/>
      </c>
      <c r="B248" s="29" t="inlineStr">
        <is>
          <t>Shadow Ball</t>
        </is>
      </c>
      <c r="C248" s="29" t="inlineStr">
        <is>
          <t>シャドーボール</t>
        </is>
      </c>
      <c r="D248" s="29" t="inlineStr">
        <is>
          <t>Ball'Ombre</t>
        </is>
      </c>
      <c r="E248" s="29" t="inlineStr">
        <is>
          <t>Spukball</t>
        </is>
      </c>
      <c r="F248" s="29" t="inlineStr">
        <is>
          <t>Bola Sombra</t>
        </is>
      </c>
      <c r="G248" s="29" t="inlineStr">
        <is>
          <t>Palla Ombra</t>
        </is>
      </c>
      <c r="H248" s="29" t="inlineStr">
        <is>
          <t>섀도볼</t>
        </is>
      </c>
      <c r="I248" s="29" t="inlineStr">
        <is>
          <t>暗影球</t>
        </is>
      </c>
      <c r="J248" s="29">
        <f>I248</f>
        <v/>
      </c>
      <c r="K248" s="29">
        <f>F248</f>
        <v/>
      </c>
    </row>
    <row r="249">
      <c r="A249" s="29">
        <f>CONCATENATE("NAME_MOVE_", SUBSTITUTE(SUBSTITUTE(UPPER(B249), " ", ""), "-", ""))</f>
        <v/>
      </c>
      <c r="B249" s="29" t="inlineStr">
        <is>
          <t>Future Sight</t>
        </is>
      </c>
      <c r="C249" s="29" t="inlineStr">
        <is>
          <t>みらいよち</t>
        </is>
      </c>
      <c r="D249" s="29" t="inlineStr">
        <is>
          <t>Prescience</t>
        </is>
      </c>
      <c r="E249" s="29" t="inlineStr">
        <is>
          <t>Seher</t>
        </is>
      </c>
      <c r="F249" s="29" t="inlineStr">
        <is>
          <t>Premonición</t>
        </is>
      </c>
      <c r="G249" s="29" t="inlineStr">
        <is>
          <t>Divinazione</t>
        </is>
      </c>
      <c r="H249" s="29" t="inlineStr">
        <is>
          <t>미래예지</t>
        </is>
      </c>
      <c r="I249" s="29" t="inlineStr">
        <is>
          <t>預知未來</t>
        </is>
      </c>
      <c r="J249" s="29">
        <f>IFERROR(__xludf.DUMMYFUNCTION("GOOGLETRANSLATE(I249,""zh_HANT"",""zh_HANS"")"),"预知未来")</f>
        <v/>
      </c>
      <c r="K249" s="29">
        <f>F249</f>
        <v/>
      </c>
    </row>
    <row r="250">
      <c r="A250" s="29">
        <f>CONCATENATE("NAME_MOVE_", SUBSTITUTE(SUBSTITUTE(UPPER(B250), " ", ""), "-", ""))</f>
        <v/>
      </c>
      <c r="B250" s="29" t="inlineStr">
        <is>
          <t>Rock Smash</t>
        </is>
      </c>
      <c r="C250" s="29" t="inlineStr">
        <is>
          <t>いわくだき</t>
        </is>
      </c>
      <c r="D250" s="29" t="inlineStr">
        <is>
          <t>Éclate-Roc</t>
        </is>
      </c>
      <c r="E250" s="29" t="inlineStr">
        <is>
          <t>Zertrümmerer</t>
        </is>
      </c>
      <c r="F250" s="29" t="inlineStr">
        <is>
          <t>Golpe Roca</t>
        </is>
      </c>
      <c r="G250" s="29" t="inlineStr">
        <is>
          <t>Spaccaroccia</t>
        </is>
      </c>
      <c r="H250" s="29" t="inlineStr">
        <is>
          <t>바위깨기</t>
        </is>
      </c>
      <c r="I250" s="29" t="inlineStr">
        <is>
          <t>碎岩</t>
        </is>
      </c>
      <c r="J250" s="29">
        <f>I250</f>
        <v/>
      </c>
      <c r="K250" s="29">
        <f>F250</f>
        <v/>
      </c>
    </row>
    <row r="251">
      <c r="A251" s="29">
        <f>CONCATENATE("NAME_MOVE_", SUBSTITUTE(SUBSTITUTE(UPPER(B251), " ", ""), "-", ""))</f>
        <v/>
      </c>
      <c r="B251" s="29" t="inlineStr">
        <is>
          <t>Whirlpool</t>
        </is>
      </c>
      <c r="C251" s="29" t="inlineStr">
        <is>
          <t>うずしお</t>
        </is>
      </c>
      <c r="D251" s="29" t="inlineStr">
        <is>
          <t>Siphon</t>
        </is>
      </c>
      <c r="E251" s="29">
        <f>B251</f>
        <v/>
      </c>
      <c r="F251" s="29" t="inlineStr">
        <is>
          <t>Torbellino</t>
        </is>
      </c>
      <c r="G251" s="29" t="inlineStr">
        <is>
          <t>Mulinello</t>
        </is>
      </c>
      <c r="H251" s="29" t="inlineStr">
        <is>
          <t>바다회오리</t>
        </is>
      </c>
      <c r="I251" s="29" t="inlineStr">
        <is>
          <t>潮旋</t>
        </is>
      </c>
      <c r="J251" s="29">
        <f>I251</f>
        <v/>
      </c>
      <c r="K251" s="29">
        <f>F251</f>
        <v/>
      </c>
    </row>
    <row r="252">
      <c r="A252" s="29">
        <f>CONCATENATE("NAME_MOVE_", SUBSTITUTE(SUBSTITUTE(UPPER(B252), " ", ""), "-", ""))</f>
        <v/>
      </c>
      <c r="B252" s="29" t="inlineStr">
        <is>
          <t>Beat Up</t>
        </is>
      </c>
      <c r="C252" s="29" t="inlineStr">
        <is>
          <t>ふくろだたき</t>
        </is>
      </c>
      <c r="D252" s="29" t="inlineStr">
        <is>
          <t>Baston</t>
        </is>
      </c>
      <c r="E252" s="29" t="inlineStr">
        <is>
          <t>Prügler</t>
        </is>
      </c>
      <c r="F252" s="29" t="inlineStr">
        <is>
          <t>Paliza</t>
        </is>
      </c>
      <c r="G252" s="29" t="inlineStr">
        <is>
          <t>Picchiaduro</t>
        </is>
      </c>
      <c r="H252" s="29" t="inlineStr">
        <is>
          <t>집단구타</t>
        </is>
      </c>
      <c r="I252" s="29" t="inlineStr">
        <is>
          <t>圍攻</t>
        </is>
      </c>
      <c r="J252" s="29">
        <f>IFERROR(__xludf.DUMMYFUNCTION("GOOGLETRANSLATE(I252,""zh_HANT"",""zh_HANS"")"),"围攻")</f>
        <v/>
      </c>
      <c r="K252" s="29">
        <f>F252</f>
        <v/>
      </c>
    </row>
    <row r="253">
      <c r="A253" s="29">
        <f>CONCATENATE("NAME_MOVE_", SUBSTITUTE(SUBSTITUTE(UPPER(B253), " ", ""), "-", ""))</f>
        <v/>
      </c>
      <c r="B253" s="29" t="inlineStr">
        <is>
          <t>Fake Out</t>
        </is>
      </c>
      <c r="C253" s="29" t="inlineStr">
        <is>
          <t>ねこだまし</t>
        </is>
      </c>
      <c r="D253" s="29" t="inlineStr">
        <is>
          <t>Bluff</t>
        </is>
      </c>
      <c r="E253" s="29" t="inlineStr">
        <is>
          <t>Mogelhieb</t>
        </is>
      </c>
      <c r="F253" s="29" t="inlineStr">
        <is>
          <t>Sorpresa</t>
        </is>
      </c>
      <c r="G253" s="29" t="inlineStr">
        <is>
          <t>Bruciapelo</t>
        </is>
      </c>
      <c r="H253" s="29" t="inlineStr">
        <is>
          <t>속이다</t>
        </is>
      </c>
      <c r="I253" s="29" t="inlineStr">
        <is>
          <t>擊掌奇襲</t>
        </is>
      </c>
      <c r="J253" s="29">
        <f>IFERROR(__xludf.DUMMYFUNCTION("GOOGLETRANSLATE(I253,""zh_HANT"",""zh_HANS"")"),"击掌奇袭")</f>
        <v/>
      </c>
      <c r="K253" s="29">
        <f>F253</f>
        <v/>
      </c>
    </row>
    <row r="254">
      <c r="A254" s="29">
        <f>CONCATENATE("NAME_MOVE_", SUBSTITUTE(SUBSTITUTE(UPPER(B254), " ", ""), "-", ""))</f>
        <v/>
      </c>
      <c r="B254" s="29" t="inlineStr">
        <is>
          <t>Uproar</t>
        </is>
      </c>
      <c r="C254" s="29" t="inlineStr">
        <is>
          <t>さわぐ</t>
        </is>
      </c>
      <c r="D254" s="29" t="inlineStr">
        <is>
          <t>Brouhaha</t>
        </is>
      </c>
      <c r="E254" s="29" t="inlineStr">
        <is>
          <t>Aufruhr</t>
        </is>
      </c>
      <c r="F254" s="29" t="inlineStr">
        <is>
          <t>Alboroto</t>
        </is>
      </c>
      <c r="G254" s="29" t="inlineStr">
        <is>
          <t>Baraonda</t>
        </is>
      </c>
      <c r="H254" s="29" t="inlineStr">
        <is>
          <t>소란피기</t>
        </is>
      </c>
      <c r="I254" s="29" t="inlineStr">
        <is>
          <t>吵鬧</t>
        </is>
      </c>
      <c r="J254" s="29">
        <f>IFERROR(__xludf.DUMMYFUNCTION("GOOGLETRANSLATE(I254,""zh_HANT"",""zh_HANS"")"),"吵闹")</f>
        <v/>
      </c>
      <c r="K254" s="29">
        <f>F254</f>
        <v/>
      </c>
    </row>
    <row r="255">
      <c r="A255" s="29">
        <f>CONCATENATE("NAME_MOVE_", SUBSTITUTE(SUBSTITUTE(UPPER(B255), " ", ""), "-", ""))</f>
        <v/>
      </c>
      <c r="B255" s="29" t="inlineStr">
        <is>
          <t>Stockpile</t>
        </is>
      </c>
      <c r="C255" s="29" t="inlineStr">
        <is>
          <t>たくわえる</t>
        </is>
      </c>
      <c r="D255" s="29" t="inlineStr">
        <is>
          <t>Stockage</t>
        </is>
      </c>
      <c r="E255" s="29" t="inlineStr">
        <is>
          <t>Horter</t>
        </is>
      </c>
      <c r="F255" s="29" t="inlineStr">
        <is>
          <t>Reserva</t>
        </is>
      </c>
      <c r="G255" s="29" t="inlineStr">
        <is>
          <t>Accumulo</t>
        </is>
      </c>
      <c r="H255" s="29" t="inlineStr">
        <is>
          <t>비축하기</t>
        </is>
      </c>
      <c r="I255" s="29" t="inlineStr">
        <is>
          <t>蓄力</t>
        </is>
      </c>
      <c r="J255" s="29">
        <f>I255</f>
        <v/>
      </c>
      <c r="K255" s="29">
        <f>F255</f>
        <v/>
      </c>
    </row>
    <row r="256">
      <c r="A256" s="29">
        <f>CONCATENATE("NAME_MOVE_", SUBSTITUTE(SUBSTITUTE(UPPER(B256), " ", ""), "-", ""))</f>
        <v/>
      </c>
      <c r="B256" s="29" t="inlineStr">
        <is>
          <t>Spit Up</t>
        </is>
      </c>
      <c r="C256" s="29" t="inlineStr">
        <is>
          <t>はきだす</t>
        </is>
      </c>
      <c r="D256" s="29" t="inlineStr">
        <is>
          <t>Relâche</t>
        </is>
      </c>
      <c r="E256" s="29" t="inlineStr">
        <is>
          <t>Entfessler</t>
        </is>
      </c>
      <c r="F256" s="29" t="inlineStr">
        <is>
          <t>Escupir</t>
        </is>
      </c>
      <c r="G256" s="29" t="inlineStr">
        <is>
          <t>Sfoghenergia</t>
        </is>
      </c>
      <c r="H256" s="29" t="inlineStr">
        <is>
          <t>토해내기</t>
        </is>
      </c>
      <c r="I256" s="29" t="inlineStr">
        <is>
          <t>噴出</t>
        </is>
      </c>
      <c r="J256" s="29">
        <f>IFERROR(__xludf.DUMMYFUNCTION("GOOGLETRANSLATE(I256,""zh_HANT"",""zh_HANS"")"),"喷出")</f>
        <v/>
      </c>
      <c r="K256" s="29">
        <f>F256</f>
        <v/>
      </c>
    </row>
    <row r="257">
      <c r="A257" s="29">
        <f>CONCATENATE("NAME_MOVE_", SUBSTITUTE(SUBSTITUTE(UPPER(B257), " ", ""), "-", ""))</f>
        <v/>
      </c>
      <c r="B257" s="29" t="inlineStr">
        <is>
          <t>Swallow</t>
        </is>
      </c>
      <c r="C257" s="29" t="inlineStr">
        <is>
          <t>のみこむ</t>
        </is>
      </c>
      <c r="D257" s="29" t="inlineStr">
        <is>
          <t>Avale</t>
        </is>
      </c>
      <c r="E257" s="29" t="inlineStr">
        <is>
          <t>Verzehrer</t>
        </is>
      </c>
      <c r="F257" s="29" t="inlineStr">
        <is>
          <t>Tragar</t>
        </is>
      </c>
      <c r="G257" s="29" t="inlineStr">
        <is>
          <t>Intoenergia</t>
        </is>
      </c>
      <c r="H257" s="29" t="inlineStr">
        <is>
          <t>꿀꺽</t>
        </is>
      </c>
      <c r="I257" s="29" t="inlineStr">
        <is>
          <t>吞下</t>
        </is>
      </c>
      <c r="J257" s="29">
        <f>I257</f>
        <v/>
      </c>
      <c r="K257" s="29">
        <f>F257</f>
        <v/>
      </c>
    </row>
    <row r="258">
      <c r="A258" s="29">
        <f>CONCATENATE("NAME_MOVE_", SUBSTITUTE(SUBSTITUTE(UPPER(B258), " ", ""), "-", ""))</f>
        <v/>
      </c>
      <c r="B258" s="29" t="inlineStr">
        <is>
          <t>Heat Wave</t>
        </is>
      </c>
      <c r="C258" s="9" t="inlineStr">
        <is>
          <t>ねっぷう</t>
        </is>
      </c>
      <c r="D258" s="29" t="inlineStr">
        <is>
          <t>Canicule</t>
        </is>
      </c>
      <c r="E258" s="29" t="inlineStr">
        <is>
          <t>Hitzewelle</t>
        </is>
      </c>
      <c r="F258" s="29" t="inlineStr">
        <is>
          <t>Onda Ígnea</t>
        </is>
      </c>
      <c r="G258" s="29" t="inlineStr">
        <is>
          <t>Ondacalda</t>
        </is>
      </c>
      <c r="H258" s="29" t="inlineStr">
        <is>
          <t>열풍</t>
        </is>
      </c>
      <c r="I258" s="29" t="inlineStr">
        <is>
          <t>熱風</t>
        </is>
      </c>
      <c r="J258" s="29">
        <f>IFERROR(__xludf.DUMMYFUNCTION("GOOGLETRANSLATE(I258,""zh_HANT"",""zh_HANS"")"),"热风")</f>
        <v/>
      </c>
      <c r="K258" s="29">
        <f>F258</f>
        <v/>
      </c>
    </row>
    <row r="259">
      <c r="A259" s="29">
        <f>CONCATENATE("NAME_MOVE_", SUBSTITUTE(SUBSTITUTE(UPPER(B259), " ", ""), "-", ""))</f>
        <v/>
      </c>
      <c r="B259" s="29" t="inlineStr">
        <is>
          <t>Hail</t>
        </is>
      </c>
      <c r="C259" s="29" t="inlineStr">
        <is>
          <t>あられ</t>
        </is>
      </c>
      <c r="D259" s="29" t="inlineStr">
        <is>
          <t>Grêle</t>
        </is>
      </c>
      <c r="E259" s="29" t="inlineStr">
        <is>
          <t>Hagelsturm</t>
        </is>
      </c>
      <c r="F259" s="29" t="inlineStr">
        <is>
          <t>Granizo</t>
        </is>
      </c>
      <c r="G259" s="29" t="inlineStr">
        <is>
          <t>Grandine</t>
        </is>
      </c>
      <c r="H259" s="29" t="inlineStr">
        <is>
          <t>싸라기눈</t>
        </is>
      </c>
      <c r="I259" s="29" t="inlineStr">
        <is>
          <t>冰雹</t>
        </is>
      </c>
      <c r="J259" s="29">
        <f>I259</f>
        <v/>
      </c>
      <c r="K259" s="29">
        <f>F259</f>
        <v/>
      </c>
    </row>
    <row r="260">
      <c r="A260" s="29">
        <f>CONCATENATE("NAME_MOVE_", SUBSTITUTE(SUBSTITUTE(UPPER(B260), " ", ""), "-", ""))</f>
        <v/>
      </c>
      <c r="B260" s="29" t="inlineStr">
        <is>
          <t>Torment</t>
        </is>
      </c>
      <c r="C260" s="29" t="inlineStr">
        <is>
          <t>いちゃもん</t>
        </is>
      </c>
      <c r="D260" s="29" t="inlineStr">
        <is>
          <t>Tourmente</t>
        </is>
      </c>
      <c r="E260" s="29" t="inlineStr">
        <is>
          <t>Folterknecht</t>
        </is>
      </c>
      <c r="F260" s="29" t="inlineStr">
        <is>
          <t>Tormento</t>
        </is>
      </c>
      <c r="G260" s="29" t="inlineStr">
        <is>
          <t>Attaccalite</t>
        </is>
      </c>
      <c r="H260" s="29" t="inlineStr">
        <is>
          <t>트집</t>
        </is>
      </c>
      <c r="I260" s="29" t="inlineStr">
        <is>
          <t>無理取鬧</t>
        </is>
      </c>
      <c r="J260" s="29">
        <f>IFERROR(__xludf.DUMMYFUNCTION("GOOGLETRANSLATE(I260,""zh_HANT"",""zh_HANS"")"),"无理取闹")</f>
        <v/>
      </c>
      <c r="K260" s="29">
        <f>F260</f>
        <v/>
      </c>
    </row>
    <row r="261">
      <c r="A261" s="29">
        <f>CONCATENATE("NAME_MOVE_", SUBSTITUTE(SUBSTITUTE(UPPER(B261), " ", ""), "-", ""))</f>
        <v/>
      </c>
      <c r="B261" s="29" t="inlineStr">
        <is>
          <t>Flatter</t>
        </is>
      </c>
      <c r="C261" s="29" t="inlineStr">
        <is>
          <t>おだてる</t>
        </is>
      </c>
      <c r="D261" s="29" t="inlineStr">
        <is>
          <t>Flatterie</t>
        </is>
      </c>
      <c r="E261" s="29" t="inlineStr">
        <is>
          <t>Schmeichler</t>
        </is>
      </c>
      <c r="F261" s="29" t="inlineStr">
        <is>
          <t>Camelo</t>
        </is>
      </c>
      <c r="G261" s="29" t="inlineStr">
        <is>
          <t>Adulazione</t>
        </is>
      </c>
      <c r="H261" s="29" t="inlineStr">
        <is>
          <t>부추기기</t>
        </is>
      </c>
      <c r="I261" s="29" t="inlineStr">
        <is>
          <t>吹捧</t>
        </is>
      </c>
      <c r="J261" s="29">
        <f>I261</f>
        <v/>
      </c>
      <c r="K261" s="29">
        <f>F261</f>
        <v/>
      </c>
    </row>
    <row r="262">
      <c r="A262" s="29">
        <f>CONCATENATE("NAME_MOVE_", SUBSTITUTE(SUBSTITUTE(UPPER(B262), " ", ""), "-", ""))</f>
        <v/>
      </c>
      <c r="B262" s="29" t="inlineStr">
        <is>
          <t>Will-O-Wisp</t>
        </is>
      </c>
      <c r="C262" s="29" t="inlineStr">
        <is>
          <t>おにび</t>
        </is>
      </c>
      <c r="D262" s="29" t="inlineStr">
        <is>
          <t>Feu Follet</t>
        </is>
      </c>
      <c r="E262" s="29" t="inlineStr">
        <is>
          <t>Irrlicht</t>
        </is>
      </c>
      <c r="F262" s="29" t="inlineStr">
        <is>
          <t>Fuego Fatuo</t>
        </is>
      </c>
      <c r="G262" s="29" t="inlineStr">
        <is>
          <t>Fuocofatuo</t>
        </is>
      </c>
      <c r="H262" s="29" t="inlineStr">
        <is>
          <t>도깨비불</t>
        </is>
      </c>
      <c r="I262" s="29" t="inlineStr">
        <is>
          <t>鬼火</t>
        </is>
      </c>
      <c r="J262" s="29" t="inlineStr">
        <is>
          <t>磷火</t>
        </is>
      </c>
      <c r="K262" s="29">
        <f>F262</f>
        <v/>
      </c>
    </row>
    <row r="263">
      <c r="A263" s="29">
        <f>CONCATENATE("NAME_MOVE_", SUBSTITUTE(SUBSTITUTE(UPPER(B263), " ", ""), "-", ""))</f>
        <v/>
      </c>
      <c r="B263" s="29" t="inlineStr">
        <is>
          <t>Memento</t>
        </is>
      </c>
      <c r="C263" s="29" t="inlineStr">
        <is>
          <t>おきみやげ</t>
        </is>
      </c>
      <c r="D263" s="29" t="inlineStr">
        <is>
          <t>Souvenir</t>
        </is>
      </c>
      <c r="E263" s="29">
        <f>CONCATENATE(B263,"-Mori")</f>
        <v/>
      </c>
      <c r="F263" s="29" t="inlineStr">
        <is>
          <t>Legado</t>
        </is>
      </c>
      <c r="G263" s="29">
        <f>B263</f>
        <v/>
      </c>
      <c r="H263" s="29" t="inlineStr">
        <is>
          <t>추억의선물</t>
        </is>
      </c>
      <c r="I263" s="29" t="inlineStr">
        <is>
          <t>臨別禮物</t>
        </is>
      </c>
      <c r="J263" s="29">
        <f>IFERROR(__xludf.DUMMYFUNCTION("GOOGLETRANSLATE(I263,""zh_HANT"",""zh_HANS"")"),"临别礼物")</f>
        <v/>
      </c>
      <c r="K263" s="29">
        <f>F263</f>
        <v/>
      </c>
    </row>
    <row r="264">
      <c r="A264" s="29">
        <f>CONCATENATE("NAME_MOVE_", SUBSTITUTE(SUBSTITUTE(UPPER(B264), " ", ""), "-", ""))</f>
        <v/>
      </c>
      <c r="B264" s="29" t="inlineStr">
        <is>
          <t>Facade</t>
        </is>
      </c>
      <c r="C264" s="29" t="inlineStr">
        <is>
          <t>からげんき</t>
        </is>
      </c>
      <c r="D264" s="29" t="inlineStr">
        <is>
          <t>Façade</t>
        </is>
      </c>
      <c r="E264" s="29" t="inlineStr">
        <is>
          <t>Fassade</t>
        </is>
      </c>
      <c r="F264" s="29" t="inlineStr">
        <is>
          <t>Imagen</t>
        </is>
      </c>
      <c r="G264" s="29" t="inlineStr">
        <is>
          <t>Facciata</t>
        </is>
      </c>
      <c r="H264" s="29" t="inlineStr">
        <is>
          <t>객기</t>
        </is>
      </c>
      <c r="I264" s="29" t="inlineStr">
        <is>
          <t>硬撐</t>
        </is>
      </c>
      <c r="J264" s="29">
        <f>IFERROR(__xludf.DUMMYFUNCTION("GOOGLETRANSLATE(I264,""zh_HANT"",""zh_HANS"")"),"硬撑")</f>
        <v/>
      </c>
      <c r="K264" s="29">
        <f>F264</f>
        <v/>
      </c>
    </row>
    <row r="265">
      <c r="A265" s="29">
        <f>CONCATENATE("NAME_MOVE_", SUBSTITUTE(SUBSTITUTE(UPPER(B265), " ", ""), "-", ""))</f>
        <v/>
      </c>
      <c r="B265" s="29" t="inlineStr">
        <is>
          <t>Focus Punch</t>
        </is>
      </c>
      <c r="C265" s="29" t="inlineStr">
        <is>
          <t>きあいパンチ</t>
        </is>
      </c>
      <c r="D265" s="29" t="inlineStr">
        <is>
          <t>Mitra-Poing</t>
        </is>
      </c>
      <c r="E265" s="29" t="inlineStr">
        <is>
          <t>Power-Punch</t>
        </is>
      </c>
      <c r="F265" s="29" t="inlineStr">
        <is>
          <t>Puño Certero</t>
        </is>
      </c>
      <c r="G265" s="29" t="inlineStr">
        <is>
          <t>Centripugno</t>
        </is>
      </c>
      <c r="H265" s="29" t="inlineStr">
        <is>
          <t>힘껏펀치</t>
        </is>
      </c>
      <c r="I265" s="29" t="inlineStr">
        <is>
          <t>真氣拳</t>
        </is>
      </c>
      <c r="J265" s="29">
        <f>IFERROR(__xludf.DUMMYFUNCTION("GOOGLETRANSLATE(I265,""zh_HANT"",""zh_HANS"")"),"真气拳")</f>
        <v/>
      </c>
      <c r="K265" s="29">
        <f>F265</f>
        <v/>
      </c>
    </row>
    <row r="266">
      <c r="A266" s="29">
        <f>CONCATENATE("NAME_MOVE_", SUBSTITUTE(SUBSTITUTE(UPPER(B266), " ", ""), "-", ""))</f>
        <v/>
      </c>
      <c r="B266" s="29" t="inlineStr">
        <is>
          <t>Smelling Salts</t>
        </is>
      </c>
      <c r="C266" s="29" t="inlineStr">
        <is>
          <t>きつけ</t>
        </is>
      </c>
      <c r="D266" s="29" t="inlineStr">
        <is>
          <t>Stimulant</t>
        </is>
      </c>
      <c r="E266" s="29" t="inlineStr">
        <is>
          <t>Riechsalz</t>
        </is>
      </c>
      <c r="F266" s="29" t="inlineStr">
        <is>
          <t>Estímulo</t>
        </is>
      </c>
      <c r="G266" s="29" t="inlineStr">
        <is>
          <t>Maniereforti</t>
        </is>
      </c>
      <c r="H266" s="29" t="inlineStr">
        <is>
          <t>정신차리기</t>
        </is>
      </c>
      <c r="I266" s="29" t="inlineStr">
        <is>
          <t>清醒</t>
        </is>
      </c>
      <c r="J266" s="29">
        <f>I266</f>
        <v/>
      </c>
      <c r="K266" s="29">
        <f>F266</f>
        <v/>
      </c>
    </row>
    <row r="267">
      <c r="A267" s="29">
        <f>CONCATENATE("NAME_MOVE_", SUBSTITUTE(SUBSTITUTE(UPPER(B267), " ", ""), "-", ""))</f>
        <v/>
      </c>
      <c r="B267" s="29" t="inlineStr">
        <is>
          <t>Follow Me</t>
        </is>
      </c>
      <c r="C267" s="29" t="inlineStr">
        <is>
          <t>このゆびとまれ</t>
        </is>
      </c>
      <c r="D267" s="29" t="inlineStr">
        <is>
          <t>Par Ici</t>
        </is>
      </c>
      <c r="E267" s="29">
        <f>B654</f>
        <v/>
      </c>
      <c r="F267" s="29" t="inlineStr">
        <is>
          <t>Señuelo</t>
        </is>
      </c>
      <c r="G267" s="29" t="inlineStr">
        <is>
          <t>Sonoqui</t>
        </is>
      </c>
      <c r="H267" s="29" t="inlineStr">
        <is>
          <t>날따름</t>
        </is>
      </c>
      <c r="I267" s="29" t="inlineStr">
        <is>
          <t>看我嘛</t>
        </is>
      </c>
      <c r="J267" s="29">
        <f>I267</f>
        <v/>
      </c>
      <c r="K267" s="29">
        <f>F267</f>
        <v/>
      </c>
    </row>
    <row r="268">
      <c r="A268" s="29">
        <f>CONCATENATE("NAME_MOVE_", SUBSTITUTE(SUBSTITUTE(UPPER(B268), " ", ""), "-", ""))</f>
        <v/>
      </c>
      <c r="B268" s="29" t="inlineStr">
        <is>
          <t>Nature Power</t>
        </is>
      </c>
      <c r="C268" s="29" t="inlineStr">
        <is>
          <t>しぜんのちから</t>
        </is>
      </c>
      <c r="D268" s="29" t="inlineStr">
        <is>
          <t>Force Nature</t>
        </is>
      </c>
      <c r="E268" s="29" t="inlineStr">
        <is>
          <t>Natur-Kraft</t>
        </is>
      </c>
      <c r="F268" s="29" t="inlineStr">
        <is>
          <t>Adaptación</t>
        </is>
      </c>
      <c r="G268" s="29" t="inlineStr">
        <is>
          <t>Naturforza</t>
        </is>
      </c>
      <c r="H268" s="29" t="inlineStr">
        <is>
          <t>자연의힘</t>
        </is>
      </c>
      <c r="I268" s="29" t="inlineStr">
        <is>
          <t>自然之力</t>
        </is>
      </c>
      <c r="J268" s="29">
        <f>I268</f>
        <v/>
      </c>
      <c r="K268" s="29">
        <f>F268</f>
        <v/>
      </c>
    </row>
    <row r="269">
      <c r="A269" s="29">
        <f>CONCATENATE("NAME_MOVE_", SUBSTITUTE(SUBSTITUTE(UPPER(B269), " ", ""), "-", ""))</f>
        <v/>
      </c>
      <c r="B269" s="29" t="inlineStr">
        <is>
          <t>Charge</t>
        </is>
      </c>
      <c r="C269" s="29" t="inlineStr">
        <is>
          <t>じゅうでん</t>
        </is>
      </c>
      <c r="D269" s="29" t="inlineStr">
        <is>
          <t>Chargeur</t>
        </is>
      </c>
      <c r="E269" s="29" t="inlineStr">
        <is>
          <t>Ladevorgang</t>
        </is>
      </c>
      <c r="F269" s="29" t="inlineStr">
        <is>
          <t>Carga</t>
        </is>
      </c>
      <c r="G269" s="29" t="inlineStr">
        <is>
          <t>Sottocarica</t>
        </is>
      </c>
      <c r="H269" s="29" t="inlineStr">
        <is>
          <t>충전</t>
        </is>
      </c>
      <c r="I269" s="29" t="inlineStr">
        <is>
          <t>充電</t>
        </is>
      </c>
      <c r="J269" s="29">
        <f>IFERROR(__xludf.DUMMYFUNCTION("GOOGLETRANSLATE(I269,""zh_HANT"",""zh_HANS"")"),"充电")</f>
        <v/>
      </c>
      <c r="K269" s="29">
        <f>F269</f>
        <v/>
      </c>
    </row>
    <row r="270">
      <c r="A270" s="29">
        <f>CONCATENATE("NAME_MOVE_", SUBSTITUTE(SUBSTITUTE(UPPER(B270), " ", ""), "-", ""))</f>
        <v/>
      </c>
      <c r="B270" s="29" t="inlineStr">
        <is>
          <t>Taunt</t>
        </is>
      </c>
      <c r="C270" s="29" t="inlineStr">
        <is>
          <t>ちょうはつ</t>
        </is>
      </c>
      <c r="D270" s="29" t="inlineStr">
        <is>
          <t>Provoc</t>
        </is>
      </c>
      <c r="E270" s="29" t="inlineStr">
        <is>
          <t>Verhöhner</t>
        </is>
      </c>
      <c r="F270" s="29" t="inlineStr">
        <is>
          <t>Mofa</t>
        </is>
      </c>
      <c r="G270" s="29" t="inlineStr">
        <is>
          <t>Provocazione</t>
        </is>
      </c>
      <c r="H270" s="29" t="inlineStr">
        <is>
          <t>도발</t>
        </is>
      </c>
      <c r="I270" s="29" t="inlineStr">
        <is>
          <t>挑釁</t>
        </is>
      </c>
      <c r="J270" s="29">
        <f>IFERROR(__xludf.DUMMYFUNCTION("GOOGLETRANSLATE(I270,""zh_HANT"",""zh_HANS"")"),"挑衅")</f>
        <v/>
      </c>
      <c r="K270" s="29">
        <f>F270</f>
        <v/>
      </c>
    </row>
    <row r="271">
      <c r="A271" s="29">
        <f>CONCATENATE("NAME_MOVE_", SUBSTITUTE(SUBSTITUTE(UPPER(B271), " ", ""), "-", ""))</f>
        <v/>
      </c>
      <c r="B271" s="29" t="inlineStr">
        <is>
          <t>Helping Hand</t>
        </is>
      </c>
      <c r="C271" s="29" t="inlineStr">
        <is>
          <t>てだすけ</t>
        </is>
      </c>
      <c r="D271" s="29" t="inlineStr">
        <is>
          <t>Coup d'Main</t>
        </is>
      </c>
      <c r="E271" s="29" t="inlineStr">
        <is>
          <t>Rechte Hand</t>
        </is>
      </c>
      <c r="F271" s="29" t="inlineStr">
        <is>
          <t>Refuerzo</t>
        </is>
      </c>
      <c r="G271" s="29" t="inlineStr">
        <is>
          <t>Altruismo</t>
        </is>
      </c>
      <c r="H271" s="29" t="inlineStr">
        <is>
          <t>도우미</t>
        </is>
      </c>
      <c r="I271" s="29" t="inlineStr">
        <is>
          <t>幫助</t>
        </is>
      </c>
      <c r="J271" s="29">
        <f>IFERROR(__xludf.DUMMYFUNCTION("GOOGLETRANSLATE(I271,""zh_HANT"",""zh_HANS"")"),"帮助")</f>
        <v/>
      </c>
      <c r="K271" s="29">
        <f>F271</f>
        <v/>
      </c>
    </row>
    <row r="272">
      <c r="A272" s="29">
        <f>CONCATENATE("NAME_MOVE_", SUBSTITUTE(SUBSTITUTE(UPPER(B272), " ", ""), "-", ""))</f>
        <v/>
      </c>
      <c r="B272" s="29" t="inlineStr">
        <is>
          <t>Trick</t>
        </is>
      </c>
      <c r="C272" s="29" t="inlineStr">
        <is>
          <t>トリック</t>
        </is>
      </c>
      <c r="D272" s="29" t="inlineStr">
        <is>
          <t>Tourmagik</t>
        </is>
      </c>
      <c r="E272" s="29">
        <f>CONCATENATE(B272,"betrug")</f>
        <v/>
      </c>
      <c r="F272" s="29" t="inlineStr">
        <is>
          <t>Truco</t>
        </is>
      </c>
      <c r="G272" s="29" t="inlineStr">
        <is>
          <t>Raggiro</t>
        </is>
      </c>
      <c r="H272" s="29" t="inlineStr">
        <is>
          <t>트릭</t>
        </is>
      </c>
      <c r="I272" s="29" t="inlineStr">
        <is>
          <t>戲法</t>
        </is>
      </c>
      <c r="J272" s="29">
        <f>IFERROR(__xludf.DUMMYFUNCTION("GOOGLETRANSLATE(I272,""zh_HANT"",""zh_HANS"")"),"戏法")</f>
        <v/>
      </c>
      <c r="K272" s="29">
        <f>F272</f>
        <v/>
      </c>
    </row>
    <row r="273">
      <c r="A273" s="29">
        <f>CONCATENATE("NAME_MOVE_", SUBSTITUTE(SUBSTITUTE(UPPER(B273), " ", ""), "-", ""))</f>
        <v/>
      </c>
      <c r="B273" s="29" t="inlineStr">
        <is>
          <t>Role Play</t>
        </is>
      </c>
      <c r="C273" s="29" t="inlineStr">
        <is>
          <t>なりきり</t>
        </is>
      </c>
      <c r="D273" s="29" t="inlineStr">
        <is>
          <t>Imitation</t>
        </is>
      </c>
      <c r="E273" s="29" t="inlineStr">
        <is>
          <t>Rollenspiel</t>
        </is>
      </c>
      <c r="F273" s="29" t="inlineStr">
        <is>
          <t>Imitación</t>
        </is>
      </c>
      <c r="G273" s="29" t="inlineStr">
        <is>
          <t>Giocodiruolo</t>
        </is>
      </c>
      <c r="H273" s="29" t="inlineStr">
        <is>
          <t>역할</t>
        </is>
      </c>
      <c r="I273" s="29" t="inlineStr">
        <is>
          <t>扮演</t>
        </is>
      </c>
      <c r="J273" s="29">
        <f>I273</f>
        <v/>
      </c>
      <c r="K273" s="29">
        <f>F273</f>
        <v/>
      </c>
    </row>
    <row r="274">
      <c r="A274" s="29">
        <f>CONCATENATE("NAME_MOVE_", SUBSTITUTE(SUBSTITUTE(UPPER(B274), " ", ""), "-", ""))</f>
        <v/>
      </c>
      <c r="B274" s="29" t="inlineStr">
        <is>
          <t>Wish</t>
        </is>
      </c>
      <c r="C274" s="29" t="inlineStr">
        <is>
          <t>ねがいごと</t>
        </is>
      </c>
      <c r="D274" s="29" t="inlineStr">
        <is>
          <t>Vœu</t>
        </is>
      </c>
      <c r="E274" s="29" t="inlineStr">
        <is>
          <t>Wunschtraum</t>
        </is>
      </c>
      <c r="F274" s="29" t="inlineStr">
        <is>
          <t>Deseo</t>
        </is>
      </c>
      <c r="G274" s="29" t="inlineStr">
        <is>
          <t>Desiderio</t>
        </is>
      </c>
      <c r="H274" s="29" t="inlineStr">
        <is>
          <t>희망사항</t>
        </is>
      </c>
      <c r="I274" s="29" t="inlineStr">
        <is>
          <t>祈願</t>
        </is>
      </c>
      <c r="J274" s="29">
        <f>IFERROR(__xludf.DUMMYFUNCTION("GOOGLETRANSLATE(I274,""zh_HANT"",""zh_HANS"")"),"祈愿")</f>
        <v/>
      </c>
      <c r="K274" s="29">
        <f>F274</f>
        <v/>
      </c>
    </row>
    <row r="275">
      <c r="A275" s="29">
        <f>CONCATENATE("NAME_MOVE_", SUBSTITUTE(SUBSTITUTE(UPPER(B275), " ", ""), "-", ""))</f>
        <v/>
      </c>
      <c r="B275" s="29" t="inlineStr">
        <is>
          <t>Assist</t>
        </is>
      </c>
      <c r="C275" s="29" t="inlineStr">
        <is>
          <t>ねこのて</t>
        </is>
      </c>
      <c r="D275" s="29" t="inlineStr">
        <is>
          <t>Assistance</t>
        </is>
      </c>
      <c r="E275" s="29" t="inlineStr">
        <is>
          <t>Zuschuss</t>
        </is>
      </c>
      <c r="F275" s="29" t="inlineStr">
        <is>
          <t>Ayuda</t>
        </is>
      </c>
      <c r="G275" s="29">
        <f>CONCATENATE(B275,"ente")</f>
        <v/>
      </c>
      <c r="H275" s="29" t="inlineStr">
        <is>
          <t>조수</t>
        </is>
      </c>
      <c r="I275" s="29" t="inlineStr">
        <is>
          <t>借助</t>
        </is>
      </c>
      <c r="J275" s="29">
        <f>I275</f>
        <v/>
      </c>
      <c r="K275" s="29">
        <f>F275</f>
        <v/>
      </c>
    </row>
    <row r="276">
      <c r="A276" s="29">
        <f>CONCATENATE("NAME_MOVE_", SUBSTITUTE(SUBSTITUTE(UPPER(B276), " ", ""), "-", ""))</f>
        <v/>
      </c>
      <c r="B276" s="29" t="inlineStr">
        <is>
          <t>Ingrain</t>
        </is>
      </c>
      <c r="C276" s="29" t="inlineStr">
        <is>
          <t>ねをはる</t>
        </is>
      </c>
      <c r="D276" s="29" t="inlineStr">
        <is>
          <t>Racines</t>
        </is>
      </c>
      <c r="E276" s="29" t="inlineStr">
        <is>
          <t>Verwurzler</t>
        </is>
      </c>
      <c r="F276" s="29" t="inlineStr">
        <is>
          <t>Arraigo</t>
        </is>
      </c>
      <c r="G276" s="29" t="inlineStr">
        <is>
          <t>Radicamento</t>
        </is>
      </c>
      <c r="H276" s="29" t="inlineStr">
        <is>
          <t>뿌리박기</t>
        </is>
      </c>
      <c r="I276" s="29" t="inlineStr">
        <is>
          <t>扎根</t>
        </is>
      </c>
      <c r="J276" s="29">
        <f>I276</f>
        <v/>
      </c>
      <c r="K276" s="29">
        <f>F276</f>
        <v/>
      </c>
    </row>
    <row r="277">
      <c r="A277" s="29">
        <f>CONCATENATE("NAME_MOVE_", SUBSTITUTE(SUBSTITUTE(UPPER(B277), " ", ""), "-", ""))</f>
        <v/>
      </c>
      <c r="B277" s="29" t="inlineStr">
        <is>
          <t>Superpower</t>
        </is>
      </c>
      <c r="C277" s="29" t="inlineStr">
        <is>
          <t>ばかじから</t>
        </is>
      </c>
      <c r="D277" s="29" t="inlineStr">
        <is>
          <t>Surpuissance</t>
        </is>
      </c>
      <c r="E277" s="29" t="inlineStr">
        <is>
          <t>Kraftkoloss</t>
        </is>
      </c>
      <c r="F277" s="29" t="inlineStr">
        <is>
          <t>Fuerza Bruta</t>
        </is>
      </c>
      <c r="G277" s="29" t="inlineStr">
        <is>
          <t>Troppoforte</t>
        </is>
      </c>
      <c r="H277" s="29" t="inlineStr">
        <is>
          <t>엄청난힘</t>
        </is>
      </c>
      <c r="I277" s="29" t="inlineStr">
        <is>
          <t>蠻力</t>
        </is>
      </c>
      <c r="J277" s="29">
        <f>IFERROR(__xludf.DUMMYFUNCTION("GOOGLETRANSLATE(I277,""zh_HANT"",""zh_HANS"")"),"蛮力")</f>
        <v/>
      </c>
      <c r="K277" s="29">
        <f>F277</f>
        <v/>
      </c>
    </row>
    <row r="278">
      <c r="A278" s="29">
        <f>CONCATENATE("NAME_MOVE_", SUBSTITUTE(SUBSTITUTE(UPPER(B278), " ", ""), "-", ""))</f>
        <v/>
      </c>
      <c r="B278" s="29" t="inlineStr">
        <is>
          <t>Magic Coat</t>
        </is>
      </c>
      <c r="C278" s="29" t="inlineStr">
        <is>
          <t>マジックコート</t>
        </is>
      </c>
      <c r="D278" s="29" t="inlineStr">
        <is>
          <t>Reflet Magik</t>
        </is>
      </c>
      <c r="E278" s="29" t="inlineStr">
        <is>
          <t>Magiemantel</t>
        </is>
      </c>
      <c r="F278" s="29" t="inlineStr">
        <is>
          <t>Capa Mágica</t>
        </is>
      </c>
      <c r="G278" s="29" t="inlineStr">
        <is>
          <t>Magivelo</t>
        </is>
      </c>
      <c r="H278" s="29" t="inlineStr">
        <is>
          <t>매직코트</t>
        </is>
      </c>
      <c r="I278" s="29" t="inlineStr">
        <is>
          <t>魔法反射</t>
        </is>
      </c>
      <c r="J278" s="29">
        <f>I278</f>
        <v/>
      </c>
      <c r="K278" s="29">
        <f>F278</f>
        <v/>
      </c>
    </row>
    <row r="279">
      <c r="A279" s="29">
        <f>CONCATENATE("NAME_MOVE_", SUBSTITUTE(SUBSTITUTE(UPPER(B279), " ", ""), "-", ""))</f>
        <v/>
      </c>
      <c r="B279" s="29" t="inlineStr">
        <is>
          <t>Recycle</t>
        </is>
      </c>
      <c r="C279" s="29" t="inlineStr">
        <is>
          <t>リサイクル</t>
        </is>
      </c>
      <c r="D279" s="29" t="inlineStr">
        <is>
          <t>Recyclage</t>
        </is>
      </c>
      <c r="E279" s="29" t="inlineStr">
        <is>
          <t>Aufbereitung</t>
        </is>
      </c>
      <c r="F279" s="29" t="inlineStr">
        <is>
          <t>Reciclaje</t>
        </is>
      </c>
      <c r="G279" s="29" t="inlineStr">
        <is>
          <t>Riciclo</t>
        </is>
      </c>
      <c r="H279" s="29" t="inlineStr">
        <is>
          <t>리사이클</t>
        </is>
      </c>
      <c r="I279" s="29" t="inlineStr">
        <is>
          <t>回收利用</t>
        </is>
      </c>
      <c r="J279" s="29">
        <f>I279</f>
        <v/>
      </c>
      <c r="K279" s="29">
        <f>F279</f>
        <v/>
      </c>
    </row>
    <row r="280">
      <c r="A280" s="29">
        <f>CONCATENATE("NAME_MOVE_", SUBSTITUTE(SUBSTITUTE(UPPER(B280), " ", ""), "-", ""))</f>
        <v/>
      </c>
      <c r="B280" s="29" t="inlineStr">
        <is>
          <t>Revenge</t>
        </is>
      </c>
      <c r="C280" s="29" t="inlineStr">
        <is>
          <t>リリベンジ</t>
        </is>
      </c>
      <c r="D280" s="29" t="inlineStr">
        <is>
          <t>Vendetta</t>
        </is>
      </c>
      <c r="E280" s="29" t="inlineStr">
        <is>
          <t>Vergeltung</t>
        </is>
      </c>
      <c r="F280" s="29" t="inlineStr">
        <is>
          <t>Desquite</t>
        </is>
      </c>
      <c r="G280" s="29">
        <f>D280</f>
        <v/>
      </c>
      <c r="H280" s="29" t="inlineStr">
        <is>
          <t>리벤지</t>
        </is>
      </c>
      <c r="I280" s="29" t="inlineStr">
        <is>
          <t>報復</t>
        </is>
      </c>
      <c r="J280" s="29">
        <f>IFERROR(__xludf.DUMMYFUNCTION("GOOGLETRANSLATE(I280,""zh_HANT"",""zh_HANS"")"),"报复")</f>
        <v/>
      </c>
      <c r="K280" s="29">
        <f>F280</f>
        <v/>
      </c>
    </row>
    <row r="281">
      <c r="A281" s="29">
        <f>CONCATENATE("NAME_MOVE_", SUBSTITUTE(SUBSTITUTE(UPPER(B281), " ", ""), "-", ""))</f>
        <v/>
      </c>
      <c r="B281" s="29" t="inlineStr">
        <is>
          <t>Brick Break</t>
        </is>
      </c>
      <c r="C281" s="29" t="inlineStr">
        <is>
          <t>かわらわり</t>
        </is>
      </c>
      <c r="D281" s="29" t="inlineStr">
        <is>
          <t>Casse-Brique</t>
        </is>
      </c>
      <c r="E281" s="29" t="inlineStr">
        <is>
          <t>Durchbruch</t>
        </is>
      </c>
      <c r="F281" s="29" t="inlineStr">
        <is>
          <t>Demolición</t>
        </is>
      </c>
      <c r="G281" s="29" t="inlineStr">
        <is>
          <t>Breccia</t>
        </is>
      </c>
      <c r="H281" s="29" t="inlineStr">
        <is>
          <t>깨트리다</t>
        </is>
      </c>
      <c r="I281" s="29" t="inlineStr">
        <is>
          <t>劈瓦</t>
        </is>
      </c>
      <c r="J281" s="29">
        <f>I281</f>
        <v/>
      </c>
      <c r="K281" s="29">
        <f>F281</f>
        <v/>
      </c>
    </row>
    <row r="282">
      <c r="A282" s="29">
        <f>CONCATENATE("NAME_MOVE_", SUBSTITUTE(SUBSTITUTE(UPPER(B282), " ", ""), "-", ""))</f>
        <v/>
      </c>
      <c r="B282" s="29" t="inlineStr">
        <is>
          <t>Yawn</t>
        </is>
      </c>
      <c r="C282" s="29" t="inlineStr">
        <is>
          <t>あくび</t>
        </is>
      </c>
      <c r="D282" s="29" t="inlineStr">
        <is>
          <t>Bâillement</t>
        </is>
      </c>
      <c r="E282" s="29" t="inlineStr">
        <is>
          <t>Gähner</t>
        </is>
      </c>
      <c r="F282" s="29" t="inlineStr">
        <is>
          <t>Bostezo</t>
        </is>
      </c>
      <c r="G282" s="29" t="inlineStr">
        <is>
          <t>Sbadiglio</t>
        </is>
      </c>
      <c r="H282" s="29" t="inlineStr">
        <is>
          <t>하품</t>
        </is>
      </c>
      <c r="I282" s="29" t="inlineStr">
        <is>
          <t>哈欠</t>
        </is>
      </c>
      <c r="J282" s="29">
        <f>I282</f>
        <v/>
      </c>
      <c r="K282" s="29">
        <f>F282</f>
        <v/>
      </c>
    </row>
    <row r="283">
      <c r="A283" s="29">
        <f>CONCATENATE("NAME_MOVE_", SUBSTITUTE(SUBSTITUTE(UPPER(B283), " ", ""), "-", ""))</f>
        <v/>
      </c>
      <c r="B283" s="29" t="inlineStr">
        <is>
          <t>Knock Off</t>
        </is>
      </c>
      <c r="C283" s="29" t="inlineStr">
        <is>
          <t>はたきおとす</t>
        </is>
      </c>
      <c r="D283" s="29" t="inlineStr">
        <is>
          <t>Sabotage</t>
        </is>
      </c>
      <c r="E283" s="29" t="inlineStr">
        <is>
          <t>Abschlag</t>
        </is>
      </c>
      <c r="F283" s="29" t="inlineStr">
        <is>
          <t>Desarme</t>
        </is>
      </c>
      <c r="G283" s="29" t="inlineStr">
        <is>
          <t>Privazione</t>
        </is>
      </c>
      <c r="H283" s="29" t="inlineStr">
        <is>
          <t>탁쳐서떨구기</t>
        </is>
      </c>
      <c r="I283" s="29" t="inlineStr">
        <is>
          <t>拍落</t>
        </is>
      </c>
      <c r="J283" s="29">
        <f>I283</f>
        <v/>
      </c>
      <c r="K283" s="29">
        <f>F283</f>
        <v/>
      </c>
    </row>
    <row r="284">
      <c r="A284" s="29">
        <f>CONCATENATE("NAME_MOVE_", SUBSTITUTE(SUBSTITUTE(UPPER(B284), " ", ""), "-", ""))</f>
        <v/>
      </c>
      <c r="B284" s="29" t="inlineStr">
        <is>
          <t>Endeavor</t>
        </is>
      </c>
      <c r="C284" s="29" t="inlineStr">
        <is>
          <t>がむしゃら</t>
        </is>
      </c>
      <c r="D284" s="29" t="inlineStr">
        <is>
          <t>Effort</t>
        </is>
      </c>
      <c r="E284" s="29" t="inlineStr">
        <is>
          <t>Notsituation</t>
        </is>
      </c>
      <c r="F284" s="29" t="inlineStr">
        <is>
          <t>Esfuerzo</t>
        </is>
      </c>
      <c r="G284" s="29" t="inlineStr">
        <is>
          <t>Rimonta</t>
        </is>
      </c>
      <c r="H284" s="29" t="inlineStr">
        <is>
          <t>죽기살기</t>
        </is>
      </c>
      <c r="I284" s="29" t="inlineStr">
        <is>
          <t>蠻幹</t>
        </is>
      </c>
      <c r="J284" s="29">
        <f>IFERROR(__xludf.DUMMYFUNCTION("GOOGLETRANSLATE(I284,""zh_HANT"",""zh_HANS"")"),"蛮干")</f>
        <v/>
      </c>
      <c r="K284" s="29">
        <f>F284</f>
        <v/>
      </c>
    </row>
    <row r="285">
      <c r="A285" s="29">
        <f>CONCATENATE("NAME_MOVE_", SUBSTITUTE(SUBSTITUTE(UPPER(B285), " ", ""), "-", ""))</f>
        <v/>
      </c>
      <c r="B285" s="29" t="inlineStr">
        <is>
          <t>Eruption</t>
        </is>
      </c>
      <c r="C285" s="29" t="inlineStr">
        <is>
          <t>ふんか</t>
        </is>
      </c>
      <c r="D285" s="29" t="inlineStr">
        <is>
          <t>Éruption</t>
        </is>
      </c>
      <c r="E285" s="29">
        <f>B285</f>
        <v/>
      </c>
      <c r="F285" s="29" t="inlineStr">
        <is>
          <t>Estallido</t>
        </is>
      </c>
      <c r="G285" s="29" t="inlineStr">
        <is>
          <t>Eruzione</t>
        </is>
      </c>
      <c r="H285" s="29" t="inlineStr">
        <is>
          <t>분화</t>
        </is>
      </c>
      <c r="I285" s="29" t="inlineStr">
        <is>
          <t>噴火</t>
        </is>
      </c>
      <c r="J285" s="29">
        <f>IFERROR(__xludf.DUMMYFUNCTION("GOOGLETRANSLATE(I285,""zh_HANT"",""zh_HANS"")"),"喷火")</f>
        <v/>
      </c>
      <c r="K285" s="29">
        <f>F285</f>
        <v/>
      </c>
    </row>
    <row r="286">
      <c r="A286" s="29">
        <f>CONCATENATE("NAME_MOVE_", SUBSTITUTE(SUBSTITUTE(UPPER(B286), " ", ""), "-", ""))</f>
        <v/>
      </c>
      <c r="B286" s="29" t="inlineStr">
        <is>
          <t>Skill Swap</t>
        </is>
      </c>
      <c r="C286" s="29" t="inlineStr">
        <is>
          <t>スキルスワップ</t>
        </is>
      </c>
      <c r="D286" s="29" t="inlineStr">
        <is>
          <t>Échange</t>
        </is>
      </c>
      <c r="E286" s="29" t="inlineStr">
        <is>
          <t>Fähigkeitstausch</t>
        </is>
      </c>
      <c r="F286" s="29" t="inlineStr">
        <is>
          <t>Intercambio</t>
        </is>
      </c>
      <c r="G286" s="29" t="inlineStr">
        <is>
          <t>Baratto</t>
        </is>
      </c>
      <c r="H286" s="29" t="inlineStr">
        <is>
          <t>스킬스웹</t>
        </is>
      </c>
      <c r="I286" s="29" t="inlineStr">
        <is>
          <t>特性互換</t>
        </is>
      </c>
      <c r="J286" s="29">
        <f>IFERROR(__xludf.DUMMYFUNCTION("GOOGLETRANSLATE(I286,""zh_HANT"",""zh_HANS"")"),"特性互换")</f>
        <v/>
      </c>
      <c r="K286" s="29">
        <f>F286</f>
        <v/>
      </c>
    </row>
    <row r="287">
      <c r="A287" s="29">
        <f>CONCATENATE("NAME_MOVE_", SUBSTITUTE(SUBSTITUTE(UPPER(B287), " ", ""), "-", ""))</f>
        <v/>
      </c>
      <c r="B287" s="29" t="inlineStr">
        <is>
          <t>Imprison</t>
        </is>
      </c>
      <c r="C287" s="29" t="inlineStr">
        <is>
          <t>ふういん</t>
        </is>
      </c>
      <c r="D287" s="29" t="inlineStr">
        <is>
          <t>Possessif</t>
        </is>
      </c>
      <c r="E287" s="29" t="inlineStr">
        <is>
          <t>Begrenzer</t>
        </is>
      </c>
      <c r="F287" s="29" t="inlineStr">
        <is>
          <t>Sellar</t>
        </is>
      </c>
      <c r="G287" s="29" t="inlineStr">
        <is>
          <t>Esclusiva</t>
        </is>
      </c>
      <c r="H287" s="29" t="inlineStr">
        <is>
          <t>봉인</t>
        </is>
      </c>
      <c r="I287" s="29" t="inlineStr">
        <is>
          <t>封印</t>
        </is>
      </c>
      <c r="J287" s="29">
        <f>I287</f>
        <v/>
      </c>
      <c r="K287" s="29">
        <f>F287</f>
        <v/>
      </c>
    </row>
    <row r="288">
      <c r="A288" s="29">
        <f>CONCATENATE("NAME_MOVE_", SUBSTITUTE(SUBSTITUTE(UPPER(B288), " ", ""), "-", ""))</f>
        <v/>
      </c>
      <c r="B288" s="29" t="inlineStr">
        <is>
          <t>Refresh</t>
        </is>
      </c>
      <c r="C288" s="29" t="inlineStr">
        <is>
          <t>リフレッシュ</t>
        </is>
      </c>
      <c r="D288" s="29" t="inlineStr">
        <is>
          <t>Régénération</t>
        </is>
      </c>
      <c r="E288" s="29" t="inlineStr">
        <is>
          <t>Heilung</t>
        </is>
      </c>
      <c r="F288" s="29" t="inlineStr">
        <is>
          <t>Alivio</t>
        </is>
      </c>
      <c r="G288" s="29" t="inlineStr">
        <is>
          <t>Rinfrescata</t>
        </is>
      </c>
      <c r="H288" s="29" t="inlineStr">
        <is>
          <t>리프레쉬</t>
        </is>
      </c>
      <c r="I288" s="29" t="inlineStr">
        <is>
          <t>煥然一新</t>
        </is>
      </c>
      <c r="J288" s="29">
        <f>IFERROR(__xludf.DUMMYFUNCTION("GOOGLETRANSLATE(I288,""zh_HANT"",""zh_HANS"")"),"焕然一新")</f>
        <v/>
      </c>
      <c r="K288" s="29">
        <f>F288</f>
        <v/>
      </c>
    </row>
    <row r="289">
      <c r="A289" s="29">
        <f>CONCATENATE("NAME_MOVE_", SUBSTITUTE(SUBSTITUTE(UPPER(B289), " ", ""), "-", ""))</f>
        <v/>
      </c>
      <c r="B289" s="29" t="inlineStr">
        <is>
          <t>Grudge</t>
        </is>
      </c>
      <c r="C289" s="29" t="inlineStr">
        <is>
          <t>おんねん</t>
        </is>
      </c>
      <c r="D289" s="29" t="inlineStr">
        <is>
          <t>Rancune</t>
        </is>
      </c>
      <c r="E289" s="29" t="inlineStr">
        <is>
          <t>Nachspiel</t>
        </is>
      </c>
      <c r="F289" s="29" t="inlineStr">
        <is>
          <t>Rabia</t>
        </is>
      </c>
      <c r="G289" s="29" t="inlineStr">
        <is>
          <t>Rancore</t>
        </is>
      </c>
      <c r="H289" s="29" t="inlineStr">
        <is>
          <t>원념</t>
        </is>
      </c>
      <c r="I289" s="29" t="inlineStr">
        <is>
          <t>怨念</t>
        </is>
      </c>
      <c r="J289" s="29">
        <f>I289</f>
        <v/>
      </c>
      <c r="K289" s="29">
        <f>F289</f>
        <v/>
      </c>
    </row>
    <row r="290">
      <c r="A290" s="29">
        <f>CONCATENATE("NAME_MOVE_", SUBSTITUTE(SUBSTITUTE(UPPER(B290), " ", ""), "-", ""))</f>
        <v/>
      </c>
      <c r="B290" s="29" t="inlineStr">
        <is>
          <t>Snatch</t>
        </is>
      </c>
      <c r="C290" s="29" t="inlineStr">
        <is>
          <t>よこどり</t>
        </is>
      </c>
      <c r="D290" s="29" t="inlineStr">
        <is>
          <t>Saisie</t>
        </is>
      </c>
      <c r="E290" s="29" t="inlineStr">
        <is>
          <t>Übernahme</t>
        </is>
      </c>
      <c r="F290" s="29" t="inlineStr">
        <is>
          <t>Robo</t>
        </is>
      </c>
      <c r="G290" s="29" t="inlineStr">
        <is>
          <t>Scippo</t>
        </is>
      </c>
      <c r="H290" s="29" t="inlineStr">
        <is>
          <t>가로챔</t>
        </is>
      </c>
      <c r="I290" s="29" t="inlineStr">
        <is>
          <t>搶奪</t>
        </is>
      </c>
      <c r="J290" s="29" t="inlineStr">
        <is>
          <t>化为己用</t>
        </is>
      </c>
      <c r="K290" s="29">
        <f>F290</f>
        <v/>
      </c>
    </row>
    <row r="291">
      <c r="A291" s="29">
        <f>CONCATENATE("NAME_MOVE_", SUBSTITUTE(SUBSTITUTE(UPPER(B291), " ", ""), "-", ""))</f>
        <v/>
      </c>
      <c r="B291" s="29" t="inlineStr">
        <is>
          <t>Secret Power</t>
        </is>
      </c>
      <c r="C291" s="29" t="inlineStr">
        <is>
          <t>ひみつのちから</t>
        </is>
      </c>
      <c r="D291" s="29" t="inlineStr">
        <is>
          <t>Force Cachée</t>
        </is>
      </c>
      <c r="E291" s="29" t="inlineStr">
        <is>
          <t>Geheimpower</t>
        </is>
      </c>
      <c r="F291" s="29" t="inlineStr">
        <is>
          <t>Daño Secreto</t>
        </is>
      </c>
      <c r="G291" s="29" t="inlineStr">
        <is>
          <t>Forzasegreta</t>
        </is>
      </c>
      <c r="H291" s="29" t="inlineStr">
        <is>
          <t>비밀의힘</t>
        </is>
      </c>
      <c r="I291" s="29" t="inlineStr">
        <is>
          <t>秘密之力</t>
        </is>
      </c>
      <c r="J291" s="29">
        <f>I291</f>
        <v/>
      </c>
      <c r="K291" s="29">
        <f>F291</f>
        <v/>
      </c>
    </row>
    <row r="292">
      <c r="A292" s="29">
        <f>CONCATENATE("NAME_MOVE_", SUBSTITUTE(SUBSTITUTE(UPPER(B292), " ", ""), "-", ""))</f>
        <v/>
      </c>
      <c r="B292" s="29" t="inlineStr">
        <is>
          <t>Dive</t>
        </is>
      </c>
      <c r="C292" s="29" t="inlineStr">
        <is>
          <t>ダイビング</t>
        </is>
      </c>
      <c r="D292" s="29" t="inlineStr">
        <is>
          <t>Plongée</t>
        </is>
      </c>
      <c r="E292" s="29" t="inlineStr">
        <is>
          <t>Taucher</t>
        </is>
      </c>
      <c r="F292" s="29" t="inlineStr">
        <is>
          <t>Buceo</t>
        </is>
      </c>
      <c r="G292" s="29" t="inlineStr">
        <is>
          <t>Sub</t>
        </is>
      </c>
      <c r="H292" s="29" t="inlineStr">
        <is>
          <t>다이빙</t>
        </is>
      </c>
      <c r="I292" s="29" t="inlineStr">
        <is>
          <t>潛水</t>
        </is>
      </c>
      <c r="J292" s="29">
        <f>IFERROR(__xludf.DUMMYFUNCTION("GOOGLETRANSLATE(I292,""zh_HANT"",""zh_HANS"")"),"潜水")</f>
        <v/>
      </c>
      <c r="K292" s="29">
        <f>F292</f>
        <v/>
      </c>
    </row>
    <row r="293">
      <c r="A293" s="29">
        <f>CONCATENATE("NAME_MOVE_", SUBSTITUTE(SUBSTITUTE(UPPER(B293), " ", ""), "-", ""))</f>
        <v/>
      </c>
      <c r="B293" s="29" t="inlineStr">
        <is>
          <t>Arm Thrust</t>
        </is>
      </c>
      <c r="C293" s="29" t="inlineStr">
        <is>
          <t>つっぱり</t>
        </is>
      </c>
      <c r="D293" s="29" t="inlineStr">
        <is>
          <t>Cogne</t>
        </is>
      </c>
      <c r="E293" s="29" t="inlineStr">
        <is>
          <t>Armstoß</t>
        </is>
      </c>
      <c r="F293" s="29" t="inlineStr">
        <is>
          <t>Empujón</t>
        </is>
      </c>
      <c r="G293" s="29" t="inlineStr">
        <is>
          <t>Sberletese</t>
        </is>
      </c>
      <c r="H293" s="29" t="inlineStr">
        <is>
          <t>손바닥치기</t>
        </is>
      </c>
      <c r="I293" s="29" t="inlineStr">
        <is>
          <t>猛推</t>
        </is>
      </c>
      <c r="J293" s="29">
        <f>I293</f>
        <v/>
      </c>
      <c r="K293" s="29">
        <f>F293</f>
        <v/>
      </c>
    </row>
    <row r="294">
      <c r="A294" s="29">
        <f>CONCATENATE("NAME_MOVE_", SUBSTITUTE(SUBSTITUTE(UPPER(B294), " ", ""), "-", ""))</f>
        <v/>
      </c>
      <c r="B294" s="29" t="inlineStr">
        <is>
          <t>Camouflage</t>
        </is>
      </c>
      <c r="C294" s="29" t="inlineStr">
        <is>
          <t>ほごしょく</t>
        </is>
      </c>
      <c r="D294" s="29" t="inlineStr">
        <is>
          <t>Camouflage</t>
        </is>
      </c>
      <c r="E294" s="29" t="inlineStr">
        <is>
          <t>Tarnung</t>
        </is>
      </c>
      <c r="F294" s="29" t="inlineStr">
        <is>
          <t>Camuflaje</t>
        </is>
      </c>
      <c r="G294" s="29" t="inlineStr">
        <is>
          <t>Camuffamento</t>
        </is>
      </c>
      <c r="H294" s="29" t="inlineStr">
        <is>
          <t>보호색</t>
        </is>
      </c>
      <c r="I294" s="29" t="inlineStr">
        <is>
          <t>保護色</t>
        </is>
      </c>
      <c r="J294" s="29">
        <f>IFERROR(__xludf.DUMMYFUNCTION("GOOGLETRANSLATE(I294,""zh_HANT"",""zh_HANS"")"),"保护色")</f>
        <v/>
      </c>
      <c r="K294" s="29">
        <f>F294</f>
        <v/>
      </c>
    </row>
    <row r="295">
      <c r="A295" s="29">
        <f>CONCATENATE("NAME_MOVE_", SUBSTITUTE(SUBSTITUTE(UPPER(B295), " ", ""), "-", ""))</f>
        <v/>
      </c>
      <c r="B295" s="29" t="inlineStr">
        <is>
          <t>Tail Glow</t>
        </is>
      </c>
      <c r="C295" s="29" t="inlineStr">
        <is>
          <t>ほたるび</t>
        </is>
      </c>
      <c r="D295" s="29" t="inlineStr">
        <is>
          <t>Lumi-Queue</t>
        </is>
      </c>
      <c r="E295" s="29" t="inlineStr">
        <is>
          <t>Schweifglanz</t>
        </is>
      </c>
      <c r="F295" s="29" t="inlineStr">
        <is>
          <t>Ráfaga</t>
        </is>
      </c>
      <c r="G295" s="29" t="inlineStr">
        <is>
          <t>Codadiluce</t>
        </is>
      </c>
      <c r="H295" s="29" t="inlineStr">
        <is>
          <t>반딧불</t>
        </is>
      </c>
      <c r="I295" s="29" t="inlineStr">
        <is>
          <t>螢火</t>
        </is>
      </c>
      <c r="J295" s="29">
        <f>IFERROR(__xludf.DUMMYFUNCTION("GOOGLETRANSLATE(I295,""zh_HANT"",""zh_HANS"")"),"萤火")</f>
        <v/>
      </c>
      <c r="K295" s="29">
        <f>F295</f>
        <v/>
      </c>
    </row>
    <row r="296">
      <c r="A296" s="29">
        <f>CONCATENATE("NAME_MOVE_", SUBSTITUTE(SUBSTITUTE(UPPER(B296), " ", ""), "-", ""))</f>
        <v/>
      </c>
      <c r="B296" s="29" t="inlineStr">
        <is>
          <t>Luster Purge</t>
        </is>
      </c>
      <c r="C296" s="29" t="inlineStr">
        <is>
          <t>ラスターパージ</t>
        </is>
      </c>
      <c r="D296" s="29" t="inlineStr">
        <is>
          <t>Lumi-Éclat</t>
        </is>
      </c>
      <c r="E296" s="29" t="inlineStr">
        <is>
          <t>Scheinwerfer</t>
        </is>
      </c>
      <c r="F296" s="29" t="inlineStr">
        <is>
          <t>Resplandor</t>
        </is>
      </c>
      <c r="G296" s="29" t="inlineStr">
        <is>
          <t>Abbagliante</t>
        </is>
      </c>
      <c r="H296" s="29" t="inlineStr">
        <is>
          <t>라스트버지</t>
        </is>
      </c>
      <c r="I296" s="29" t="inlineStr">
        <is>
          <t>潔淨光芒</t>
        </is>
      </c>
      <c r="J296" s="29">
        <f>IFERROR(__xludf.DUMMYFUNCTION("GOOGLETRANSLATE(I296,""zh_HANT"",""zh_HANS"")"),"洁净光芒")</f>
        <v/>
      </c>
      <c r="K296" s="29">
        <f>F296</f>
        <v/>
      </c>
    </row>
    <row r="297">
      <c r="A297" s="29">
        <f>CONCATENATE("NAME_MOVE_", SUBSTITUTE(SUBSTITUTE(UPPER(B297), " ", ""), "-", ""))</f>
        <v/>
      </c>
      <c r="B297" s="29" t="inlineStr">
        <is>
          <t>Mist Ball</t>
        </is>
      </c>
      <c r="C297" s="29" t="inlineStr">
        <is>
          <t>ミストボール</t>
        </is>
      </c>
      <c r="D297" s="29" t="inlineStr">
        <is>
          <t>Ball'Brume</t>
        </is>
      </c>
      <c r="E297" s="29" t="inlineStr">
        <is>
          <t>Nebelball</t>
        </is>
      </c>
      <c r="F297" s="29" t="inlineStr">
        <is>
          <t>Bola Neblina</t>
        </is>
      </c>
      <c r="G297" s="29" t="inlineStr">
        <is>
          <t>Foschisfera</t>
        </is>
      </c>
      <c r="H297" s="29" t="inlineStr">
        <is>
          <t>미스트볼</t>
        </is>
      </c>
      <c r="I297" s="29" t="inlineStr">
        <is>
          <t>薄霧球</t>
        </is>
      </c>
      <c r="J297" s="29">
        <f>IFERROR(__xludf.DUMMYFUNCTION("GOOGLETRANSLATE(I297,""zh_HANT"",""zh_HANS"")"),"薄雾球")</f>
        <v/>
      </c>
      <c r="K297" s="29">
        <f>F297</f>
        <v/>
      </c>
    </row>
    <row r="298">
      <c r="A298" s="29">
        <f>CONCATENATE("NAME_MOVE_", SUBSTITUTE(SUBSTITUTE(UPPER(B298), " ", ""), "-", ""))</f>
        <v/>
      </c>
      <c r="B298" s="29" t="inlineStr">
        <is>
          <t>Feather Dance</t>
        </is>
      </c>
      <c r="C298" s="29" t="inlineStr">
        <is>
          <t>フェザーダンス</t>
        </is>
      </c>
      <c r="D298" s="29" t="inlineStr">
        <is>
          <t>Danse-Plumes</t>
        </is>
      </c>
      <c r="E298" s="29" t="inlineStr">
        <is>
          <t>Daunenreigen</t>
        </is>
      </c>
      <c r="F298" s="29" t="inlineStr">
        <is>
          <t>Danza Pluma</t>
        </is>
      </c>
      <c r="G298" s="29" t="inlineStr">
        <is>
          <t>Danzadipiume</t>
        </is>
      </c>
      <c r="H298" s="29" t="inlineStr">
        <is>
          <t>깃털댄스</t>
        </is>
      </c>
      <c r="I298" s="29" t="inlineStr">
        <is>
          <t>羽毛舞</t>
        </is>
      </c>
      <c r="J298" s="29">
        <f>I298</f>
        <v/>
      </c>
      <c r="K298" s="29">
        <f>F298</f>
        <v/>
      </c>
    </row>
    <row r="299">
      <c r="A299" s="29">
        <f>CONCATENATE("NAME_MOVE_", SUBSTITUTE(SUBSTITUTE(UPPER(B299), " ", ""), "-", ""))</f>
        <v/>
      </c>
      <c r="B299" s="29" t="inlineStr">
        <is>
          <t>Teeter Dance</t>
        </is>
      </c>
      <c r="C299" s="29" t="inlineStr">
        <is>
          <t>フラフラダンス</t>
        </is>
      </c>
      <c r="D299" s="29" t="inlineStr">
        <is>
          <t>Danse Folle</t>
        </is>
      </c>
      <c r="E299" s="29" t="inlineStr">
        <is>
          <t>Taumeltanz</t>
        </is>
      </c>
      <c r="F299" s="29" t="inlineStr">
        <is>
          <t>Danza Caos</t>
        </is>
      </c>
      <c r="G299" s="29" t="inlineStr">
        <is>
          <t>Strampadanza</t>
        </is>
      </c>
      <c r="H299" s="29" t="inlineStr">
        <is>
          <t>흔들흔들댄스</t>
        </is>
      </c>
      <c r="I299" s="29" t="inlineStr">
        <is>
          <t>搖晃舞</t>
        </is>
      </c>
      <c r="J299" s="29">
        <f>IFERROR(__xludf.DUMMYFUNCTION("GOOGLETRANSLATE(I299,""zh_HANT"",""zh_HANS"")"),"摇晃舞")</f>
        <v/>
      </c>
      <c r="K299" s="29">
        <f>F299</f>
        <v/>
      </c>
    </row>
    <row r="300">
      <c r="A300" s="29">
        <f>CONCATENATE("NAME_MOVE_", SUBSTITUTE(SUBSTITUTE(UPPER(B300), " ", ""), "-", ""))</f>
        <v/>
      </c>
      <c r="B300" s="29" t="inlineStr">
        <is>
          <t>Blaze Kick</t>
        </is>
      </c>
      <c r="C300" s="29" t="inlineStr">
        <is>
          <t>ブレイズキック</t>
        </is>
      </c>
      <c r="D300" s="29" t="inlineStr">
        <is>
          <t>Pied Brûleur</t>
        </is>
      </c>
      <c r="E300" s="29" t="inlineStr">
        <is>
          <t>Feuerfeger</t>
        </is>
      </c>
      <c r="F300" s="29" t="inlineStr">
        <is>
          <t>Patada Ígnea</t>
        </is>
      </c>
      <c r="G300" s="29" t="inlineStr">
        <is>
          <t>Calciardente</t>
        </is>
      </c>
      <c r="H300" s="29" t="inlineStr">
        <is>
          <t>브레이즈킥</t>
        </is>
      </c>
      <c r="I300" s="29" t="inlineStr">
        <is>
          <t>火焰踢</t>
        </is>
      </c>
      <c r="J300" s="29">
        <f>I300</f>
        <v/>
      </c>
      <c r="K300" s="29">
        <f>F300</f>
        <v/>
      </c>
    </row>
    <row r="301">
      <c r="A301" s="29">
        <f>CONCATENATE("NAME_MOVE_", SUBSTITUTE(SUBSTITUTE(UPPER(B301), " ", ""), "-", ""))</f>
        <v/>
      </c>
      <c r="B301" s="29" t="inlineStr">
        <is>
          <t>Mud Sport</t>
        </is>
      </c>
      <c r="C301" s="29" t="inlineStr">
        <is>
          <t>どろあそび</t>
        </is>
      </c>
      <c r="D301" s="29" t="inlineStr">
        <is>
          <t>Lance-Boue</t>
        </is>
      </c>
      <c r="E301" s="29" t="inlineStr">
        <is>
          <t>Lehmsuhler</t>
        </is>
      </c>
      <c r="F301" s="29" t="inlineStr">
        <is>
          <t>Chapoteo Lodo</t>
        </is>
      </c>
      <c r="G301" s="29" t="inlineStr">
        <is>
          <t>Fangata</t>
        </is>
      </c>
      <c r="H301" s="29" t="inlineStr">
        <is>
          <t>흙놀이</t>
        </is>
      </c>
      <c r="I301" s="29" t="inlineStr">
        <is>
          <t>玩泥巴</t>
        </is>
      </c>
      <c r="J301" s="29">
        <f>I301</f>
        <v/>
      </c>
      <c r="K301" s="29">
        <f>F301</f>
        <v/>
      </c>
    </row>
    <row r="302">
      <c r="A302" s="29">
        <f>CONCATENATE("NAME_MOVE_", SUBSTITUTE(SUBSTITUTE(UPPER(B302), " ", ""), "-", ""))</f>
        <v/>
      </c>
      <c r="B302" s="29" t="inlineStr">
        <is>
          <t>Ice Ball</t>
        </is>
      </c>
      <c r="C302" s="29" t="inlineStr">
        <is>
          <t>アイスボール</t>
        </is>
      </c>
      <c r="D302" s="29" t="inlineStr">
        <is>
          <t>Ball'Glace</t>
        </is>
      </c>
      <c r="E302" s="29" t="inlineStr">
        <is>
          <t>Frostbeule</t>
        </is>
      </c>
      <c r="F302" s="29" t="inlineStr">
        <is>
          <t>Bola Hielo</t>
        </is>
      </c>
      <c r="G302" s="29" t="inlineStr">
        <is>
          <t>Palla Gelo</t>
        </is>
      </c>
      <c r="H302" s="29" t="inlineStr">
        <is>
          <t>아이스볼</t>
        </is>
      </c>
      <c r="I302" s="29" t="inlineStr">
        <is>
          <t>冰球</t>
        </is>
      </c>
      <c r="J302" s="29">
        <f>I302</f>
        <v/>
      </c>
      <c r="K302" s="29">
        <f>F302</f>
        <v/>
      </c>
    </row>
    <row r="303">
      <c r="A303" s="29">
        <f>CONCATENATE("NAME_MOVE_", SUBSTITUTE(SUBSTITUTE(UPPER(B303), " ", ""), "-", ""))</f>
        <v/>
      </c>
      <c r="B303" s="29" t="inlineStr">
        <is>
          <t>Needle Arm</t>
        </is>
      </c>
      <c r="C303" s="29" t="inlineStr">
        <is>
          <t>ニードルアーム</t>
        </is>
      </c>
      <c r="D303" s="29" t="inlineStr">
        <is>
          <t>Poing Dard</t>
        </is>
      </c>
      <c r="E303" s="29" t="inlineStr">
        <is>
          <t>Nietenranke</t>
        </is>
      </c>
      <c r="F303" s="29" t="inlineStr">
        <is>
          <t>Brazo Pincho</t>
        </is>
      </c>
      <c r="G303" s="29" t="inlineStr">
        <is>
          <t>Pugnospine</t>
        </is>
      </c>
      <c r="H303" s="29" t="inlineStr">
        <is>
          <t>바늘팔</t>
        </is>
      </c>
      <c r="I303" s="29" t="inlineStr">
        <is>
          <t>尖刺臂</t>
        </is>
      </c>
      <c r="J303" s="29">
        <f>I303</f>
        <v/>
      </c>
      <c r="K303" s="29">
        <f>F303</f>
        <v/>
      </c>
    </row>
    <row r="304">
      <c r="A304" s="29">
        <f>CONCATENATE("NAME_MOVE_", SUBSTITUTE(SUBSTITUTE(UPPER(B304), " ", ""), "-", ""))</f>
        <v/>
      </c>
      <c r="B304" s="29" t="inlineStr">
        <is>
          <t>Slack Off</t>
        </is>
      </c>
      <c r="C304" s="29" t="inlineStr">
        <is>
          <t>なまける</t>
        </is>
      </c>
      <c r="D304" s="29" t="inlineStr">
        <is>
          <t>Paresse</t>
        </is>
      </c>
      <c r="E304" s="29" t="inlineStr">
        <is>
          <t>Tagedieb</t>
        </is>
      </c>
      <c r="F304" s="29" t="inlineStr">
        <is>
          <t>Relajo</t>
        </is>
      </c>
      <c r="G304" s="29" t="inlineStr">
        <is>
          <t>Pigro</t>
        </is>
      </c>
      <c r="H304" s="29" t="inlineStr">
        <is>
          <t>태만함</t>
        </is>
      </c>
      <c r="I304" s="29" t="inlineStr">
        <is>
          <t>偷懶</t>
        </is>
      </c>
      <c r="J304" s="29">
        <f>IFERROR(__xludf.DUMMYFUNCTION("GOOGLETRANSLATE(I304,""zh_HANT"",""zh_HANS"")"),"偷懒")</f>
        <v/>
      </c>
      <c r="K304" s="29">
        <f>F304</f>
        <v/>
      </c>
    </row>
    <row r="305">
      <c r="A305" s="29">
        <f>CONCATENATE("NAME_MOVE_", SUBSTITUTE(SUBSTITUTE(UPPER(B305), " ", ""), "-", ""))</f>
        <v/>
      </c>
      <c r="B305" s="29" t="inlineStr">
        <is>
          <t>Hyper Voice</t>
        </is>
      </c>
      <c r="C305" s="29" t="inlineStr">
        <is>
          <t>ハイパーボイス</t>
        </is>
      </c>
      <c r="D305" s="29" t="inlineStr">
        <is>
          <t>Mégaphone</t>
        </is>
      </c>
      <c r="E305" s="29" t="inlineStr">
        <is>
          <t>Schallwelle</t>
        </is>
      </c>
      <c r="F305" s="29" t="inlineStr">
        <is>
          <t>Vozarrón</t>
        </is>
      </c>
      <c r="G305" s="29" t="inlineStr">
        <is>
          <t>Granvoce</t>
        </is>
      </c>
      <c r="H305" s="29" t="inlineStr">
        <is>
          <t>하이퍼보이스</t>
        </is>
      </c>
      <c r="I305" s="29" t="inlineStr">
        <is>
          <t>巨聲</t>
        </is>
      </c>
      <c r="J305" s="29">
        <f>IFERROR(__xludf.DUMMYFUNCTION("GOOGLETRANSLATE(I305,""zh_HANT"",""zh_HANS"")"),"巨声")</f>
        <v/>
      </c>
      <c r="K305" s="29">
        <f>F305</f>
        <v/>
      </c>
    </row>
    <row r="306">
      <c r="A306" s="29">
        <f>CONCATENATE("NAME_MOVE_", SUBSTITUTE(SUBSTITUTE(UPPER(B306), " ", ""), "-", ""))</f>
        <v/>
      </c>
      <c r="B306" s="29" t="inlineStr">
        <is>
          <t>Poison Fang</t>
        </is>
      </c>
      <c r="C306" s="29" t="inlineStr">
        <is>
          <t>どくどくのキバ</t>
        </is>
      </c>
      <c r="D306" s="29" t="inlineStr">
        <is>
          <t>Crochet Venin</t>
        </is>
      </c>
      <c r="E306" s="29" t="inlineStr">
        <is>
          <t>Giftzahn</t>
        </is>
      </c>
      <c r="F306" s="29" t="inlineStr">
        <is>
          <t>Colmillo Ven</t>
        </is>
      </c>
      <c r="G306" s="29" t="inlineStr">
        <is>
          <t>Velenodenti</t>
        </is>
      </c>
      <c r="H306" s="29" t="inlineStr">
        <is>
          <t>독엄니</t>
        </is>
      </c>
      <c r="I306" s="29" t="inlineStr">
        <is>
          <t>劇毒牙</t>
        </is>
      </c>
      <c r="J306" s="29">
        <f>IFERROR(__xludf.DUMMYFUNCTION("GOOGLETRANSLATE(I306,""zh_HANT"",""zh_HANS"")"),"剧毒牙")</f>
        <v/>
      </c>
      <c r="K306" s="29">
        <f>F306</f>
        <v/>
      </c>
    </row>
    <row r="307">
      <c r="A307" s="29">
        <f>CONCATENATE("NAME_MOVE_", SUBSTITUTE(SUBSTITUTE(UPPER(B307), " ", ""), "-", ""))</f>
        <v/>
      </c>
      <c r="B307" s="29" t="inlineStr">
        <is>
          <t>Crush Claw</t>
        </is>
      </c>
      <c r="C307" s="29" t="inlineStr">
        <is>
          <t>ブレイククロー</t>
        </is>
      </c>
      <c r="D307" s="29" t="inlineStr">
        <is>
          <t>Éclate Griffe</t>
        </is>
      </c>
      <c r="E307" s="29" t="inlineStr">
        <is>
          <t>Zermalmklaue</t>
        </is>
      </c>
      <c r="F307" s="29" t="inlineStr">
        <is>
          <t>Garra Brutal</t>
        </is>
      </c>
      <c r="G307" s="29" t="inlineStr">
        <is>
          <t>Tritartigli</t>
        </is>
      </c>
      <c r="H307" s="29" t="inlineStr">
        <is>
          <t>브레이크크루</t>
        </is>
      </c>
      <c r="I307" s="29" t="inlineStr">
        <is>
          <t>撕裂爪</t>
        </is>
      </c>
      <c r="J307" s="29">
        <f>I307</f>
        <v/>
      </c>
      <c r="K307" s="29">
        <f>F307</f>
        <v/>
      </c>
    </row>
    <row r="308">
      <c r="A308" s="29">
        <f>CONCATENATE("NAME_MOVE_", SUBSTITUTE(SUBSTITUTE(UPPER(B308), " ", ""), "-", ""))</f>
        <v/>
      </c>
      <c r="B308" s="29" t="inlineStr">
        <is>
          <t>Blast Burn</t>
        </is>
      </c>
      <c r="C308" s="29" t="inlineStr">
        <is>
          <t>ブラストバーン</t>
        </is>
      </c>
      <c r="D308" s="29" t="inlineStr">
        <is>
          <t>Rafale Feu</t>
        </is>
      </c>
      <c r="E308" s="29" t="inlineStr">
        <is>
          <t>Lohekanonade</t>
        </is>
      </c>
      <c r="F308" s="29" t="inlineStr">
        <is>
          <t>Anillo Ígneo</t>
        </is>
      </c>
      <c r="G308" s="29" t="inlineStr">
        <is>
          <t>Incendio</t>
        </is>
      </c>
      <c r="H308" s="29" t="inlineStr">
        <is>
          <t>블러스트번</t>
        </is>
      </c>
      <c r="I308" s="29" t="inlineStr">
        <is>
          <t>爆炸烈焰</t>
        </is>
      </c>
      <c r="J308" s="29">
        <f>I308</f>
        <v/>
      </c>
      <c r="K308" s="29">
        <f>F308</f>
        <v/>
      </c>
    </row>
    <row r="309">
      <c r="A309" s="29">
        <f>CONCATENATE("NAME_MOVE_", SUBSTITUTE(SUBSTITUTE(UPPER(B309), " ", ""), "-", ""))</f>
        <v/>
      </c>
      <c r="B309" s="29" t="inlineStr">
        <is>
          <t>Hydro Cannon</t>
        </is>
      </c>
      <c r="C309" s="29" t="inlineStr">
        <is>
          <t>ハイドロカノン</t>
        </is>
      </c>
      <c r="D309" s="29" t="inlineStr">
        <is>
          <t>Hydroblast</t>
        </is>
      </c>
      <c r="E309" s="29" t="inlineStr">
        <is>
          <t>Aquahaubitze</t>
        </is>
      </c>
      <c r="F309" s="29" t="inlineStr">
        <is>
          <t>Hidrocañón</t>
        </is>
      </c>
      <c r="G309" s="29" t="inlineStr">
        <is>
          <t>Idrocannone</t>
        </is>
      </c>
      <c r="H309" s="29" t="inlineStr">
        <is>
          <t>하이드로캐논</t>
        </is>
      </c>
      <c r="I309" s="29" t="inlineStr">
        <is>
          <t>加農水炮</t>
        </is>
      </c>
      <c r="J309" s="29">
        <f>IFERROR(__xludf.DUMMYFUNCTION("GOOGLETRANSLATE(I309,""zh_HANT"",""zh_HANS"")"),"加农水炮")</f>
        <v/>
      </c>
      <c r="K309" s="29">
        <f>F309</f>
        <v/>
      </c>
    </row>
    <row r="310">
      <c r="A310" s="29">
        <f>CONCATENATE("NAME_MOVE_", SUBSTITUTE(SUBSTITUTE(UPPER(B310), " ", ""), "-", ""))</f>
        <v/>
      </c>
      <c r="B310" s="29" t="inlineStr">
        <is>
          <t>Meteor Mash</t>
        </is>
      </c>
      <c r="C310" s="29" t="inlineStr">
        <is>
          <t>コメットパンチ</t>
        </is>
      </c>
      <c r="D310" s="29" t="inlineStr">
        <is>
          <t>Poing Météore</t>
        </is>
      </c>
      <c r="E310" s="29" t="inlineStr">
        <is>
          <t>Sternenhieb</t>
        </is>
      </c>
      <c r="F310" s="29" t="inlineStr">
        <is>
          <t>Puño Meteoro</t>
        </is>
      </c>
      <c r="G310" s="29" t="inlineStr">
        <is>
          <t>Meteorpugno</t>
        </is>
      </c>
      <c r="H310" s="29" t="inlineStr">
        <is>
          <t>코멧펀치</t>
        </is>
      </c>
      <c r="I310" s="29" t="inlineStr">
        <is>
          <t>彗星拳</t>
        </is>
      </c>
      <c r="J310" s="29">
        <f>I310</f>
        <v/>
      </c>
      <c r="K310" s="29">
        <f>F310</f>
        <v/>
      </c>
    </row>
    <row r="311">
      <c r="A311" s="29">
        <f>CONCATENATE("NAME_MOVE_", SUBSTITUTE(SUBSTITUTE(UPPER(B311), " ", ""), "-", ""))</f>
        <v/>
      </c>
      <c r="B311" s="29" t="inlineStr">
        <is>
          <t>Astonish</t>
        </is>
      </c>
      <c r="C311" s="29" t="inlineStr">
        <is>
          <t>おどろかす</t>
        </is>
      </c>
      <c r="D311" s="29" t="inlineStr">
        <is>
          <t>Étonnement</t>
        </is>
      </c>
      <c r="E311" s="29" t="inlineStr">
        <is>
          <t>Erstauner</t>
        </is>
      </c>
      <c r="F311" s="29" t="inlineStr">
        <is>
          <t>Impresionar</t>
        </is>
      </c>
      <c r="G311" s="29" t="inlineStr">
        <is>
          <t>Sgomento</t>
        </is>
      </c>
      <c r="H311" s="29" t="inlineStr">
        <is>
          <t>놀래키기</t>
        </is>
      </c>
      <c r="I311" s="29" t="inlineStr">
        <is>
          <t>驚嚇</t>
        </is>
      </c>
      <c r="J311" s="29">
        <f>IFERROR(__xludf.DUMMYFUNCTION("GOOGLETRANSLATE(I311,""zh_HANT"",""zh_HANS"")"),"惊吓")</f>
        <v/>
      </c>
      <c r="K311" s="29">
        <f>F311</f>
        <v/>
      </c>
    </row>
    <row r="312">
      <c r="A312" s="29">
        <f>CONCATENATE("NAME_MOVE_", SUBSTITUTE(SUBSTITUTE(UPPER(B312), " ", ""), "-", ""))</f>
        <v/>
      </c>
      <c r="B312" s="29" t="inlineStr">
        <is>
          <t>Weather Ball</t>
        </is>
      </c>
      <c r="C312" s="29" t="inlineStr">
        <is>
          <t>ウェザーボール</t>
        </is>
      </c>
      <c r="D312" s="29" t="inlineStr">
        <is>
          <t>Ball'Météo</t>
        </is>
      </c>
      <c r="E312" s="29" t="inlineStr">
        <is>
          <t>Meteorologe</t>
        </is>
      </c>
      <c r="F312" s="29" t="inlineStr">
        <is>
          <t>Meteorobola</t>
        </is>
      </c>
      <c r="G312" s="29" t="inlineStr">
        <is>
          <t>Palla Clima</t>
        </is>
      </c>
      <c r="H312" s="29" t="inlineStr">
        <is>
          <t>웨더볼</t>
        </is>
      </c>
      <c r="I312" s="29" t="inlineStr">
        <is>
          <t>氣象球</t>
        </is>
      </c>
      <c r="J312" s="29">
        <f>IFERROR(__xludf.DUMMYFUNCTION("GOOGLETRANSLATE(I312,""zh_HANT"",""zh_HANS"")"),"气象球")</f>
        <v/>
      </c>
      <c r="K312" s="29">
        <f>F312</f>
        <v/>
      </c>
    </row>
    <row r="313">
      <c r="A313" s="29">
        <f>CONCATENATE("NAME_MOVE_", SUBSTITUTE(SUBSTITUTE(UPPER(B313), " ", ""), "-", ""))</f>
        <v/>
      </c>
      <c r="B313" s="29" t="inlineStr">
        <is>
          <t>Aromatherapy</t>
        </is>
      </c>
      <c r="C313" s="29" t="inlineStr">
        <is>
          <t>アロマセラピー</t>
        </is>
      </c>
      <c r="D313" s="29" t="inlineStr">
        <is>
          <t>Aromathérapie</t>
        </is>
      </c>
      <c r="E313" s="29" t="inlineStr">
        <is>
          <t>Aromakur</t>
        </is>
      </c>
      <c r="F313" s="29" t="inlineStr">
        <is>
          <t>Aromaterapia</t>
        </is>
      </c>
      <c r="G313" s="29" t="inlineStr">
        <is>
          <t>Aromaterapia</t>
        </is>
      </c>
      <c r="H313" s="29" t="inlineStr">
        <is>
          <t>아로마테라피</t>
        </is>
      </c>
      <c r="I313" s="29" t="inlineStr">
        <is>
          <t>芳香治療</t>
        </is>
      </c>
      <c r="J313" s="29">
        <f>IFERROR(__xludf.DUMMYFUNCTION("GOOGLETRANSLATE(I313,""zh_HANT"",""zh_HANS"")"),"芳香治疗")</f>
        <v/>
      </c>
      <c r="K313" s="29">
        <f>F313</f>
        <v/>
      </c>
    </row>
    <row r="314">
      <c r="A314" s="29">
        <f>CONCATENATE("NAME_MOVE_", SUBSTITUTE(SUBSTITUTE(UPPER(B314), " ", ""), "-", ""))</f>
        <v/>
      </c>
      <c r="B314" s="29" t="inlineStr">
        <is>
          <t>Fake Tears</t>
        </is>
      </c>
      <c r="C314" s="29" t="inlineStr">
        <is>
          <t>うそなき</t>
        </is>
      </c>
      <c r="D314" s="29" t="inlineStr">
        <is>
          <t>Croco Larme</t>
        </is>
      </c>
      <c r="E314" s="29" t="inlineStr">
        <is>
          <t>Trugträne</t>
        </is>
      </c>
      <c r="F314" s="29" t="inlineStr">
        <is>
          <t>Llanto Falso</t>
        </is>
      </c>
      <c r="G314" s="29" t="inlineStr">
        <is>
          <t>Falselacrime</t>
        </is>
      </c>
      <c r="H314" s="29" t="inlineStr">
        <is>
          <t>거짓울음</t>
        </is>
      </c>
      <c r="I314" s="29" t="inlineStr">
        <is>
          <t>假哭</t>
        </is>
      </c>
      <c r="J314" s="29">
        <f>I314</f>
        <v/>
      </c>
      <c r="K314" s="29">
        <f>F314</f>
        <v/>
      </c>
    </row>
    <row r="315">
      <c r="A315" s="29">
        <f>CONCATENATE("NAME_MOVE_", SUBSTITUTE(SUBSTITUTE(UPPER(B315), " ", ""), "-", ""))</f>
        <v/>
      </c>
      <c r="B315" s="29" t="inlineStr">
        <is>
          <t>Air Cutter</t>
        </is>
      </c>
      <c r="C315" s="29" t="inlineStr">
        <is>
          <t>エアカッター</t>
        </is>
      </c>
      <c r="D315" s="29" t="inlineStr">
        <is>
          <t>Tranch'Air</t>
        </is>
      </c>
      <c r="E315" s="29" t="inlineStr">
        <is>
          <t>Windschnitt</t>
        </is>
      </c>
      <c r="F315" s="29" t="inlineStr">
        <is>
          <t>Aire Afilado</t>
        </is>
      </c>
      <c r="G315" s="29" t="inlineStr">
        <is>
          <t>Aerasoio</t>
        </is>
      </c>
      <c r="H315" s="29" t="inlineStr">
        <is>
          <t>에어컷터</t>
        </is>
      </c>
      <c r="I315" s="29" t="inlineStr">
        <is>
          <t>空氣利刃</t>
        </is>
      </c>
      <c r="J315" s="29">
        <f>IFERROR(__xludf.DUMMYFUNCTION("GOOGLETRANSLATE(I315,""zh_HANT"",""zh_HANS"")"),"空气利刃")</f>
        <v/>
      </c>
      <c r="K315" s="29">
        <f>F315</f>
        <v/>
      </c>
    </row>
    <row r="316">
      <c r="A316" s="29">
        <f>CONCATENATE("NAME_MOVE_", SUBSTITUTE(SUBSTITUTE(UPPER(B316), " ", ""), "-", ""))</f>
        <v/>
      </c>
      <c r="B316" s="29" t="inlineStr">
        <is>
          <t>Overheat</t>
        </is>
      </c>
      <c r="C316" s="29" t="inlineStr">
        <is>
          <t>オーバーヒート</t>
        </is>
      </c>
      <c r="D316" s="29" t="inlineStr">
        <is>
          <t>Surchaufffe</t>
        </is>
      </c>
      <c r="E316" s="29" t="inlineStr">
        <is>
          <t>Hitzekoller</t>
        </is>
      </c>
      <c r="F316" s="29" t="inlineStr">
        <is>
          <t>Sofoco</t>
        </is>
      </c>
      <c r="G316" s="29" t="inlineStr">
        <is>
          <t>Vampata</t>
        </is>
      </c>
      <c r="H316" s="29" t="inlineStr">
        <is>
          <t>오버히트</t>
        </is>
      </c>
      <c r="I316" s="29" t="inlineStr">
        <is>
          <t>過熱</t>
        </is>
      </c>
      <c r="J316" s="29">
        <f>IFERROR(__xludf.DUMMYFUNCTION("GOOGLETRANSLATE(I316,""zh_HANT"",""zh_HANS"")"),"过热")</f>
        <v/>
      </c>
      <c r="K316" s="29">
        <f>F316</f>
        <v/>
      </c>
    </row>
    <row r="317">
      <c r="A317" s="29">
        <f>CONCATENATE("NAME_MOVE_", SUBSTITUTE(SUBSTITUTE(UPPER(B317), " ", ""), "-", ""))</f>
        <v/>
      </c>
      <c r="B317" s="29" t="inlineStr">
        <is>
          <t>Odor Sleuth</t>
        </is>
      </c>
      <c r="C317" s="29" t="inlineStr">
        <is>
          <t>かぎわける</t>
        </is>
      </c>
      <c r="D317" s="29" t="inlineStr">
        <is>
          <t>Flair</t>
        </is>
      </c>
      <c r="E317" s="29" t="inlineStr">
        <is>
          <t>Schnüffler</t>
        </is>
      </c>
      <c r="F317" s="29" t="inlineStr">
        <is>
          <t>Rastreo</t>
        </is>
      </c>
      <c r="G317" s="29" t="inlineStr">
        <is>
          <t>Segugio</t>
        </is>
      </c>
      <c r="H317" s="29" t="inlineStr">
        <is>
          <t>냄새구별</t>
        </is>
      </c>
      <c r="I317" s="29" t="inlineStr">
        <is>
          <t>氣味偵測</t>
        </is>
      </c>
      <c r="J317" s="29">
        <f>IFERROR(__xludf.DUMMYFUNCTION("GOOGLETRANSLATE(I317,""zh_HANT"",""zh_HANS"")"),"气味侦测")</f>
        <v/>
      </c>
      <c r="K317" s="29">
        <f>F317</f>
        <v/>
      </c>
    </row>
    <row r="318">
      <c r="A318" s="29">
        <f>CONCATENATE("NAME_MOVE_", SUBSTITUTE(SUBSTITUTE(UPPER(B318), " ", ""), "-", ""))</f>
        <v/>
      </c>
      <c r="B318" s="29" t="inlineStr">
        <is>
          <t>Rock Tomb</t>
        </is>
      </c>
      <c r="C318" s="29" t="inlineStr">
        <is>
          <t>がんせきふうじ</t>
        </is>
      </c>
      <c r="D318" s="29" t="inlineStr">
        <is>
          <t>Tomberoche</t>
        </is>
      </c>
      <c r="E318" s="29" t="inlineStr">
        <is>
          <t>Felsgrab</t>
        </is>
      </c>
      <c r="F318" s="29" t="inlineStr">
        <is>
          <t>Tumba Rocas</t>
        </is>
      </c>
      <c r="G318" s="29" t="inlineStr">
        <is>
          <t>Rocciotomba</t>
        </is>
      </c>
      <c r="H318" s="29" t="inlineStr">
        <is>
          <t>암석봉인</t>
        </is>
      </c>
      <c r="I318" s="29" t="inlineStr">
        <is>
          <t>岩石封鎖</t>
        </is>
      </c>
      <c r="J318" s="29">
        <f>IFERROR(__xludf.DUMMYFUNCTION("GOOGLETRANSLATE(I318,""zh_HANT"",""zh_HANS"")"),"岩石封锁")</f>
        <v/>
      </c>
      <c r="K318" s="29">
        <f>F318</f>
        <v/>
      </c>
    </row>
    <row r="319">
      <c r="A319" s="29">
        <f>CONCATENATE("NAME_MOVE_", SUBSTITUTE(SUBSTITUTE(UPPER(B319), " ", ""), "-", ""))</f>
        <v/>
      </c>
      <c r="B319" s="29" t="inlineStr">
        <is>
          <t>Silver Wind</t>
        </is>
      </c>
      <c r="C319" s="29" t="inlineStr">
        <is>
          <t>ぎんいろのかぜ</t>
        </is>
      </c>
      <c r="D319" s="29" t="inlineStr">
        <is>
          <t>Vent Argenté</t>
        </is>
      </c>
      <c r="E319" s="29" t="inlineStr">
        <is>
          <t>Silberhauch</t>
        </is>
      </c>
      <c r="F319" s="29" t="inlineStr">
        <is>
          <t>Viento Plata</t>
        </is>
      </c>
      <c r="G319" s="29" t="inlineStr">
        <is>
          <t>Ventargenteo</t>
        </is>
      </c>
      <c r="H319" s="29" t="inlineStr">
        <is>
          <t>은빛바람</t>
        </is>
      </c>
      <c r="I319" s="29" t="inlineStr">
        <is>
          <t>銀色旋風</t>
        </is>
      </c>
      <c r="J319" s="29">
        <f>IFERROR(__xludf.DUMMYFUNCTION("GOOGLETRANSLATE(I319,""zh_HANT"",""zh_HANS"")"),"银色旋风")</f>
        <v/>
      </c>
      <c r="K319" s="29">
        <f>F319</f>
        <v/>
      </c>
    </row>
    <row r="320">
      <c r="A320" s="29">
        <f>CONCATENATE("NAME_MOVE_", SUBSTITUTE(SUBSTITUTE(UPPER(B320), " ", ""), "-", ""))</f>
        <v/>
      </c>
      <c r="B320" s="29" t="inlineStr">
        <is>
          <t>Metal Sound</t>
        </is>
      </c>
      <c r="C320" s="29" t="inlineStr">
        <is>
          <t>きんぞくおん</t>
        </is>
      </c>
      <c r="D320" s="29" t="inlineStr">
        <is>
          <t>Strido-Son</t>
        </is>
      </c>
      <c r="E320" s="29" t="inlineStr">
        <is>
          <t>Metalsound</t>
        </is>
      </c>
      <c r="F320" s="29" t="inlineStr">
        <is>
          <t>Eco Metálico</t>
        </is>
      </c>
      <c r="G320" s="29" t="inlineStr">
        <is>
          <t>Ferrostrido</t>
        </is>
      </c>
      <c r="H320" s="29" t="inlineStr">
        <is>
          <t>금속음</t>
        </is>
      </c>
      <c r="I320" s="29" t="inlineStr">
        <is>
          <t>金屬音</t>
        </is>
      </c>
      <c r="J320" s="29">
        <f>IFERROR(__xludf.DUMMYFUNCTION("GOOGLETRANSLATE(I320,""zh_HANT"",""zh_HANS"")"),"金属音")</f>
        <v/>
      </c>
      <c r="K320" s="29">
        <f>F320</f>
        <v/>
      </c>
    </row>
    <row r="321">
      <c r="A321" s="29">
        <f>CONCATENATE("NAME_MOVE_", SUBSTITUTE(SUBSTITUTE(UPPER(B321), " ", ""), "-", ""))</f>
        <v/>
      </c>
      <c r="B321" s="29" t="inlineStr">
        <is>
          <t>Grass Whistle</t>
        </is>
      </c>
      <c r="C321" s="29" t="inlineStr">
        <is>
          <t>くさぶえ</t>
        </is>
      </c>
      <c r="D321" s="29" t="inlineStr">
        <is>
          <t>Siffl'Herbe</t>
        </is>
      </c>
      <c r="E321" s="29" t="inlineStr">
        <is>
          <t>Grasflöte</t>
        </is>
      </c>
      <c r="F321" s="29" t="inlineStr">
        <is>
          <t>Silbato</t>
        </is>
      </c>
      <c r="G321" s="29" t="inlineStr">
        <is>
          <t>Meloderba</t>
        </is>
      </c>
      <c r="H321" s="29" t="inlineStr">
        <is>
          <t>풀피리</t>
        </is>
      </c>
      <c r="I321" s="29" t="inlineStr">
        <is>
          <t>草笛</t>
        </is>
      </c>
      <c r="J321" s="29">
        <f>IFERROR(__xludf.DUMMYFUNCTION("GOOGLETRANSLATE(I321,""zh_HANT"",""zh_HANS"")"),"草笛")</f>
        <v/>
      </c>
      <c r="K321" s="29">
        <f>F321</f>
        <v/>
      </c>
    </row>
    <row r="322">
      <c r="A322" s="29">
        <f>CONCATENATE("NAME_MOVE_", SUBSTITUTE(SUBSTITUTE(UPPER(B322), " ", ""), "-", ""))</f>
        <v/>
      </c>
      <c r="B322" s="29" t="inlineStr">
        <is>
          <t>Tickle</t>
        </is>
      </c>
      <c r="C322" s="29" t="inlineStr">
        <is>
          <t>くすぐる</t>
        </is>
      </c>
      <c r="D322" s="29" t="inlineStr">
        <is>
          <t>Chatouille</t>
        </is>
      </c>
      <c r="E322" s="29" t="inlineStr">
        <is>
          <t>Spaßkanone</t>
        </is>
      </c>
      <c r="F322" s="29" t="inlineStr">
        <is>
          <t>Cosquillas</t>
        </is>
      </c>
      <c r="G322" s="29" t="inlineStr">
        <is>
          <t>Solletico</t>
        </is>
      </c>
      <c r="H322" s="29" t="inlineStr">
        <is>
          <t>간지르기</t>
        </is>
      </c>
      <c r="I322" s="29" t="inlineStr">
        <is>
          <t>撓癢</t>
        </is>
      </c>
      <c r="J322" s="29">
        <f>IFERROR(__xludf.DUMMYFUNCTION("GOOGLETRANSLATE(I322,""zh_HANT"",""zh_HANS"")"),"挠痒")</f>
        <v/>
      </c>
      <c r="K322" s="29">
        <f>F322</f>
        <v/>
      </c>
    </row>
    <row r="323">
      <c r="A323" s="29">
        <f>CONCATENATE("NAME_MOVE_", SUBSTITUTE(SUBSTITUTE(UPPER(B323), " ", ""), "-", ""))</f>
        <v/>
      </c>
      <c r="B323" s="29" t="inlineStr">
        <is>
          <t>Cosmic Power</t>
        </is>
      </c>
      <c r="C323" s="29" t="inlineStr">
        <is>
          <t>コスモパワー</t>
        </is>
      </c>
      <c r="D323" s="29" t="inlineStr">
        <is>
          <t>Force Cosmik</t>
        </is>
      </c>
      <c r="E323" s="29" t="inlineStr">
        <is>
          <t>Kosmik-Kraft</t>
        </is>
      </c>
      <c r="F323" s="29" t="inlineStr">
        <is>
          <t>Masa Cósmica</t>
        </is>
      </c>
      <c r="G323" s="29" t="inlineStr">
        <is>
          <t>Cosmoforza</t>
        </is>
      </c>
      <c r="H323" s="29" t="inlineStr">
        <is>
          <t>코스믹파워</t>
        </is>
      </c>
      <c r="I323" s="29" t="inlineStr">
        <is>
          <t>宇宙力量</t>
        </is>
      </c>
      <c r="J323" s="29">
        <f>I323</f>
        <v/>
      </c>
      <c r="K323" s="29">
        <f>F323</f>
        <v/>
      </c>
    </row>
    <row r="324">
      <c r="A324" s="29">
        <f>CONCATENATE("NAME_MOVE_", SUBSTITUTE(SUBSTITUTE(UPPER(B324), " ", ""), "-", ""))</f>
        <v/>
      </c>
      <c r="B324" s="29" t="inlineStr">
        <is>
          <t>Water Spout</t>
        </is>
      </c>
      <c r="C324" s="29" t="inlineStr">
        <is>
          <t>しおふき</t>
        </is>
      </c>
      <c r="D324" s="29" t="inlineStr">
        <is>
          <t>Giclédo</t>
        </is>
      </c>
      <c r="E324" s="29" t="inlineStr">
        <is>
          <t>Fontränen</t>
        </is>
      </c>
      <c r="F324" s="29" t="inlineStr">
        <is>
          <t>Salpicar</t>
        </is>
      </c>
      <c r="G324" s="29" t="inlineStr">
        <is>
          <t>Zampillo</t>
        </is>
      </c>
      <c r="H324" s="29" t="inlineStr">
        <is>
          <t>바지락조개</t>
        </is>
      </c>
      <c r="I324" s="29" t="inlineStr">
        <is>
          <t>噴水</t>
        </is>
      </c>
      <c r="J324" s="29">
        <f>IFERROR(__xludf.DUMMYFUNCTION("GOOGLETRANSLATE(I324,""zh_HANT"",""zh_HANS"")"),"喷水")</f>
        <v/>
      </c>
      <c r="K324" s="29">
        <f>F324</f>
        <v/>
      </c>
    </row>
    <row r="325">
      <c r="A325" s="29">
        <f>CONCATENATE("NAME_MOVE_", SUBSTITUTE(SUBSTITUTE(UPPER(B325), " ", ""), "-", ""))</f>
        <v/>
      </c>
      <c r="B325" s="29" t="inlineStr">
        <is>
          <t>Signal Beam</t>
        </is>
      </c>
      <c r="C325" s="29" t="inlineStr">
        <is>
          <t>シグナルビーム</t>
        </is>
      </c>
      <c r="D325" s="29" t="inlineStr">
        <is>
          <t>Rayon Signal</t>
        </is>
      </c>
      <c r="E325" s="29" t="inlineStr">
        <is>
          <t>Ampelleuchte</t>
        </is>
      </c>
      <c r="F325" s="29" t="inlineStr">
        <is>
          <t>Doble Rayo</t>
        </is>
      </c>
      <c r="G325" s="29" t="inlineStr">
        <is>
          <t>Segnoraggio</t>
        </is>
      </c>
      <c r="H325" s="29" t="inlineStr">
        <is>
          <t>시그널빔</t>
        </is>
      </c>
      <c r="I325" s="29" t="inlineStr">
        <is>
          <t>信號光束</t>
        </is>
      </c>
      <c r="J325" s="29">
        <f>IFERROR(__xludf.DUMMYFUNCTION("GOOGLETRANSLATE(I325,""zh_HANT"",""zh_HANS"")"),"信号光束")</f>
        <v/>
      </c>
      <c r="K325" s="29">
        <f>F325</f>
        <v/>
      </c>
    </row>
    <row r="326">
      <c r="A326" s="29">
        <f>CONCATENATE("NAME_MOVE_", SUBSTITUTE(SUBSTITUTE(UPPER(B326), " ", ""), "-", ""))</f>
        <v/>
      </c>
      <c r="B326" s="29" t="inlineStr">
        <is>
          <t>Shadow Punch</t>
        </is>
      </c>
      <c r="C326" s="29" t="inlineStr">
        <is>
          <t>シャドーパンチ</t>
        </is>
      </c>
      <c r="D326" s="29" t="inlineStr">
        <is>
          <t>Poing Ombre</t>
        </is>
      </c>
      <c r="E326" s="29" t="inlineStr">
        <is>
          <t>Finsterfaust</t>
        </is>
      </c>
      <c r="F326" s="29" t="inlineStr">
        <is>
          <t>Puño Sombra</t>
        </is>
      </c>
      <c r="G326" s="29" t="inlineStr">
        <is>
          <t>Pugnodombra</t>
        </is>
      </c>
      <c r="H326" s="29" t="inlineStr">
        <is>
          <t>섀도펀치</t>
        </is>
      </c>
      <c r="I326" s="29" t="inlineStr">
        <is>
          <t>暗影拳</t>
        </is>
      </c>
      <c r="J326" s="29">
        <f>I326</f>
        <v/>
      </c>
      <c r="K326" s="29">
        <f>F326</f>
        <v/>
      </c>
    </row>
    <row r="327">
      <c r="A327" s="29">
        <f>CONCATENATE("NAME_MOVE_", SUBSTITUTE(SUBSTITUTE(UPPER(B327), " ", ""), "-", ""))</f>
        <v/>
      </c>
      <c r="B327" s="29" t="inlineStr">
        <is>
          <t>Extrasensory</t>
        </is>
      </c>
      <c r="C327" s="29" t="inlineStr">
        <is>
          <t>じんつうりき</t>
        </is>
      </c>
      <c r="D327" s="29" t="inlineStr">
        <is>
          <t>Extrasenseur</t>
        </is>
      </c>
      <c r="E327" s="29" t="inlineStr">
        <is>
          <t>Sondersensor</t>
        </is>
      </c>
      <c r="F327" s="29" t="inlineStr">
        <is>
          <t>Paranormal</t>
        </is>
      </c>
      <c r="G327" s="29" t="inlineStr">
        <is>
          <t>Extrasenso</t>
        </is>
      </c>
      <c r="H327" s="29" t="inlineStr">
        <is>
          <t>신통력</t>
        </is>
      </c>
      <c r="I327" s="29" t="inlineStr">
        <is>
          <t>神通力</t>
        </is>
      </c>
      <c r="J327" s="29">
        <f>I327</f>
        <v/>
      </c>
      <c r="K327" s="29">
        <f>F327</f>
        <v/>
      </c>
    </row>
    <row r="328">
      <c r="A328" s="29">
        <f>CONCATENATE("NAME_MOVE_", SUBSTITUTE(SUBSTITUTE(UPPER(B328), " ", ""), "-", ""))</f>
        <v/>
      </c>
      <c r="B328" s="29" t="inlineStr">
        <is>
          <t>Sky Uppercut</t>
        </is>
      </c>
      <c r="C328" s="29" t="inlineStr">
        <is>
          <t>スカイアッパー</t>
        </is>
      </c>
      <c r="D328" s="29" t="inlineStr">
        <is>
          <t>Stratopercut</t>
        </is>
      </c>
      <c r="E328" s="29" t="inlineStr">
        <is>
          <t>Himmelhieb</t>
        </is>
      </c>
      <c r="F328" s="29" t="inlineStr">
        <is>
          <t>Gancho Alto</t>
        </is>
      </c>
      <c r="G328" s="29" t="inlineStr">
        <is>
          <t>Stramontante</t>
        </is>
      </c>
      <c r="H328" s="29" t="inlineStr">
        <is>
          <t>스카이업퍼</t>
        </is>
      </c>
      <c r="I328" s="29" t="inlineStr">
        <is>
          <t>衝天拳</t>
        </is>
      </c>
      <c r="J328" s="29">
        <f>IFERROR(__xludf.DUMMYFUNCTION("GOOGLETRANSLATE(I328,""zh_HANT"",""zh_HANS"")"),"冲天拳")</f>
        <v/>
      </c>
      <c r="K328" s="29">
        <f>F328</f>
        <v/>
      </c>
    </row>
    <row r="329">
      <c r="A329" s="29">
        <f>CONCATENATE("NAME_MOVE_", SUBSTITUTE(SUBSTITUTE(UPPER(B329), " ", ""), "-", ""))</f>
        <v/>
      </c>
      <c r="B329" s="29" t="inlineStr">
        <is>
          <t>Sand Tomb</t>
        </is>
      </c>
      <c r="C329" s="29" t="inlineStr">
        <is>
          <t>すなじごく</t>
        </is>
      </c>
      <c r="D329" s="29" t="inlineStr">
        <is>
          <t>Tourbi-Sable</t>
        </is>
      </c>
      <c r="E329" s="29" t="inlineStr">
        <is>
          <t>Sandgrab</t>
        </is>
      </c>
      <c r="F329" s="29" t="inlineStr">
        <is>
          <t>Bucle Arena</t>
        </is>
      </c>
      <c r="G329" s="29" t="inlineStr">
        <is>
          <t>Sabbiotomba</t>
        </is>
      </c>
      <c r="H329" s="29" t="inlineStr">
        <is>
          <t>모래지옥</t>
        </is>
      </c>
      <c r="I329" s="29" t="inlineStr">
        <is>
          <t>流沙地獄</t>
        </is>
      </c>
      <c r="J329" s="29" t="inlineStr">
        <is>
          <t>流沙深渊</t>
        </is>
      </c>
      <c r="K329" s="29">
        <f>F329</f>
        <v/>
      </c>
    </row>
    <row r="330">
      <c r="A330" s="29">
        <f>CONCATENATE("NAME_MOVE_", SUBSTITUTE(SUBSTITUTE(UPPER(B330), " ", ""), "-", ""))</f>
        <v/>
      </c>
      <c r="B330" s="29" t="inlineStr">
        <is>
          <t>Sheer Cold</t>
        </is>
      </c>
      <c r="C330" s="29" t="inlineStr">
        <is>
          <t>ぜったいれいど</t>
        </is>
      </c>
      <c r="D330" s="29" t="inlineStr">
        <is>
          <t>Glaciation</t>
        </is>
      </c>
      <c r="E330" s="29" t="inlineStr">
        <is>
          <t>Eiseskälte</t>
        </is>
      </c>
      <c r="F330" s="29" t="inlineStr">
        <is>
          <t>Frío Polar</t>
        </is>
      </c>
      <c r="G330" s="29" t="inlineStr">
        <is>
          <t>Purogelo</t>
        </is>
      </c>
      <c r="H330" s="29" t="inlineStr">
        <is>
          <t>절대영도</t>
        </is>
      </c>
      <c r="I330" s="29" t="inlineStr">
        <is>
          <t>絕對零度</t>
        </is>
      </c>
      <c r="J330" s="29">
        <f>IFERROR(__xludf.DUMMYFUNCTION("GOOGLETRANSLATE(I330,""zh_HANT"",""zh_HANS"")"),"绝对零度")</f>
        <v/>
      </c>
      <c r="K330" s="29">
        <f>F330</f>
        <v/>
      </c>
    </row>
    <row r="331">
      <c r="A331" s="29">
        <f>CONCATENATE("NAME_MOVE_", SUBSTITUTE(SUBSTITUTE(UPPER(B331), " ", ""), "-", ""))</f>
        <v/>
      </c>
      <c r="B331" s="29" t="inlineStr">
        <is>
          <t>Muddy Water</t>
        </is>
      </c>
      <c r="C331" s="29" t="inlineStr">
        <is>
          <t>だくりゅう</t>
        </is>
      </c>
      <c r="D331" s="29" t="inlineStr">
        <is>
          <t>Ocroupi</t>
        </is>
      </c>
      <c r="E331" s="29" t="inlineStr">
        <is>
          <t>Lehmbrühe</t>
        </is>
      </c>
      <c r="F331" s="29" t="inlineStr">
        <is>
          <t>Agua Lodosa</t>
        </is>
      </c>
      <c r="G331" s="29" t="inlineStr">
        <is>
          <t>Fanghiglia</t>
        </is>
      </c>
      <c r="H331" s="29" t="inlineStr">
        <is>
          <t>탁류</t>
        </is>
      </c>
      <c r="I331" s="29" t="inlineStr">
        <is>
          <t>濁流</t>
        </is>
      </c>
      <c r="J331" s="29">
        <f>IFERROR(__xludf.DUMMYFUNCTION("GOOGLETRANSLATE(I331,""zh_HANT"",""zh_HANS"")"),"浊流")</f>
        <v/>
      </c>
      <c r="K331" s="29">
        <f>F331</f>
        <v/>
      </c>
    </row>
    <row r="332">
      <c r="A332" s="29">
        <f>CONCATENATE("NAME_MOVE_", SUBSTITUTE(SUBSTITUTE(UPPER(B332), " ", ""), "-", ""))</f>
        <v/>
      </c>
      <c r="B332" s="29" t="inlineStr">
        <is>
          <t>Bullet Seed</t>
        </is>
      </c>
      <c r="C332" s="29" t="inlineStr">
        <is>
          <t>タネマシンガン</t>
        </is>
      </c>
      <c r="D332" s="29" t="inlineStr">
        <is>
          <t>Balle Graine</t>
        </is>
      </c>
      <c r="E332" s="29" t="inlineStr">
        <is>
          <t>Kugelsaat</t>
        </is>
      </c>
      <c r="F332" s="29" t="inlineStr">
        <is>
          <t>Semilladora</t>
        </is>
      </c>
      <c r="G332" s="29" t="inlineStr">
        <is>
          <t>Semitraglia</t>
        </is>
      </c>
      <c r="H332" s="29" t="inlineStr">
        <is>
          <t>기관총</t>
        </is>
      </c>
      <c r="I332" s="29" t="inlineStr">
        <is>
          <t>種子機關槍</t>
        </is>
      </c>
      <c r="J332" s="29">
        <f>IFERROR(__xludf.DUMMYFUNCTION("GOOGLETRANSLATE(I332,""zh_HANT"",""zh_HANS"")"),"种子机关枪")</f>
        <v/>
      </c>
      <c r="K332" s="29">
        <f>F332</f>
        <v/>
      </c>
    </row>
    <row r="333">
      <c r="A333" s="29">
        <f>CONCATENATE("NAME_MOVE_", SUBSTITUTE(SUBSTITUTE(UPPER(B333), " ", ""), "-", ""))</f>
        <v/>
      </c>
      <c r="B333" s="29" t="inlineStr">
        <is>
          <t>Aerial Ace</t>
        </is>
      </c>
      <c r="C333" s="29" t="inlineStr">
        <is>
          <t>つばめがえし</t>
        </is>
      </c>
      <c r="D333" s="29" t="inlineStr">
        <is>
          <t>Aéropique</t>
        </is>
      </c>
      <c r="E333" s="29" t="inlineStr">
        <is>
          <t>Aero-Ass</t>
        </is>
      </c>
      <c r="F333" s="29" t="inlineStr">
        <is>
          <t>Golpe Aéreo</t>
        </is>
      </c>
      <c r="G333" s="29" t="inlineStr">
        <is>
          <t>Aeroassalto</t>
        </is>
      </c>
      <c r="H333" s="29" t="inlineStr">
        <is>
          <t>제비반환</t>
        </is>
      </c>
      <c r="I333" s="29" t="inlineStr">
        <is>
          <t>燕返</t>
        </is>
      </c>
      <c r="J333" s="29">
        <f>I333</f>
        <v/>
      </c>
      <c r="K333" s="29">
        <f>F333</f>
        <v/>
      </c>
    </row>
    <row r="334">
      <c r="A334" s="29">
        <f>CONCATENATE("NAME_MOVE_", SUBSTITUTE(SUBSTITUTE(UPPER(B334), " ", ""), "-", ""))</f>
        <v/>
      </c>
      <c r="B334" s="29" t="inlineStr">
        <is>
          <t>Icicle Spear</t>
        </is>
      </c>
      <c r="C334" s="29" t="inlineStr">
        <is>
          <t>つららばり</t>
        </is>
      </c>
      <c r="D334" s="29" t="inlineStr">
        <is>
          <t>Stalagtite</t>
        </is>
      </c>
      <c r="E334" s="29" t="inlineStr">
        <is>
          <t>Eisspeer</t>
        </is>
      </c>
      <c r="F334" s="29" t="inlineStr">
        <is>
          <t>Carámbano</t>
        </is>
      </c>
      <c r="G334" s="29" t="inlineStr">
        <is>
          <t>Gelolancia</t>
        </is>
      </c>
      <c r="H334" s="29" t="inlineStr">
        <is>
          <t>고드름침</t>
        </is>
      </c>
      <c r="I334" s="29" t="inlineStr">
        <is>
          <t>冰錐</t>
        </is>
      </c>
      <c r="J334" s="29">
        <f>IFERROR(__xludf.DUMMYFUNCTION("GOOGLETRANSLATE(I334,""zh_HANT"",""zh_HANS"")"),"冰锥")</f>
        <v/>
      </c>
      <c r="K334" s="29">
        <f>F334</f>
        <v/>
      </c>
    </row>
    <row r="335">
      <c r="A335" s="29">
        <f>CONCATENATE("NAME_MOVE_", SUBSTITUTE(SUBSTITUTE(UPPER(B335), " ", ""), "-", ""))</f>
        <v/>
      </c>
      <c r="B335" s="29" t="inlineStr">
        <is>
          <t>Iron Defense</t>
        </is>
      </c>
      <c r="C335" s="29" t="inlineStr">
        <is>
          <t>てっぺき</t>
        </is>
      </c>
      <c r="D335" s="29" t="inlineStr">
        <is>
          <t>Mur de Fer</t>
        </is>
      </c>
      <c r="E335" s="29" t="inlineStr">
        <is>
          <t>Eisenabwehr</t>
        </is>
      </c>
      <c r="F335" s="29" t="inlineStr">
        <is>
          <t>Defensa Férrea</t>
        </is>
      </c>
      <c r="G335" s="29" t="inlineStr">
        <is>
          <t>Ferroscudo</t>
        </is>
      </c>
      <c r="H335" s="29" t="inlineStr">
        <is>
          <t>철벽</t>
        </is>
      </c>
      <c r="I335" s="29" t="inlineStr">
        <is>
          <t>鐵壁</t>
        </is>
      </c>
      <c r="J335" s="29">
        <f>IFERROR(__xludf.DUMMYFUNCTION("GOOGLETRANSLATE(I335,""zh_HANT"",""zh_HANS"")"),"铁壁")</f>
        <v/>
      </c>
      <c r="K335" s="29">
        <f>F335</f>
        <v/>
      </c>
    </row>
    <row r="336">
      <c r="A336" s="29">
        <f>CONCATENATE("NAME_MOVE_", SUBSTITUTE(SUBSTITUTE(UPPER(B336), " ", ""), "-", ""))</f>
        <v/>
      </c>
      <c r="B336" s="29" t="inlineStr">
        <is>
          <t>Block</t>
        </is>
      </c>
      <c r="C336" s="29" t="inlineStr">
        <is>
          <t>とおせんぼう</t>
        </is>
      </c>
      <c r="D336" s="29" t="inlineStr">
        <is>
          <t>Barrage</t>
        </is>
      </c>
      <c r="E336" s="29" t="inlineStr">
        <is>
          <t>Rückentzug</t>
        </is>
      </c>
      <c r="F336" s="29" t="inlineStr">
        <is>
          <t>Bloqueo</t>
        </is>
      </c>
      <c r="G336" s="29" t="inlineStr">
        <is>
          <t>Blocco</t>
        </is>
      </c>
      <c r="H336" s="29" t="inlineStr">
        <is>
          <t>블록</t>
        </is>
      </c>
      <c r="I336" s="29" t="inlineStr">
        <is>
          <t>擋路</t>
        </is>
      </c>
      <c r="J336" s="29">
        <f>IFERROR(__xludf.DUMMYFUNCTION("GOOGLETRANSLATE(I336,""zh_HANT"",""zh_HANS"")"),"挡路")</f>
        <v/>
      </c>
      <c r="K336" s="29">
        <f>F336</f>
        <v/>
      </c>
    </row>
    <row r="337">
      <c r="A337" s="29">
        <f>CONCATENATE("NAME_MOVE_", SUBSTITUTE(SUBSTITUTE(UPPER(B337), " ", ""), "-", ""))</f>
        <v/>
      </c>
      <c r="B337" s="29" t="inlineStr">
        <is>
          <t>Howl</t>
        </is>
      </c>
      <c r="C337" s="29" t="inlineStr">
        <is>
          <t>とおぼえ</t>
        </is>
      </c>
      <c r="D337" s="29" t="inlineStr">
        <is>
          <t>Grondement</t>
        </is>
      </c>
      <c r="E337" s="29" t="inlineStr">
        <is>
          <t>Jauler</t>
        </is>
      </c>
      <c r="F337" s="29" t="inlineStr">
        <is>
          <t>Aullido</t>
        </is>
      </c>
      <c r="G337" s="29" t="inlineStr">
        <is>
          <t>Gridodilotta</t>
        </is>
      </c>
      <c r="H337" s="29" t="inlineStr">
        <is>
          <t>멀리짖음</t>
        </is>
      </c>
      <c r="I337" s="29" t="inlineStr">
        <is>
          <t>長嚎</t>
        </is>
      </c>
      <c r="J337" s="29">
        <f>IFERROR(__xludf.DUMMYFUNCTION("GOOGLETRANSLATE(I337,""zh_HANT"",""zh_HANS"")"),"长嚎")</f>
        <v/>
      </c>
      <c r="K337" s="29">
        <f>F337</f>
        <v/>
      </c>
    </row>
    <row r="338">
      <c r="A338" s="29">
        <f>CONCATENATE("NAME_MOVE_", SUBSTITUTE(SUBSTITUTE(UPPER(B338), " ", ""), "-", ""))</f>
        <v/>
      </c>
      <c r="B338" s="29" t="inlineStr">
        <is>
          <t>Dragon Claw</t>
        </is>
      </c>
      <c r="C338" s="29" t="inlineStr">
        <is>
          <t>ドラゴンクロー</t>
        </is>
      </c>
      <c r="D338" s="29" t="inlineStr">
        <is>
          <t>Draco-Griffe</t>
        </is>
      </c>
      <c r="E338" s="29" t="inlineStr">
        <is>
          <t>Drachenklaue</t>
        </is>
      </c>
      <c r="F338" s="29" t="inlineStr">
        <is>
          <t>Garra Dragón</t>
        </is>
      </c>
      <c r="G338" s="29" t="inlineStr">
        <is>
          <t>Dragartigli</t>
        </is>
      </c>
      <c r="H338" s="29" t="inlineStr">
        <is>
          <t>드래곤크루</t>
        </is>
      </c>
      <c r="I338" s="29" t="inlineStr">
        <is>
          <t>龍爪</t>
        </is>
      </c>
      <c r="J338" s="29">
        <f>IFERROR(__xludf.DUMMYFUNCTION("GOOGLETRANSLATE(I338,""zh_HANT"",""zh_HANS"")"),"龙爪")</f>
        <v/>
      </c>
      <c r="K338" s="29">
        <f>F338</f>
        <v/>
      </c>
    </row>
    <row r="339">
      <c r="A339" s="29">
        <f>CONCATENATE("NAME_MOVE_", SUBSTITUTE(SUBSTITUTE(UPPER(B339), " ", ""), "-", ""))</f>
        <v/>
      </c>
      <c r="B339" s="29" t="inlineStr">
        <is>
          <t>Frenzy Plant</t>
        </is>
      </c>
      <c r="C339" s="29" t="inlineStr">
        <is>
          <t>ハードプラント</t>
        </is>
      </c>
      <c r="D339" s="29" t="inlineStr">
        <is>
          <t>Végé-Attak</t>
        </is>
      </c>
      <c r="E339" s="29" t="inlineStr">
        <is>
          <t>Flora-Statue</t>
        </is>
      </c>
      <c r="F339" s="29" t="inlineStr">
        <is>
          <t>Planta Feroz</t>
        </is>
      </c>
      <c r="G339" s="29" t="inlineStr">
        <is>
          <t>Radicalbero</t>
        </is>
      </c>
      <c r="H339" s="29" t="inlineStr">
        <is>
          <t>하드플랜트</t>
        </is>
      </c>
      <c r="I339" s="29" t="inlineStr">
        <is>
          <t>瘋狂植物</t>
        </is>
      </c>
      <c r="J339" s="29">
        <f>IFERROR(__xludf.DUMMYFUNCTION("GOOGLETRANSLATE(I339,""zh_HANT"",""zh_HANS"")"),"疯狂植物")</f>
        <v/>
      </c>
      <c r="K339" s="29">
        <f>F339</f>
        <v/>
      </c>
    </row>
    <row r="340">
      <c r="A340" s="29">
        <f>CONCATENATE("NAME_MOVE_", SUBSTITUTE(SUBSTITUTE(UPPER(B340), " ", ""), "-", ""))</f>
        <v/>
      </c>
      <c r="B340" s="29" t="inlineStr">
        <is>
          <t>Bulk Up</t>
        </is>
      </c>
      <c r="C340" s="29" t="inlineStr">
        <is>
          <t>ビルドアップ</t>
        </is>
      </c>
      <c r="D340" s="29" t="inlineStr">
        <is>
          <t>Gonflette</t>
        </is>
      </c>
      <c r="E340" s="29" t="inlineStr">
        <is>
          <t>Protzer</t>
        </is>
      </c>
      <c r="F340" s="29" t="inlineStr">
        <is>
          <t>Corpulencia</t>
        </is>
      </c>
      <c r="G340" s="29" t="inlineStr">
        <is>
          <t>Granfisico</t>
        </is>
      </c>
      <c r="H340" s="29" t="inlineStr">
        <is>
          <t>벌크업</t>
        </is>
      </c>
      <c r="I340" s="29" t="inlineStr">
        <is>
          <t>健美</t>
        </is>
      </c>
      <c r="J340" s="29">
        <f>I340</f>
        <v/>
      </c>
      <c r="K340" s="29">
        <f>F340</f>
        <v/>
      </c>
    </row>
    <row r="341">
      <c r="A341" s="29">
        <f>CONCATENATE("NAME_MOVE_", SUBSTITUTE(SUBSTITUTE(UPPER(B341), " ", ""), "-", ""))</f>
        <v/>
      </c>
      <c r="B341" s="29" t="inlineStr">
        <is>
          <t>Bounce</t>
        </is>
      </c>
      <c r="C341" s="29" t="inlineStr">
        <is>
          <t>とびはねる</t>
        </is>
      </c>
      <c r="D341" s="29" t="inlineStr">
        <is>
          <t>Rebond</t>
        </is>
      </c>
      <c r="E341" s="29" t="inlineStr">
        <is>
          <t>Sprungfeder</t>
        </is>
      </c>
      <c r="F341" s="29" t="inlineStr">
        <is>
          <t>Bote</t>
        </is>
      </c>
      <c r="G341" s="29" t="inlineStr">
        <is>
          <t>Rimbalzo</t>
        </is>
      </c>
      <c r="H341" s="29" t="inlineStr">
        <is>
          <t>뛰어오르다</t>
        </is>
      </c>
      <c r="I341" s="29" t="inlineStr">
        <is>
          <t>彈跳</t>
        </is>
      </c>
      <c r="J341" s="29">
        <f>IFERROR(__xludf.DUMMYFUNCTION("GOOGLETRANSLATE(I341,""zh_HANT"",""zh_HANS"")"),"弹跳")</f>
        <v/>
      </c>
      <c r="K341" s="29">
        <f>F341</f>
        <v/>
      </c>
    </row>
    <row r="342">
      <c r="A342" s="29">
        <f>CONCATENATE("NAME_MOVE_", SUBSTITUTE(SUBSTITUTE(UPPER(B342), " ", ""), "-", ""))</f>
        <v/>
      </c>
      <c r="B342" s="29" t="inlineStr">
        <is>
          <t>Mud Shot</t>
        </is>
      </c>
      <c r="C342" s="29" t="inlineStr">
        <is>
          <t>マッドショット</t>
        </is>
      </c>
      <c r="D342" s="29" t="inlineStr">
        <is>
          <t>Tir de Boue</t>
        </is>
      </c>
      <c r="E342" s="29" t="inlineStr">
        <is>
          <t>Lehmschuss</t>
        </is>
      </c>
      <c r="F342" s="29" t="inlineStr">
        <is>
          <t>Disparo Lodo</t>
        </is>
      </c>
      <c r="G342" s="29" t="inlineStr">
        <is>
          <t>Colpodifango</t>
        </is>
      </c>
      <c r="H342" s="29" t="inlineStr">
        <is>
          <t>머드숏</t>
        </is>
      </c>
      <c r="I342" s="29" t="inlineStr">
        <is>
          <t>泥巴射擊</t>
        </is>
      </c>
      <c r="J342" s="29">
        <f>IFERROR(__xludf.DUMMYFUNCTION("GOOGLETRANSLATE(I342,""zh_HANT"",""zh_HANS"")"),"泥巴射击")</f>
        <v/>
      </c>
      <c r="K342" s="29">
        <f>F342</f>
        <v/>
      </c>
    </row>
    <row r="343">
      <c r="A343" s="29">
        <f>CONCATENATE("NAME_MOVE_", SUBSTITUTE(SUBSTITUTE(UPPER(B343), " ", ""), "-", ""))</f>
        <v/>
      </c>
      <c r="B343" s="29" t="inlineStr">
        <is>
          <t>Poison Tail</t>
        </is>
      </c>
      <c r="C343" s="29" t="inlineStr">
        <is>
          <t>ポイズンテール</t>
        </is>
      </c>
      <c r="D343" s="29" t="inlineStr">
        <is>
          <t>Queue-Poison</t>
        </is>
      </c>
      <c r="E343" s="29" t="inlineStr">
        <is>
          <t>Giftschweif</t>
        </is>
      </c>
      <c r="F343" s="29" t="inlineStr">
        <is>
          <t>Cola Veneno</t>
        </is>
      </c>
      <c r="G343" s="29" t="inlineStr">
        <is>
          <t>Velenocoda</t>
        </is>
      </c>
      <c r="H343" s="29" t="inlineStr">
        <is>
          <t>포이즌테일</t>
        </is>
      </c>
      <c r="I343" s="29" t="inlineStr">
        <is>
          <t>毒尾</t>
        </is>
      </c>
      <c r="J343" s="29">
        <f>I343</f>
        <v/>
      </c>
      <c r="K343" s="29">
        <f>F343</f>
        <v/>
      </c>
    </row>
    <row r="344">
      <c r="A344" s="29">
        <f>CONCATENATE("NAME_MOVE_", SUBSTITUTE(SUBSTITUTE(UPPER(B344), " ", ""), "-", ""))</f>
        <v/>
      </c>
      <c r="B344" s="29" t="inlineStr">
        <is>
          <t>Covet</t>
        </is>
      </c>
      <c r="C344" s="29" t="inlineStr">
        <is>
          <t>ほしがる</t>
        </is>
      </c>
      <c r="D344" s="29" t="inlineStr">
        <is>
          <t>Implore</t>
        </is>
      </c>
      <c r="E344" s="29" t="inlineStr">
        <is>
          <t>Bezirzer</t>
        </is>
      </c>
      <c r="F344" s="29" t="inlineStr">
        <is>
          <t>Antojo</t>
        </is>
      </c>
      <c r="G344" s="29" t="inlineStr">
        <is>
          <t>Supplica</t>
        </is>
      </c>
      <c r="H344" s="29" t="inlineStr">
        <is>
          <t>탐내다</t>
        </is>
      </c>
      <c r="I344" s="29" t="inlineStr">
        <is>
          <t>渴望</t>
        </is>
      </c>
      <c r="J344" s="29">
        <f>I344</f>
        <v/>
      </c>
      <c r="K344" s="29">
        <f>F344</f>
        <v/>
      </c>
    </row>
    <row r="345">
      <c r="A345" s="29">
        <f>CONCATENATE("NAME_MOVE_", SUBSTITUTE(SUBSTITUTE(UPPER(B345), " ", ""), "-", ""))</f>
        <v/>
      </c>
      <c r="B345" s="29" t="inlineStr">
        <is>
          <t>Volt Tackle</t>
        </is>
      </c>
      <c r="C345" s="29" t="inlineStr">
        <is>
          <t>ボルテッカー</t>
        </is>
      </c>
      <c r="D345" s="29" t="inlineStr">
        <is>
          <t>Électacle</t>
        </is>
      </c>
      <c r="E345" s="29" t="inlineStr">
        <is>
          <t>Volttackle</t>
        </is>
      </c>
      <c r="F345" s="29" t="inlineStr">
        <is>
          <t>Placaje Eléc</t>
        </is>
      </c>
      <c r="G345" s="29" t="inlineStr">
        <is>
          <t>Locomovolt</t>
        </is>
      </c>
      <c r="H345" s="29" t="inlineStr">
        <is>
          <t>볼트태클</t>
        </is>
      </c>
      <c r="I345" s="29" t="inlineStr">
        <is>
          <t>伏特攻擊</t>
        </is>
      </c>
      <c r="J345" s="29">
        <f>IFERROR(__xludf.DUMMYFUNCTION("GOOGLETRANSLATE(I345,""zh_HANT"",""zh_HANS"")"),"伏特攻击")</f>
        <v/>
      </c>
      <c r="K345" s="29">
        <f>F345</f>
        <v/>
      </c>
    </row>
    <row r="346">
      <c r="A346" s="29">
        <f>CONCATENATE("NAME_MOVE_", SUBSTITUTE(SUBSTITUTE(UPPER(B346), " ", ""), "-", ""))</f>
        <v/>
      </c>
      <c r="B346" s="29" t="inlineStr">
        <is>
          <t>Magical Leaf</t>
        </is>
      </c>
      <c r="C346" s="29" t="inlineStr">
        <is>
          <t>マジカルリーフ</t>
        </is>
      </c>
      <c r="D346" s="29" t="inlineStr">
        <is>
          <t>Feuillemagik</t>
        </is>
      </c>
      <c r="E346" s="29" t="inlineStr">
        <is>
          <t>Zauberblatt</t>
        </is>
      </c>
      <c r="F346" s="29" t="inlineStr">
        <is>
          <t>Hoja Mágica</t>
        </is>
      </c>
      <c r="G346" s="29" t="inlineStr">
        <is>
          <t>Fogliamagica</t>
        </is>
      </c>
      <c r="H346" s="29" t="inlineStr">
        <is>
          <t>메지컬리프</t>
        </is>
      </c>
      <c r="I346" s="29" t="inlineStr">
        <is>
          <t>魔法葉</t>
        </is>
      </c>
      <c r="J346" s="29">
        <f>IFERROR(__xludf.DUMMYFUNCTION("GOOGLETRANSLATE(I346,""zh_HANT"",""zh_HANS"")"),"魔法叶")</f>
        <v/>
      </c>
      <c r="K346" s="29">
        <f>F346</f>
        <v/>
      </c>
    </row>
    <row r="347">
      <c r="A347" s="29">
        <f>CONCATENATE("NAME_MOVE_", SUBSTITUTE(SUBSTITUTE(UPPER(B347), " ", ""), "-", ""))</f>
        <v/>
      </c>
      <c r="B347" s="29" t="inlineStr">
        <is>
          <t>Water Sport</t>
        </is>
      </c>
      <c r="C347" s="29" t="inlineStr">
        <is>
          <t>みずあそび</t>
        </is>
      </c>
      <c r="D347" s="29" t="inlineStr">
        <is>
          <t>Tourniquet</t>
        </is>
      </c>
      <c r="E347" s="29" t="inlineStr">
        <is>
          <t>Nassmacher</t>
        </is>
      </c>
      <c r="F347" s="29" t="inlineStr">
        <is>
          <t>Hidrochorro</t>
        </is>
      </c>
      <c r="G347" s="29" t="inlineStr">
        <is>
          <t>Docciascudo</t>
        </is>
      </c>
      <c r="H347" s="29" t="inlineStr">
        <is>
          <t>물놀이</t>
        </is>
      </c>
      <c r="I347" s="29" t="inlineStr">
        <is>
          <t>玩水</t>
        </is>
      </c>
      <c r="J347" s="29">
        <f>I347</f>
        <v/>
      </c>
      <c r="K347" s="29">
        <f>F347</f>
        <v/>
      </c>
    </row>
    <row r="348">
      <c r="A348" s="29">
        <f>CONCATENATE("NAME_MOVE_", SUBSTITUTE(SUBSTITUTE(UPPER(B348), " ", ""), "-", ""))</f>
        <v/>
      </c>
      <c r="B348" s="29" t="inlineStr">
        <is>
          <t>Calm Mind</t>
        </is>
      </c>
      <c r="C348" s="29" t="inlineStr">
        <is>
          <t>めいそう</t>
        </is>
      </c>
      <c r="D348" s="29" t="inlineStr">
        <is>
          <t>Plénitude</t>
        </is>
      </c>
      <c r="E348" s="29" t="inlineStr">
        <is>
          <t>Gedankengut</t>
        </is>
      </c>
      <c r="F348" s="29" t="inlineStr">
        <is>
          <t>Paz Mental</t>
        </is>
      </c>
      <c r="G348" s="29" t="inlineStr">
        <is>
          <t>Calmamente</t>
        </is>
      </c>
      <c r="H348" s="29" t="inlineStr">
        <is>
          <t>명상</t>
        </is>
      </c>
      <c r="I348" s="29" t="inlineStr">
        <is>
          <t>冥想</t>
        </is>
      </c>
      <c r="J348" s="29">
        <f>I348</f>
        <v/>
      </c>
      <c r="K348" s="29">
        <f>F348</f>
        <v/>
      </c>
    </row>
    <row r="349">
      <c r="A349" s="29">
        <f>CONCATENATE("NAME_MOVE_", SUBSTITUTE(SUBSTITUTE(UPPER(B349), " ", ""), "-", ""))</f>
        <v/>
      </c>
      <c r="B349" s="29" t="inlineStr">
        <is>
          <t>Leaf Blade</t>
        </is>
      </c>
      <c r="C349" s="29" t="inlineStr">
        <is>
          <t>リーフブレード</t>
        </is>
      </c>
      <c r="D349" s="29" t="inlineStr">
        <is>
          <t>Lame Feuille</t>
        </is>
      </c>
      <c r="E349" s="29" t="inlineStr">
        <is>
          <t>Laubklinge</t>
        </is>
      </c>
      <c r="F349" s="29" t="inlineStr">
        <is>
          <t>Hoja Aguda</t>
        </is>
      </c>
      <c r="G349" s="29" t="inlineStr">
        <is>
          <t>Fendifoglia</t>
        </is>
      </c>
      <c r="H349" s="29" t="inlineStr">
        <is>
          <t>리프블레이드</t>
        </is>
      </c>
      <c r="I349" s="29" t="inlineStr">
        <is>
          <t>葉刃</t>
        </is>
      </c>
      <c r="J349" s="29">
        <f>IFERROR(__xludf.DUMMYFUNCTION("GOOGLETRANSLATE(I349,""zh_HANT"",""zh_HANS"")"),"叶刃")</f>
        <v/>
      </c>
      <c r="K349" s="29">
        <f>F349</f>
        <v/>
      </c>
    </row>
    <row r="350">
      <c r="A350" s="29">
        <f>CONCATENATE("NAME_MOVE_", SUBSTITUTE(SUBSTITUTE(UPPER(B350), " ", ""), "-", ""))</f>
        <v/>
      </c>
      <c r="B350" s="29" t="inlineStr">
        <is>
          <t>Dragon Dance</t>
        </is>
      </c>
      <c r="C350" s="29" t="inlineStr">
        <is>
          <t>りゅうのまい</t>
        </is>
      </c>
      <c r="D350" s="29" t="inlineStr">
        <is>
          <t>Danse Draco</t>
        </is>
      </c>
      <c r="E350" s="29" t="inlineStr">
        <is>
          <t>Drachentanz</t>
        </is>
      </c>
      <c r="F350" s="29" t="inlineStr">
        <is>
          <t>Danza Dragón</t>
        </is>
      </c>
      <c r="G350" s="29" t="inlineStr">
        <is>
          <t>Dragodanza</t>
        </is>
      </c>
      <c r="H350" s="29" t="inlineStr">
        <is>
          <t>용의춤</t>
        </is>
      </c>
      <c r="I350" s="29" t="inlineStr">
        <is>
          <t>龍之舞</t>
        </is>
      </c>
      <c r="J350" s="29">
        <f>IFERROR(__xludf.DUMMYFUNCTION("GOOGLETRANSLATE(I350,""zh_HANT"",""zh_HANS"")"),"龙之舞")</f>
        <v/>
      </c>
      <c r="K350" s="29">
        <f>F350</f>
        <v/>
      </c>
    </row>
    <row r="351">
      <c r="A351" s="29">
        <f>CONCATENATE("NAME_MOVE_", SUBSTITUTE(SUBSTITUTE(UPPER(B351), " ", ""), "-", ""))</f>
        <v/>
      </c>
      <c r="B351" s="29" t="inlineStr">
        <is>
          <t>Rock Blast</t>
        </is>
      </c>
      <c r="C351" s="29" t="inlineStr">
        <is>
          <t>ロックブラスト</t>
        </is>
      </c>
      <c r="D351" s="29" t="inlineStr">
        <is>
          <t>Boule Roc</t>
        </is>
      </c>
      <c r="E351" s="29" t="inlineStr">
        <is>
          <t>Felswurf</t>
        </is>
      </c>
      <c r="F351" s="29" t="inlineStr">
        <is>
          <t>Pedrada</t>
        </is>
      </c>
      <c r="G351" s="29" t="inlineStr">
        <is>
          <t>Cadutamassi</t>
        </is>
      </c>
      <c r="H351" s="29" t="inlineStr">
        <is>
          <t>락블레스트</t>
        </is>
      </c>
      <c r="I351" s="29" t="inlineStr">
        <is>
          <t>岩石爆擊</t>
        </is>
      </c>
      <c r="J351" s="29">
        <f>IFERROR(__xludf.DUMMYFUNCTION("GOOGLETRANSLATE(I351,""zh_HANT"",""zh_HANS"")"),"岩石爆击")</f>
        <v/>
      </c>
      <c r="K351" s="29">
        <f>F351</f>
        <v/>
      </c>
    </row>
    <row r="352">
      <c r="A352" s="29">
        <f>CONCATENATE("NAME_MOVE_", SUBSTITUTE(SUBSTITUTE(UPPER(B352), " ", ""), "-", ""))</f>
        <v/>
      </c>
      <c r="B352" s="29" t="inlineStr">
        <is>
          <t>Shock Wave</t>
        </is>
      </c>
      <c r="C352" s="29" t="inlineStr">
        <is>
          <t>でんげきは</t>
        </is>
      </c>
      <c r="D352" s="29" t="inlineStr">
        <is>
          <t>Onde de Choc</t>
        </is>
      </c>
      <c r="E352" s="29" t="inlineStr">
        <is>
          <t>Schockwelle</t>
        </is>
      </c>
      <c r="F352" s="29" t="inlineStr">
        <is>
          <t>Onda Voltio</t>
        </is>
      </c>
      <c r="G352" s="29" t="inlineStr">
        <is>
          <t>Ondashock</t>
        </is>
      </c>
      <c r="H352" s="29" t="inlineStr">
        <is>
          <t>전격파</t>
        </is>
      </c>
      <c r="I352" s="29" t="inlineStr">
        <is>
          <t>電擊波</t>
        </is>
      </c>
      <c r="J352" s="29">
        <f>IFERROR(__xludf.DUMMYFUNCTION("GOOGLETRANSLATE(I352,""zh_HANT"",""zh_HANS"")"),"电击波")</f>
        <v/>
      </c>
      <c r="K352" s="29">
        <f>F352</f>
        <v/>
      </c>
    </row>
    <row r="353">
      <c r="A353" s="29">
        <f>CONCATENATE("NAME_MOVE_", SUBSTITUTE(SUBSTITUTE(UPPER(B353), " ", ""), "-", ""))</f>
        <v/>
      </c>
      <c r="B353" s="29" t="inlineStr">
        <is>
          <t>Water Pulse</t>
        </is>
      </c>
      <c r="C353" s="29" t="inlineStr">
        <is>
          <t>みずのはどう</t>
        </is>
      </c>
      <c r="D353" s="29" t="inlineStr">
        <is>
          <t>Vibraqua</t>
        </is>
      </c>
      <c r="E353" s="29" t="inlineStr">
        <is>
          <t>Aquawelle</t>
        </is>
      </c>
      <c r="F353" s="29" t="inlineStr">
        <is>
          <t>Hidropulso</t>
        </is>
      </c>
      <c r="G353" s="29" t="inlineStr">
        <is>
          <t>Idropulsar</t>
        </is>
      </c>
      <c r="H353" s="29" t="inlineStr">
        <is>
          <t>물의파동</t>
        </is>
      </c>
      <c r="I353" s="29" t="inlineStr">
        <is>
          <t>水之波動</t>
        </is>
      </c>
      <c r="J353" s="29">
        <f>IFERROR(__xludf.DUMMYFUNCTION("GOOGLETRANSLATE(I353,""zh_HANT"",""zh_HANS"")"),"水之波动")</f>
        <v/>
      </c>
      <c r="K353" s="29">
        <f>F353</f>
        <v/>
      </c>
    </row>
    <row r="354">
      <c r="A354" s="29">
        <f>CONCATENATE("NAME_MOVE_", SUBSTITUTE(SUBSTITUTE(UPPER(B354), " ", ""), "-", ""))</f>
        <v/>
      </c>
      <c r="B354" s="29" t="inlineStr">
        <is>
          <t>Doom Desire</t>
        </is>
      </c>
      <c r="C354" s="29" t="inlineStr">
        <is>
          <t>はめつのねがい</t>
        </is>
      </c>
      <c r="D354" s="29" t="inlineStr">
        <is>
          <t>Carnareket</t>
        </is>
      </c>
      <c r="E354" s="29" t="inlineStr">
        <is>
          <t>Kismetwunsch</t>
        </is>
      </c>
      <c r="F354" s="29" t="inlineStr">
        <is>
          <t>Deseo Oculto</t>
        </is>
      </c>
      <c r="G354" s="29" t="inlineStr">
        <is>
          <t>Obbliderio</t>
        </is>
      </c>
      <c r="H354" s="29" t="inlineStr">
        <is>
          <t>파멸의소원</t>
        </is>
      </c>
      <c r="I354" s="29" t="inlineStr">
        <is>
          <t>破滅之願</t>
        </is>
      </c>
      <c r="J354" s="29">
        <f>IFERROR(__xludf.DUMMYFUNCTION("GOOGLETRANSLATE(I354,""zh_HANT"",""zh_HANS"")"),"破灭之愿")</f>
        <v/>
      </c>
      <c r="K354" s="29">
        <f>F354</f>
        <v/>
      </c>
    </row>
    <row r="355">
      <c r="A355" s="29">
        <f>CONCATENATE("NAME_MOVE_", SUBSTITUTE(SUBSTITUTE(UPPER(B355), " ", ""), "-", ""))</f>
        <v/>
      </c>
      <c r="B355" s="29" t="inlineStr">
        <is>
          <t>Psycho Boost</t>
        </is>
      </c>
      <c r="C355" s="29" t="inlineStr">
        <is>
          <t>サイコブースト</t>
        </is>
      </c>
      <c r="D355" s="29" t="inlineStr">
        <is>
          <t>Psycho-Boost</t>
        </is>
      </c>
      <c r="E355" s="29" t="inlineStr">
        <is>
          <t>Psyschub</t>
        </is>
      </c>
      <c r="F355" s="29" t="inlineStr">
        <is>
          <t>Psicoataque</t>
        </is>
      </c>
      <c r="G355" s="29" t="inlineStr">
        <is>
          <t>Psicoslancio</t>
        </is>
      </c>
      <c r="H355" s="29" t="inlineStr">
        <is>
          <t>사이코부스트</t>
        </is>
      </c>
      <c r="I355" s="29" t="inlineStr">
        <is>
          <t>精神突進</t>
        </is>
      </c>
      <c r="J355" s="29">
        <f>IFERROR(__xludf.DUMMYFUNCTION("GOOGLETRANSLATE(I355,""zh_HANT"",""zh_HANS"")"),"精神突进")</f>
        <v/>
      </c>
      <c r="K355" s="29">
        <f>F355</f>
        <v/>
      </c>
    </row>
    <row r="356">
      <c r="A356" s="29">
        <f>CONCATENATE("NAME_MOVE_", SUBSTITUTE(SUBSTITUTE(UPPER(B356), " ", ""), "-", ""))</f>
        <v/>
      </c>
      <c r="B356" s="29" t="inlineStr">
        <is>
          <t>Roost</t>
        </is>
      </c>
      <c r="C356" s="29" t="inlineStr">
        <is>
          <t>はねやすめ</t>
        </is>
      </c>
      <c r="D356" s="29" t="inlineStr">
        <is>
          <t>Atterrissage</t>
        </is>
      </c>
      <c r="E356" s="29" t="inlineStr">
        <is>
          <t>Ruheort</t>
        </is>
      </c>
      <c r="F356" s="29" t="inlineStr">
        <is>
          <t>Respiro</t>
        </is>
      </c>
      <c r="G356" s="29" t="inlineStr">
        <is>
          <t>Trespolo</t>
        </is>
      </c>
      <c r="H356" s="29" t="inlineStr">
        <is>
          <t>날개쉬기</t>
        </is>
      </c>
      <c r="I356" s="29" t="inlineStr">
        <is>
          <t>羽棲</t>
        </is>
      </c>
      <c r="J356" s="29">
        <f>IFERROR(__xludf.DUMMYFUNCTION("GOOGLETRANSLATE(I356,""zh_HANT"",""zh_HANS"")"),"羽栖")</f>
        <v/>
      </c>
      <c r="K356" s="29">
        <f>F356</f>
        <v/>
      </c>
    </row>
    <row r="357">
      <c r="A357" s="29">
        <f>CONCATENATE("NAME_MOVE_", SUBSTITUTE(SUBSTITUTE(UPPER(B357), " ", ""), "-", ""))</f>
        <v/>
      </c>
      <c r="B357" s="29" t="inlineStr">
        <is>
          <t>Gravity</t>
        </is>
      </c>
      <c r="C357" s="29" t="inlineStr">
        <is>
          <t>じゅうりょく</t>
        </is>
      </c>
      <c r="D357" s="29" t="inlineStr">
        <is>
          <t>Gravité</t>
        </is>
      </c>
      <c r="E357" s="29" t="inlineStr">
        <is>
          <t>Erdanziehung</t>
        </is>
      </c>
      <c r="F357" s="29" t="inlineStr">
        <is>
          <t>Gravedad</t>
        </is>
      </c>
      <c r="G357" s="29" t="inlineStr">
        <is>
          <t>Gravità</t>
        </is>
      </c>
      <c r="H357" s="29" t="inlineStr">
        <is>
          <t>중력</t>
        </is>
      </c>
      <c r="I357" s="29" t="inlineStr">
        <is>
          <t>重力</t>
        </is>
      </c>
      <c r="J357" s="29">
        <f>I357</f>
        <v/>
      </c>
      <c r="K357" s="29">
        <f>F357</f>
        <v/>
      </c>
    </row>
    <row r="358">
      <c r="A358" s="29">
        <f>CONCATENATE("NAME_MOVE_", SUBSTITUTE(SUBSTITUTE(UPPER(B358), " ", ""), "-", ""))</f>
        <v/>
      </c>
      <c r="B358" s="29" t="inlineStr">
        <is>
          <t>Miracle Eye</t>
        </is>
      </c>
      <c r="C358" s="29" t="inlineStr">
        <is>
          <t>ミラクルアイ</t>
        </is>
      </c>
      <c r="D358" s="29" t="inlineStr">
        <is>
          <t>Œil Miracle</t>
        </is>
      </c>
      <c r="E358" s="29" t="inlineStr">
        <is>
          <t>Wunderauge</t>
        </is>
      </c>
      <c r="F358" s="29" t="inlineStr">
        <is>
          <t>Gran Ojo</t>
        </is>
      </c>
      <c r="G358" s="29" t="inlineStr">
        <is>
          <t>Miracolvista</t>
        </is>
      </c>
      <c r="H358" s="29" t="inlineStr">
        <is>
          <t>미라클아이</t>
        </is>
      </c>
      <c r="I358" s="29" t="inlineStr">
        <is>
          <t>奇跡之眼</t>
        </is>
      </c>
      <c r="J358" s="29">
        <f>IFERROR(__xludf.DUMMYFUNCTION("GOOGLETRANSLATE(I358,""zh_HANT"",""zh_HANS"")"),"奇迹之眼")</f>
        <v/>
      </c>
      <c r="K358" s="29">
        <f>F358</f>
        <v/>
      </c>
    </row>
    <row r="359">
      <c r="A359" s="29">
        <f>CONCATENATE("NAME_MOVE_", SUBSTITUTE(SUBSTITUTE(UPPER(B359), " ", ""), "-", ""))</f>
        <v/>
      </c>
      <c r="B359" s="29" t="inlineStr">
        <is>
          <t>Wake-Up Slap</t>
        </is>
      </c>
      <c r="C359" s="29" t="inlineStr">
        <is>
          <t>めざましビンタ</t>
        </is>
      </c>
      <c r="D359" s="29" t="inlineStr">
        <is>
          <t>Réveil Forcé</t>
        </is>
      </c>
      <c r="E359" s="29" t="inlineStr">
        <is>
          <t>Weckruf</t>
        </is>
      </c>
      <c r="F359" s="29" t="inlineStr">
        <is>
          <t>Espabila</t>
        </is>
      </c>
      <c r="G359" s="29" t="inlineStr">
        <is>
          <t>Svegliopacca</t>
        </is>
      </c>
      <c r="H359" s="29" t="inlineStr">
        <is>
          <t>잠깨움뺨치기</t>
        </is>
      </c>
      <c r="I359" s="29" t="inlineStr">
        <is>
          <t>喚醒巴掌</t>
        </is>
      </c>
      <c r="J359" s="29">
        <f>IFERROR(__xludf.DUMMYFUNCTION("GOOGLETRANSLATE(I359,""zh_HANT"",""zh_HANS"")"),"唤醒巴掌")</f>
        <v/>
      </c>
      <c r="K359" s="29">
        <f>F359</f>
        <v/>
      </c>
    </row>
    <row r="360">
      <c r="A360" s="29">
        <f>CONCATENATE("NAME_MOVE_", SUBSTITUTE(SUBSTITUTE(UPPER(B360), " ", ""), "-", ""))</f>
        <v/>
      </c>
      <c r="B360" s="29" t="inlineStr">
        <is>
          <t>Hammer Arm</t>
        </is>
      </c>
      <c r="C360" s="29" t="inlineStr">
        <is>
          <t>アームハンマー</t>
        </is>
      </c>
      <c r="D360" s="29" t="inlineStr">
        <is>
          <t>Marto-Poing</t>
        </is>
      </c>
      <c r="E360" s="29" t="inlineStr">
        <is>
          <t>Hammerarm</t>
        </is>
      </c>
      <c r="F360" s="29" t="inlineStr">
        <is>
          <t>Machada</t>
        </is>
      </c>
      <c r="G360" s="29" t="inlineStr">
        <is>
          <t>Martelpugno</t>
        </is>
      </c>
      <c r="H360" s="29" t="inlineStr">
        <is>
          <t>암해머</t>
        </is>
      </c>
      <c r="I360" s="29" t="inlineStr">
        <is>
          <t>臂錘</t>
        </is>
      </c>
      <c r="J360" s="29">
        <f>IFERROR(__xludf.DUMMYFUNCTION("GOOGLETRANSLATE(I360,""zh_HANT"",""zh_HANS"")"),"臂锤")</f>
        <v/>
      </c>
      <c r="K360" s="29">
        <f>F360</f>
        <v/>
      </c>
    </row>
    <row r="361">
      <c r="A361" s="29">
        <f>CONCATENATE("NAME_MOVE_", SUBSTITUTE(SUBSTITUTE(UPPER(B361), " ", ""), "-", ""))</f>
        <v/>
      </c>
      <c r="B361" s="29" t="inlineStr">
        <is>
          <t>Gyro Ball</t>
        </is>
      </c>
      <c r="C361" s="29" t="inlineStr">
        <is>
          <t>ジャイロボール</t>
        </is>
      </c>
      <c r="D361" s="29" t="inlineStr">
        <is>
          <t>Gyroballe</t>
        </is>
      </c>
      <c r="E361" s="29" t="inlineStr">
        <is>
          <t>Gyroball</t>
        </is>
      </c>
      <c r="F361" s="29" t="inlineStr">
        <is>
          <t>Giro Bola</t>
        </is>
      </c>
      <c r="G361" s="29" t="inlineStr">
        <is>
          <t>Vortexpalla</t>
        </is>
      </c>
      <c r="H361" s="29" t="inlineStr">
        <is>
          <t>자이로볼</t>
        </is>
      </c>
      <c r="I361" s="29" t="inlineStr">
        <is>
          <t>陀螺球</t>
        </is>
      </c>
      <c r="J361" s="29">
        <f>I361</f>
        <v/>
      </c>
      <c r="K361" s="29">
        <f>F361</f>
        <v/>
      </c>
    </row>
    <row r="362">
      <c r="A362" s="29">
        <f>CONCATENATE("NAME_MOVE_", SUBSTITUTE(SUBSTITUTE(UPPER(B362), " ", ""), "-", ""))</f>
        <v/>
      </c>
      <c r="B362" s="29" t="inlineStr">
        <is>
          <t>Healing Wish</t>
        </is>
      </c>
      <c r="C362" s="29" t="inlineStr">
        <is>
          <t>いやしのねがい</t>
        </is>
      </c>
      <c r="D362" s="29" t="inlineStr">
        <is>
          <t>Vœu Soin</t>
        </is>
      </c>
      <c r="E362" s="29" t="inlineStr">
        <is>
          <t>Heilopfer</t>
        </is>
      </c>
      <c r="F362" s="29" t="inlineStr">
        <is>
          <t>Deseo Cura</t>
        </is>
      </c>
      <c r="G362" s="29" t="inlineStr">
        <is>
          <t>Curardore</t>
        </is>
      </c>
      <c r="H362" s="29" t="inlineStr">
        <is>
          <t>치유소원</t>
        </is>
      </c>
      <c r="I362" s="29" t="inlineStr">
        <is>
          <t>治癒之願</t>
        </is>
      </c>
      <c r="J362" s="29">
        <f>IFERROR(__xludf.DUMMYFUNCTION("GOOGLETRANSLATE(I362,""zh_HANT"",""zh_HANS"")"),"治愈之愿")</f>
        <v/>
      </c>
      <c r="K362" s="29">
        <f>F362</f>
        <v/>
      </c>
    </row>
    <row r="363">
      <c r="A363" s="29">
        <f>CONCATENATE("NAME_MOVE_", SUBSTITUTE(SUBSTITUTE(UPPER(B363), " ", ""), "-", ""))</f>
        <v/>
      </c>
      <c r="B363" s="29" t="inlineStr">
        <is>
          <t>Brine</t>
        </is>
      </c>
      <c r="C363" s="29" t="inlineStr">
        <is>
          <t>しおみず</t>
        </is>
      </c>
      <c r="D363" s="29" t="inlineStr">
        <is>
          <t>Saumure</t>
        </is>
      </c>
      <c r="E363" s="29" t="inlineStr">
        <is>
          <t>Lake</t>
        </is>
      </c>
      <c r="F363" s="29" t="inlineStr">
        <is>
          <t>Salmuera</t>
        </is>
      </c>
      <c r="G363" s="29" t="inlineStr">
        <is>
          <t>Acquadisale</t>
        </is>
      </c>
      <c r="H363" s="29" t="inlineStr">
        <is>
          <t>소금물</t>
        </is>
      </c>
      <c r="I363" s="29" t="inlineStr">
        <is>
          <t>鹽水</t>
        </is>
      </c>
      <c r="J363" s="29">
        <f>IFERROR(__xludf.DUMMYFUNCTION("GOOGLETRANSLATE(I363,""zh_HANT"",""zh_HANS"")"),"盐水")</f>
        <v/>
      </c>
      <c r="K363" s="29">
        <f>F363</f>
        <v/>
      </c>
    </row>
    <row r="364">
      <c r="A364" s="29">
        <f>CONCATENATE("NAME_MOVE_", SUBSTITUTE(SUBSTITUTE(UPPER(B364), " ", ""), "-", ""))</f>
        <v/>
      </c>
      <c r="B364" s="29" t="inlineStr">
        <is>
          <t>Natural Gift</t>
        </is>
      </c>
      <c r="C364" s="29" t="inlineStr">
        <is>
          <t>しぜんのめぐみ</t>
        </is>
      </c>
      <c r="D364" s="29" t="inlineStr">
        <is>
          <t>Don Naturel</t>
        </is>
      </c>
      <c r="E364" s="29" t="inlineStr">
        <is>
          <t>Beerenkräfte</t>
        </is>
      </c>
      <c r="F364" s="29" t="inlineStr">
        <is>
          <t>Don Natural</t>
        </is>
      </c>
      <c r="G364" s="29" t="inlineStr">
        <is>
          <t>Dononaturale</t>
        </is>
      </c>
      <c r="H364" s="29" t="inlineStr">
        <is>
          <t>자연의은혜</t>
        </is>
      </c>
      <c r="I364" s="29" t="inlineStr">
        <is>
          <t>自然之恩</t>
        </is>
      </c>
      <c r="J364" s="29">
        <f>I364</f>
        <v/>
      </c>
      <c r="K364" s="29">
        <f>F364</f>
        <v/>
      </c>
    </row>
    <row r="365">
      <c r="A365" s="29">
        <f>CONCATENATE("NAME_MOVE_", SUBSTITUTE(SUBSTITUTE(UPPER(B365), " ", ""), "-", ""))</f>
        <v/>
      </c>
      <c r="B365" s="29" t="inlineStr">
        <is>
          <t>Feint</t>
        </is>
      </c>
      <c r="C365" s="29" t="inlineStr">
        <is>
          <t>フェイント</t>
        </is>
      </c>
      <c r="D365" s="29" t="inlineStr">
        <is>
          <t>Ruse</t>
        </is>
      </c>
      <c r="E365" s="29" t="inlineStr">
        <is>
          <t>Offenlegung</t>
        </is>
      </c>
      <c r="F365" s="29" t="inlineStr">
        <is>
          <t>Amago</t>
        </is>
      </c>
      <c r="G365" s="29" t="inlineStr">
        <is>
          <t>Fintoattacco</t>
        </is>
      </c>
      <c r="H365" s="29" t="inlineStr">
        <is>
          <t>페인트</t>
        </is>
      </c>
      <c r="I365" s="29" t="inlineStr">
        <is>
          <t>佯攻</t>
        </is>
      </c>
      <c r="J365" s="29">
        <f>I365</f>
        <v/>
      </c>
      <c r="K365" s="29">
        <f>F365</f>
        <v/>
      </c>
    </row>
    <row r="366">
      <c r="A366" s="29">
        <f>CONCATENATE("NAME_MOVE_", SUBSTITUTE(SUBSTITUTE(UPPER(B366), " ", ""), "-", ""))</f>
        <v/>
      </c>
      <c r="B366" s="29" t="inlineStr">
        <is>
          <t>Pluck</t>
        </is>
      </c>
      <c r="C366" s="29" t="inlineStr">
        <is>
          <t>ついばむ</t>
        </is>
      </c>
      <c r="D366" s="29" t="inlineStr">
        <is>
          <t>Picore</t>
        </is>
      </c>
      <c r="E366" s="29" t="inlineStr">
        <is>
          <t>Pflücker</t>
        </is>
      </c>
      <c r="F366" s="29" t="inlineStr">
        <is>
          <t>Picoteo</t>
        </is>
      </c>
      <c r="G366" s="29" t="inlineStr">
        <is>
          <t>Spennata</t>
        </is>
      </c>
      <c r="H366" s="29" t="inlineStr">
        <is>
          <t>쪼아대기</t>
        </is>
      </c>
      <c r="I366" s="29" t="inlineStr">
        <is>
          <t>啄食</t>
        </is>
      </c>
      <c r="J366" s="29">
        <f>I366</f>
        <v/>
      </c>
      <c r="K366" s="29">
        <f>F366</f>
        <v/>
      </c>
    </row>
    <row r="367">
      <c r="A367" s="29">
        <f>CONCATENATE("NAME_MOVE_", SUBSTITUTE(SUBSTITUTE(UPPER(B367), " ", ""), "-", ""))</f>
        <v/>
      </c>
      <c r="B367" s="29" t="inlineStr">
        <is>
          <t>Tailwind</t>
        </is>
      </c>
      <c r="C367" s="29" t="inlineStr">
        <is>
          <t>おいかぜ</t>
        </is>
      </c>
      <c r="D367" s="29" t="inlineStr">
        <is>
          <t>Vent Arrière</t>
        </is>
      </c>
      <c r="E367" s="29" t="inlineStr">
        <is>
          <t>Rückenwind</t>
        </is>
      </c>
      <c r="F367" s="29" t="inlineStr">
        <is>
          <t>Viento Afín</t>
        </is>
      </c>
      <c r="G367" s="29" t="inlineStr">
        <is>
          <t>Ventoincoda</t>
        </is>
      </c>
      <c r="H367" s="29" t="inlineStr">
        <is>
          <t>순풍</t>
        </is>
      </c>
      <c r="I367" s="29" t="inlineStr">
        <is>
          <t>順風</t>
        </is>
      </c>
      <c r="J367" s="29">
        <f>IFERROR(__xludf.DUMMYFUNCTION("GOOGLETRANSLATE(I367,""zh_HANT"",""zh_HANS"")"),"顺风")</f>
        <v/>
      </c>
      <c r="K367" s="29">
        <f>F367</f>
        <v/>
      </c>
    </row>
    <row r="368">
      <c r="A368" s="29">
        <f>CONCATENATE("NAME_MOVE_", SUBSTITUTE(SUBSTITUTE(UPPER(B368), " ", ""), "-", ""))</f>
        <v/>
      </c>
      <c r="B368" s="29" t="inlineStr">
        <is>
          <t>Acupressure</t>
        </is>
      </c>
      <c r="C368" s="29" t="inlineStr">
        <is>
          <t>つぼをつく</t>
        </is>
      </c>
      <c r="D368" s="29" t="inlineStr">
        <is>
          <t>Acupression</t>
        </is>
      </c>
      <c r="E368" s="29" t="inlineStr">
        <is>
          <t>Akupressur</t>
        </is>
      </c>
      <c r="F368" s="29" t="inlineStr">
        <is>
          <t>Acupresión</t>
        </is>
      </c>
      <c r="G368" s="29" t="inlineStr">
        <is>
          <t>Acupressione</t>
        </is>
      </c>
      <c r="H368" s="29" t="inlineStr">
        <is>
          <t>경혈찌르기</t>
        </is>
      </c>
      <c r="I368" s="29" t="inlineStr">
        <is>
          <t>點穴</t>
        </is>
      </c>
      <c r="J368" s="29">
        <f>IFERROR(__xludf.DUMMYFUNCTION("GOOGLETRANSLATE(I368,""zh_HANT"",""zh_HANS"")"),"点穴")</f>
        <v/>
      </c>
      <c r="K368" s="29">
        <f>F368</f>
        <v/>
      </c>
    </row>
    <row r="369">
      <c r="A369" s="29">
        <f>CONCATENATE("NAME_MOVE_", SUBSTITUTE(SUBSTITUTE(UPPER(B369), " ", ""), "-", ""))</f>
        <v/>
      </c>
      <c r="B369" s="29" t="inlineStr">
        <is>
          <t>Metal Burst</t>
        </is>
      </c>
      <c r="C369" s="29" t="inlineStr">
        <is>
          <t>メタルバースト</t>
        </is>
      </c>
      <c r="D369" s="29" t="inlineStr">
        <is>
          <t>Fulmifer</t>
        </is>
      </c>
      <c r="E369" s="29" t="inlineStr">
        <is>
          <t>Metallstoß</t>
        </is>
      </c>
      <c r="F369" s="29" t="inlineStr">
        <is>
          <t>Repr. Metal</t>
        </is>
      </c>
      <c r="G369" s="29" t="inlineStr">
        <is>
          <t>Metalscoppio</t>
        </is>
      </c>
      <c r="H369" s="29" t="inlineStr">
        <is>
          <t>메탈버스트</t>
        </is>
      </c>
      <c r="I369" s="29" t="inlineStr">
        <is>
          <t>金屬爆炸</t>
        </is>
      </c>
      <c r="J369" s="29">
        <f>IFERROR(__xludf.DUMMYFUNCTION("GOOGLETRANSLATE(I369,""zh_HANT"",""zh_HANS"")"),"金属爆炸")</f>
        <v/>
      </c>
      <c r="K369" s="29">
        <f>F369</f>
        <v/>
      </c>
    </row>
    <row r="370">
      <c r="A370" s="29">
        <f>CONCATENATE("NAME_MOVE_", SUBSTITUTE(SUBSTITUTE(UPPER(B370), " ", ""), "-", ""))</f>
        <v/>
      </c>
      <c r="B370" s="29" t="inlineStr">
        <is>
          <t>U-turn</t>
        </is>
      </c>
      <c r="C370" s="29" t="inlineStr">
        <is>
          <t>とんぼがえり</t>
        </is>
      </c>
      <c r="D370" s="29" t="inlineStr">
        <is>
          <t>Demi-Tour</t>
        </is>
      </c>
      <c r="E370" s="29" t="inlineStr">
        <is>
          <t>Kehrtwende</t>
        </is>
      </c>
      <c r="F370" s="29" t="inlineStr">
        <is>
          <t>Ida y Vuelta</t>
        </is>
      </c>
      <c r="G370" s="29" t="inlineStr">
        <is>
          <t>Retromarcia</t>
        </is>
      </c>
      <c r="H370" s="29" t="inlineStr">
        <is>
          <t>유턴</t>
        </is>
      </c>
      <c r="I370" s="29" t="inlineStr">
        <is>
          <t>急速折返</t>
        </is>
      </c>
      <c r="J370" s="29">
        <f>I370</f>
        <v/>
      </c>
      <c r="K370" s="29">
        <f>F370</f>
        <v/>
      </c>
    </row>
    <row r="371">
      <c r="A371" s="29">
        <f>CONCATENATE("NAME_MOVE_", SUBSTITUTE(SUBSTITUTE(UPPER(B371), " ", ""), "-", ""))</f>
        <v/>
      </c>
      <c r="B371" s="29" t="inlineStr">
        <is>
          <t>Close Combat</t>
        </is>
      </c>
      <c r="C371" s="29" t="inlineStr">
        <is>
          <t>インファイト</t>
        </is>
      </c>
      <c r="D371" s="29" t="inlineStr">
        <is>
          <t>Close Combat</t>
        </is>
      </c>
      <c r="E371" s="29" t="inlineStr">
        <is>
          <t>Nahkampf</t>
        </is>
      </c>
      <c r="F371" s="29" t="inlineStr">
        <is>
          <t>A Bocajarro</t>
        </is>
      </c>
      <c r="G371" s="29" t="inlineStr">
        <is>
          <t>Zuffa</t>
        </is>
      </c>
      <c r="H371" s="29" t="inlineStr">
        <is>
          <t>인파이트</t>
        </is>
      </c>
      <c r="I371" s="29" t="inlineStr">
        <is>
          <t>近身戰</t>
        </is>
      </c>
      <c r="J371" s="29">
        <f>IFERROR(__xludf.DUMMYFUNCTION("GOOGLETRANSLATE(I371,""zh_HANT"",""zh_HANS"")"),"近身战")</f>
        <v/>
      </c>
      <c r="K371" s="29">
        <f>F371</f>
        <v/>
      </c>
    </row>
    <row r="372">
      <c r="A372" s="29">
        <f>CONCATENATE("NAME_MOVE_", SUBSTITUTE(SUBSTITUTE(UPPER(B372), " ", ""), "-", ""))</f>
        <v/>
      </c>
      <c r="B372" s="29" t="inlineStr">
        <is>
          <t>Payback</t>
        </is>
      </c>
      <c r="C372" s="29" t="inlineStr">
        <is>
          <t>しっぺがえし</t>
        </is>
      </c>
      <c r="D372" s="29" t="inlineStr">
        <is>
          <t>Représailles</t>
        </is>
      </c>
      <c r="E372" s="29" t="inlineStr">
        <is>
          <t>Gegenstoß</t>
        </is>
      </c>
      <c r="F372" s="29" t="inlineStr">
        <is>
          <t>Vendetta</t>
        </is>
      </c>
      <c r="G372" s="29" t="inlineStr">
        <is>
          <t>Rivincita</t>
        </is>
      </c>
      <c r="H372" s="29" t="inlineStr">
        <is>
          <t>보복</t>
        </is>
      </c>
      <c r="I372" s="29" t="inlineStr">
        <is>
          <t>以牙還牙</t>
        </is>
      </c>
      <c r="J372" s="29">
        <f>IFERROR(__xludf.DUMMYFUNCTION("GOOGLETRANSLATE(I372,""zh_HANT"",""zh_HANS"")"),"以牙还牙")</f>
        <v/>
      </c>
      <c r="K372" s="29">
        <f>F372</f>
        <v/>
      </c>
    </row>
    <row r="373">
      <c r="A373" s="29">
        <f>CONCATENATE("NAME_MOVE_", SUBSTITUTE(SUBSTITUTE(UPPER(B373), " ", ""), "-", ""))</f>
        <v/>
      </c>
      <c r="B373" s="29" t="inlineStr">
        <is>
          <t>Assurance</t>
        </is>
      </c>
      <c r="C373" s="29" t="inlineStr">
        <is>
          <t>ダメおし</t>
        </is>
      </c>
      <c r="D373" s="29" t="inlineStr">
        <is>
          <t>Assurance</t>
        </is>
      </c>
      <c r="E373" s="29" t="inlineStr">
        <is>
          <t>Gewissheit</t>
        </is>
      </c>
      <c r="F373" s="29" t="inlineStr">
        <is>
          <t>Buena Baza</t>
        </is>
      </c>
      <c r="G373" s="29" t="inlineStr">
        <is>
          <t>Garanzia</t>
        </is>
      </c>
      <c r="H373" s="29" t="inlineStr">
        <is>
          <t>승부굳히기</t>
        </is>
      </c>
      <c r="I373" s="29" t="inlineStr">
        <is>
          <t>惡意追擊</t>
        </is>
      </c>
      <c r="J373" s="29">
        <f>IFERROR(__xludf.DUMMYFUNCTION("GOOGLETRANSLATE(I373,""zh_HANT"",""zh_HANS"")"),"恶意追击")</f>
        <v/>
      </c>
      <c r="K373" s="29">
        <f>F373</f>
        <v/>
      </c>
    </row>
    <row r="374">
      <c r="A374" s="29">
        <f>CONCATENATE("NAME_MOVE_", SUBSTITUTE(SUBSTITUTE(UPPER(B374), " ", ""), "-", ""))</f>
        <v/>
      </c>
      <c r="B374" s="29" t="inlineStr">
        <is>
          <t>Embargo</t>
        </is>
      </c>
      <c r="C374" s="29" t="inlineStr">
        <is>
          <t>さしおさえ</t>
        </is>
      </c>
      <c r="D374" s="29" t="inlineStr">
        <is>
          <t>Embargo</t>
        </is>
      </c>
      <c r="E374" s="29" t="inlineStr">
        <is>
          <t>Itemsperre</t>
        </is>
      </c>
      <c r="F374" s="29" t="inlineStr">
        <is>
          <t>Embargo</t>
        </is>
      </c>
      <c r="G374" s="29" t="inlineStr">
        <is>
          <t>Divieto</t>
        </is>
      </c>
      <c r="H374" s="29" t="inlineStr">
        <is>
          <t>금제</t>
        </is>
      </c>
      <c r="I374" s="29" t="inlineStr">
        <is>
          <t>查封</t>
        </is>
      </c>
      <c r="J374" s="29">
        <f>I374</f>
        <v/>
      </c>
      <c r="K374" s="29">
        <f>F374</f>
        <v/>
      </c>
    </row>
    <row r="375">
      <c r="A375" s="29">
        <f>CONCATENATE("NAME_MOVE_", SUBSTITUTE(SUBSTITUTE(UPPER(B375), " ", ""), "-", ""))</f>
        <v/>
      </c>
      <c r="B375" s="29" t="inlineStr">
        <is>
          <t>Fling</t>
        </is>
      </c>
      <c r="C375" s="29" t="inlineStr">
        <is>
          <t>なげつける</t>
        </is>
      </c>
      <c r="D375" s="29" t="inlineStr">
        <is>
          <t>Dégommage</t>
        </is>
      </c>
      <c r="E375" s="29" t="inlineStr">
        <is>
          <t>Schleuder</t>
        </is>
      </c>
      <c r="F375" s="29" t="inlineStr">
        <is>
          <t>Lanzamiento</t>
        </is>
      </c>
      <c r="G375" s="29" t="inlineStr">
        <is>
          <t>Lancio</t>
        </is>
      </c>
      <c r="H375" s="29" t="inlineStr">
        <is>
          <t>내던지기</t>
        </is>
      </c>
      <c r="I375" s="29" t="inlineStr">
        <is>
          <t>投擲</t>
        </is>
      </c>
      <c r="J375" s="29">
        <f>IFERROR(__xludf.DUMMYFUNCTION("GOOGLETRANSLATE(I375,""zh_HANT"",""zh_HANS"")"),"投掷")</f>
        <v/>
      </c>
      <c r="K375" s="29">
        <f>F375</f>
        <v/>
      </c>
    </row>
    <row r="376">
      <c r="A376" s="29">
        <f>CONCATENATE("NAME_MOVE_", SUBSTITUTE(SUBSTITUTE(UPPER(B376), " ", ""), "-", ""))</f>
        <v/>
      </c>
      <c r="B376" s="29" t="inlineStr">
        <is>
          <t>Psycho Shift</t>
        </is>
      </c>
      <c r="C376" s="29" t="inlineStr">
        <is>
          <t>サイコシフト</t>
        </is>
      </c>
      <c r="D376" s="29" t="inlineStr">
        <is>
          <t>Échange Psy</t>
        </is>
      </c>
      <c r="E376" s="29" t="inlineStr">
        <is>
          <t>Psybann</t>
        </is>
      </c>
      <c r="F376" s="29" t="inlineStr">
        <is>
          <t>Psicocambio</t>
        </is>
      </c>
      <c r="G376" s="29" t="inlineStr">
        <is>
          <t>Psicotrasfer</t>
        </is>
      </c>
      <c r="H376" s="29" t="inlineStr">
        <is>
          <t>사이코시프트</t>
        </is>
      </c>
      <c r="I376" s="29" t="inlineStr">
        <is>
          <t>精神轉移</t>
        </is>
      </c>
      <c r="J376" s="29">
        <f>IFERROR(__xludf.DUMMYFUNCTION("GOOGLETRANSLATE(I376,""zh_HANT"",""zh_HANS"")"),"精神转移")</f>
        <v/>
      </c>
      <c r="K376" s="29">
        <f>F376</f>
        <v/>
      </c>
    </row>
    <row r="377">
      <c r="A377" s="29">
        <f>CONCATENATE("NAME_MOVE_", SUBSTITUTE(SUBSTITUTE(UPPER(B377), " ", ""), "-", ""))</f>
        <v/>
      </c>
      <c r="B377" s="29" t="inlineStr">
        <is>
          <t>Trump Card</t>
        </is>
      </c>
      <c r="C377" s="29" t="inlineStr">
        <is>
          <t>きりふだ</t>
        </is>
      </c>
      <c r="D377" s="29" t="inlineStr">
        <is>
          <t>Atout</t>
        </is>
      </c>
      <c r="E377" s="29" t="inlineStr">
        <is>
          <t>Trumpfkarte</t>
        </is>
      </c>
      <c r="F377" s="29" t="inlineStr">
        <is>
          <t>As Oculto</t>
        </is>
      </c>
      <c r="G377" s="29" t="inlineStr">
        <is>
          <t>Asso</t>
        </is>
      </c>
      <c r="H377" s="29" t="inlineStr">
        <is>
          <t>마지막수단</t>
        </is>
      </c>
      <c r="I377" s="29" t="inlineStr">
        <is>
          <t>王牌</t>
        </is>
      </c>
      <c r="J377" s="29">
        <f>I377</f>
        <v/>
      </c>
      <c r="K377" s="29">
        <f>F377</f>
        <v/>
      </c>
    </row>
    <row r="378">
      <c r="A378" s="29">
        <f>CONCATENATE("NAME_MOVE_", SUBSTITUTE(SUBSTITUTE(UPPER(B378), " ", ""), "-", ""))</f>
        <v/>
      </c>
      <c r="B378" s="29" t="inlineStr">
        <is>
          <t>Heal Block</t>
        </is>
      </c>
      <c r="C378" s="29" t="inlineStr">
        <is>
          <t>かいふくふうじ</t>
        </is>
      </c>
      <c r="D378" s="29" t="inlineStr">
        <is>
          <t>Anti-Soin</t>
        </is>
      </c>
      <c r="E378" s="29" t="inlineStr">
        <is>
          <t>Heilblockade</t>
        </is>
      </c>
      <c r="F378" s="29" t="inlineStr">
        <is>
          <t>Anticura</t>
        </is>
      </c>
      <c r="G378" s="29" t="inlineStr">
        <is>
          <t>Anticura</t>
        </is>
      </c>
      <c r="H378" s="29" t="inlineStr">
        <is>
          <t>회복봉인</t>
        </is>
      </c>
      <c r="I378" s="29" t="inlineStr">
        <is>
          <t>回復封鎖</t>
        </is>
      </c>
      <c r="J378" s="29">
        <f>IFERROR(__xludf.DUMMYFUNCTION("GOOGLETRANSLATE(I378,""zh_HANT"",""zh_HANS"")"),"回复封锁")</f>
        <v/>
      </c>
      <c r="K378" s="29">
        <f>F378</f>
        <v/>
      </c>
    </row>
    <row r="379">
      <c r="A379" s="29">
        <f>CONCATENATE("NAME_MOVE_", SUBSTITUTE(SUBSTITUTE(UPPER(B379), " ", ""), "-", ""))</f>
        <v/>
      </c>
      <c r="B379" s="29" t="inlineStr">
        <is>
          <t>Wring Out</t>
        </is>
      </c>
      <c r="C379" s="29" t="inlineStr">
        <is>
          <t>しぼりとる</t>
        </is>
      </c>
      <c r="D379" s="29" t="inlineStr">
        <is>
          <t>Essorage</t>
        </is>
      </c>
      <c r="E379" s="29" t="inlineStr">
        <is>
          <t>Auswringen</t>
        </is>
      </c>
      <c r="F379" s="29" t="inlineStr">
        <is>
          <t>Estrujón</t>
        </is>
      </c>
      <c r="G379" s="29" t="inlineStr">
        <is>
          <t>Strizzata</t>
        </is>
      </c>
      <c r="H379" s="29" t="inlineStr">
        <is>
          <t>쥐어짜기</t>
        </is>
      </c>
      <c r="I379" s="29" t="inlineStr">
        <is>
          <t>絞緊</t>
        </is>
      </c>
      <c r="J379" s="29">
        <f>IFERROR(__xludf.DUMMYFUNCTION("GOOGLETRANSLATE(I379,""zh_HANT"",""zh_HANS"")"),"绞紧")</f>
        <v/>
      </c>
      <c r="K379" s="29">
        <f>F379</f>
        <v/>
      </c>
    </row>
    <row r="380">
      <c r="A380" s="29">
        <f>CONCATENATE("NAME_MOVE_", SUBSTITUTE(SUBSTITUTE(UPPER(B380), " ", ""), "-", ""))</f>
        <v/>
      </c>
      <c r="B380" s="29" t="inlineStr">
        <is>
          <t>Power Trick</t>
        </is>
      </c>
      <c r="C380" s="29" t="inlineStr">
        <is>
          <t>パワートリック</t>
        </is>
      </c>
      <c r="D380" s="29" t="inlineStr">
        <is>
          <t>Astuce Force</t>
        </is>
      </c>
      <c r="E380" s="29" t="inlineStr">
        <is>
          <t>Krafttrick</t>
        </is>
      </c>
      <c r="F380" s="29" t="inlineStr">
        <is>
          <t>Truco Fuerza</t>
        </is>
      </c>
      <c r="G380" s="29" t="inlineStr">
        <is>
          <t>Ingannoforza</t>
        </is>
      </c>
      <c r="H380" s="29" t="inlineStr">
        <is>
          <t>파워트릭</t>
        </is>
      </c>
      <c r="I380" s="29" t="inlineStr">
        <is>
          <t>力量戲法</t>
        </is>
      </c>
      <c r="J380" s="29">
        <f>IFERROR(__xludf.DUMMYFUNCTION("GOOGLETRANSLATE(I380,""zh_HANT"",""zh_HANS"")"),"力量戏法")</f>
        <v/>
      </c>
      <c r="K380" s="29">
        <f>F380</f>
        <v/>
      </c>
    </row>
    <row r="381">
      <c r="A381" s="29">
        <f>CONCATENATE("NAME_MOVE_", SUBSTITUTE(SUBSTITUTE(UPPER(B381), " ", ""), "-", ""))</f>
        <v/>
      </c>
      <c r="B381" s="29" t="inlineStr">
        <is>
          <t>Gastro Acid</t>
        </is>
      </c>
      <c r="C381" s="29" t="inlineStr">
        <is>
          <t>いえき</t>
        </is>
      </c>
      <c r="D381" s="29" t="inlineStr">
        <is>
          <t>Suc Digestif</t>
        </is>
      </c>
      <c r="E381" s="29" t="inlineStr">
        <is>
          <t>Magensäfte</t>
        </is>
      </c>
      <c r="F381" s="29" t="inlineStr">
        <is>
          <t>Bilis</t>
        </is>
      </c>
      <c r="G381" s="29" t="inlineStr">
        <is>
          <t>Gastroacido</t>
        </is>
      </c>
      <c r="H381" s="29" t="inlineStr">
        <is>
          <t>위액</t>
        </is>
      </c>
      <c r="I381" s="29" t="inlineStr">
        <is>
          <t>胃液</t>
        </is>
      </c>
      <c r="J381" s="29">
        <f>I381</f>
        <v/>
      </c>
      <c r="K381" s="29">
        <f>F381</f>
        <v/>
      </c>
    </row>
    <row r="382">
      <c r="A382" s="29">
        <f>CONCATENATE("NAME_MOVE_", SUBSTITUTE(SUBSTITUTE(UPPER(B382), " ", ""), "-", ""))</f>
        <v/>
      </c>
      <c r="B382" s="29" t="inlineStr">
        <is>
          <t>Lucky Chant</t>
        </is>
      </c>
      <c r="C382" s="29" t="inlineStr">
        <is>
          <t>おまじない</t>
        </is>
      </c>
      <c r="D382" s="29" t="inlineStr">
        <is>
          <t>Air Veinard</t>
        </is>
      </c>
      <c r="E382" s="29" t="inlineStr">
        <is>
          <t>Beschwörung</t>
        </is>
      </c>
      <c r="F382" s="29" t="inlineStr">
        <is>
          <t>Conjuro</t>
        </is>
      </c>
      <c r="G382" s="29" t="inlineStr">
        <is>
          <t>Fortuncanto</t>
        </is>
      </c>
      <c r="H382" s="29" t="inlineStr">
        <is>
          <t>주술</t>
        </is>
      </c>
      <c r="I382" s="29" t="inlineStr">
        <is>
          <t>幸運咒語</t>
        </is>
      </c>
      <c r="J382" s="29">
        <f>IFERROR(__xludf.DUMMYFUNCTION("GOOGLETRANSLATE(I382,""zh_HANT"",""zh_HANS"")"),"幸运咒语")</f>
        <v/>
      </c>
      <c r="K382" s="29">
        <f>F382</f>
        <v/>
      </c>
    </row>
    <row r="383">
      <c r="A383" s="29">
        <f>CONCATENATE("NAME_MOVE_", SUBSTITUTE(SUBSTITUTE(UPPER(B383), " ", ""), "-", ""))</f>
        <v/>
      </c>
      <c r="B383" s="29" t="inlineStr">
        <is>
          <t>Me First</t>
        </is>
      </c>
      <c r="C383" s="29" t="inlineStr">
        <is>
          <t>さきどり</t>
        </is>
      </c>
      <c r="D383" s="29" t="inlineStr">
        <is>
          <t>Moi d'Abord</t>
        </is>
      </c>
      <c r="E383" s="29" t="inlineStr">
        <is>
          <t>Egotrip</t>
        </is>
      </c>
      <c r="F383" s="29" t="inlineStr">
        <is>
          <t>Yo Primero</t>
        </is>
      </c>
      <c r="G383" s="29" t="inlineStr">
        <is>
          <t>Precedenza</t>
        </is>
      </c>
      <c r="H383" s="29" t="inlineStr">
        <is>
          <t>선취</t>
        </is>
      </c>
      <c r="I383" s="29" t="inlineStr">
        <is>
          <t>幸運咒語</t>
        </is>
      </c>
      <c r="J383" s="29">
        <f>IFERROR(__xludf.DUMMYFUNCTION("GOOGLETRANSLATE(I383,""zh_HANT"",""zh_HANS"")"),"幸运咒语")</f>
        <v/>
      </c>
      <c r="K383" s="29">
        <f>F383</f>
        <v/>
      </c>
    </row>
    <row r="384">
      <c r="A384" s="29">
        <f>CONCATENATE("NAME_MOVE_", SUBSTITUTE(SUBSTITUTE(UPPER(B384), " ", ""), "-", ""))</f>
        <v/>
      </c>
      <c r="B384" s="29" t="inlineStr">
        <is>
          <t>Copycat</t>
        </is>
      </c>
      <c r="C384" s="29" t="inlineStr">
        <is>
          <t>まねっこ</t>
        </is>
      </c>
      <c r="D384" s="29" t="inlineStr">
        <is>
          <t>Photocopie</t>
        </is>
      </c>
      <c r="E384" s="29" t="inlineStr">
        <is>
          <t>Imitator</t>
        </is>
      </c>
      <c r="F384" s="29" t="inlineStr">
        <is>
          <t>Copión</t>
        </is>
      </c>
      <c r="G384" s="29" t="inlineStr">
        <is>
          <t>Copione</t>
        </is>
      </c>
      <c r="H384" s="29" t="inlineStr">
        <is>
          <t>흉내쟁이</t>
        </is>
      </c>
      <c r="I384" s="29" t="inlineStr">
        <is>
          <t>仿效</t>
        </is>
      </c>
      <c r="J384" s="29">
        <f>I384</f>
        <v/>
      </c>
      <c r="K384" s="29">
        <f>F384</f>
        <v/>
      </c>
    </row>
    <row r="385">
      <c r="A385" s="29">
        <f>CONCATENATE("NAME_MOVE_", SUBSTITUTE(SUBSTITUTE(UPPER(B385), " ", ""), "-", ""))</f>
        <v/>
      </c>
      <c r="B385" s="29" t="inlineStr">
        <is>
          <t>Power Swap</t>
        </is>
      </c>
      <c r="C385" s="29" t="inlineStr">
        <is>
          <t>パワースワップ</t>
        </is>
      </c>
      <c r="D385" s="29" t="inlineStr">
        <is>
          <t>Permuforce</t>
        </is>
      </c>
      <c r="E385" s="29" t="inlineStr">
        <is>
          <t>Krafttausch</t>
        </is>
      </c>
      <c r="F385" s="29" t="inlineStr">
        <is>
          <t>Cambiafuerza</t>
        </is>
      </c>
      <c r="G385" s="29" t="inlineStr">
        <is>
          <t>Barattoforza</t>
        </is>
      </c>
      <c r="H385" s="29" t="inlineStr">
        <is>
          <t>파워스웹</t>
        </is>
      </c>
      <c r="I385" s="29" t="inlineStr">
        <is>
          <t>力量互換</t>
        </is>
      </c>
      <c r="J385" s="29">
        <f>IFERROR(__xludf.DUMMYFUNCTION("GOOGLETRANSLATE(I385,""zh_HANT"",""zh_HANS"")"),"力量互换")</f>
        <v/>
      </c>
      <c r="K385" s="29">
        <f>F385</f>
        <v/>
      </c>
    </row>
    <row r="386">
      <c r="A386" s="29">
        <f>CONCATENATE("NAME_MOVE_", SUBSTITUTE(SUBSTITUTE(UPPER(B386), " ", ""), "-", ""))</f>
        <v/>
      </c>
      <c r="B386" s="29" t="inlineStr">
        <is>
          <t>Guard Swap</t>
        </is>
      </c>
      <c r="C386" s="29" t="inlineStr">
        <is>
          <t>ガードスワップ</t>
        </is>
      </c>
      <c r="D386" s="29" t="inlineStr">
        <is>
          <t>Permugarde</t>
        </is>
      </c>
      <c r="E386" s="29" t="inlineStr">
        <is>
          <t>Schutztausch</t>
        </is>
      </c>
      <c r="F386" s="29" t="inlineStr">
        <is>
          <t>Cambiadefensa</t>
        </is>
      </c>
      <c r="G386" s="29" t="inlineStr">
        <is>
          <t>Barattoscudo</t>
        </is>
      </c>
      <c r="H386" s="29" t="inlineStr">
        <is>
          <t>가드스웹</t>
        </is>
      </c>
      <c r="I386" s="29" t="inlineStr">
        <is>
          <t>防守互換</t>
        </is>
      </c>
      <c r="J386" s="29">
        <f>IFERROR(__xludf.DUMMYFUNCTION("GOOGLETRANSLATE(I386,""zh_HANT"",""zh_HANS"")"),"防守互换")</f>
        <v/>
      </c>
      <c r="K386" s="29">
        <f>F386</f>
        <v/>
      </c>
    </row>
    <row r="387">
      <c r="A387" s="29">
        <f>CONCATENATE("NAME_MOVE_", SUBSTITUTE(SUBSTITUTE(UPPER(B387), " ", ""), "-", ""))</f>
        <v/>
      </c>
      <c r="B387" s="29" t="inlineStr">
        <is>
          <t>Punishment</t>
        </is>
      </c>
      <c r="C387" s="29" t="inlineStr">
        <is>
          <t>おしおき</t>
        </is>
      </c>
      <c r="D387" s="29" t="inlineStr">
        <is>
          <t>Punition</t>
        </is>
      </c>
      <c r="E387" s="29" t="inlineStr">
        <is>
          <t>Strafattacke</t>
        </is>
      </c>
      <c r="F387" s="29" t="inlineStr">
        <is>
          <t>Castigo</t>
        </is>
      </c>
      <c r="G387" s="29" t="inlineStr">
        <is>
          <t>Punizione</t>
        </is>
      </c>
      <c r="H387" s="29" t="inlineStr">
        <is>
          <t>혼내기</t>
        </is>
      </c>
      <c r="I387" s="29" t="inlineStr">
        <is>
          <t>懲罰</t>
        </is>
      </c>
      <c r="J387" s="29">
        <f>IFERROR(__xludf.DUMMYFUNCTION("GOOGLETRANSLATE(I387,""zh_HANT"",""zh_HANS"")"),"惩罚")</f>
        <v/>
      </c>
      <c r="K387" s="29">
        <f>F387</f>
        <v/>
      </c>
    </row>
    <row r="388">
      <c r="A388" s="29">
        <f>CONCATENATE("NAME_MOVE_", SUBSTITUTE(SUBSTITUTE(UPPER(B388), " ", ""), "-", ""))</f>
        <v/>
      </c>
      <c r="B388" s="29" t="inlineStr">
        <is>
          <t>Last Resort</t>
        </is>
      </c>
      <c r="C388" s="29" t="inlineStr">
        <is>
          <t>とっておき</t>
        </is>
      </c>
      <c r="D388" s="29" t="inlineStr">
        <is>
          <t>Dernier Recours</t>
        </is>
      </c>
      <c r="E388" s="29" t="inlineStr">
        <is>
          <t>Zuflucht</t>
        </is>
      </c>
      <c r="F388" s="29" t="inlineStr">
        <is>
          <t>Última Baza</t>
        </is>
      </c>
      <c r="G388" s="29" t="inlineStr">
        <is>
          <t>Ultimascelta</t>
        </is>
      </c>
      <c r="H388" s="29" t="inlineStr">
        <is>
          <t>뒀다쓰기</t>
        </is>
      </c>
      <c r="I388" s="29" t="inlineStr">
        <is>
          <t>珍藏</t>
        </is>
      </c>
      <c r="J388" s="29">
        <f>I388</f>
        <v/>
      </c>
      <c r="K388" s="29">
        <f>F388</f>
        <v/>
      </c>
    </row>
    <row r="389">
      <c r="A389" s="29">
        <f>CONCATENATE("NAME_MOVE_", SUBSTITUTE(SUBSTITUTE(UPPER(B389), " ", ""), "-", ""))</f>
        <v/>
      </c>
      <c r="B389" s="29" t="inlineStr">
        <is>
          <t>Worry Seed</t>
        </is>
      </c>
      <c r="C389" s="29" t="inlineStr">
        <is>
          <t>まやみのタネ</t>
        </is>
      </c>
      <c r="D389" s="29" t="inlineStr">
        <is>
          <t>Soucigraine</t>
        </is>
      </c>
      <c r="E389" s="29" t="inlineStr">
        <is>
          <t>Sorgensamen</t>
        </is>
      </c>
      <c r="F389" s="29" t="inlineStr">
        <is>
          <t>Abatidoras</t>
        </is>
      </c>
      <c r="G389" s="29" t="inlineStr">
        <is>
          <t>Affannoseme</t>
        </is>
      </c>
      <c r="H389" s="29" t="inlineStr">
        <is>
          <t>고민씨</t>
        </is>
      </c>
      <c r="I389" s="29" t="inlineStr">
        <is>
          <t>煩惱種子</t>
        </is>
      </c>
      <c r="J389" s="29">
        <f>IFERROR(__xludf.DUMMYFUNCTION("GOOGLETRANSLATE(I389,""zh_HANT"",""zh_HANS"")"),"烦恼种子")</f>
        <v/>
      </c>
      <c r="K389" s="29">
        <f>F389</f>
        <v/>
      </c>
    </row>
    <row r="390">
      <c r="A390" s="29">
        <f>CONCATENATE("NAME_MOVE_", SUBSTITUTE(SUBSTITUTE(UPPER(B390), " ", ""), "-", ""))</f>
        <v/>
      </c>
      <c r="B390" s="29" t="inlineStr">
        <is>
          <t>Sucker Punch</t>
        </is>
      </c>
      <c r="C390" s="29" t="inlineStr">
        <is>
          <t>ふいうち</t>
        </is>
      </c>
      <c r="D390" s="29" t="inlineStr">
        <is>
          <t>Coup Bas</t>
        </is>
      </c>
      <c r="E390" s="29" t="inlineStr">
        <is>
          <t>Tiefschlag</t>
        </is>
      </c>
      <c r="F390" s="29" t="inlineStr">
        <is>
          <t>Golpe Bajo</t>
        </is>
      </c>
      <c r="G390" s="29" t="inlineStr">
        <is>
          <t>Sbigoattacco</t>
        </is>
      </c>
      <c r="H390" s="29" t="inlineStr">
        <is>
          <t>기습</t>
        </is>
      </c>
      <c r="I390" s="29" t="inlineStr">
        <is>
          <t>突襲</t>
        </is>
      </c>
      <c r="J390" s="29">
        <f>IFERROR(__xludf.DUMMYFUNCTION("GOOGLETRANSLATE(I390,""zh_HANT"",""zh_HANS"")"),"突袭")</f>
        <v/>
      </c>
      <c r="K390" s="29">
        <f>F390</f>
        <v/>
      </c>
    </row>
    <row r="391">
      <c r="A391" s="29">
        <f>CONCATENATE("NAME_MOVE_", SUBSTITUTE(SUBSTITUTE(UPPER(B391), " ", ""), "-", ""))</f>
        <v/>
      </c>
      <c r="B391" s="29" t="inlineStr">
        <is>
          <t>Toxic Spikes</t>
        </is>
      </c>
      <c r="C391" s="29" t="inlineStr">
        <is>
          <t>どくぶし</t>
        </is>
      </c>
      <c r="D391" s="29" t="inlineStr">
        <is>
          <t>Pics Toxik</t>
        </is>
      </c>
      <c r="E391" s="29" t="inlineStr">
        <is>
          <t>Giftspitzen</t>
        </is>
      </c>
      <c r="F391" s="29" t="inlineStr">
        <is>
          <t>Púas Tóxicas</t>
        </is>
      </c>
      <c r="G391" s="29" t="inlineStr">
        <is>
          <t>Fielepunte</t>
        </is>
      </c>
      <c r="H391" s="29" t="inlineStr">
        <is>
          <t>독압정</t>
        </is>
      </c>
      <c r="I391" s="29" t="inlineStr">
        <is>
          <t>毒菱</t>
        </is>
      </c>
      <c r="J391" s="29">
        <f>I391</f>
        <v/>
      </c>
      <c r="K391" s="29">
        <f>F391</f>
        <v/>
      </c>
    </row>
    <row r="392">
      <c r="A392" s="29">
        <f>CONCATENATE("NAME_MOVE_", SUBSTITUTE(SUBSTITUTE(UPPER(B392), " ", ""), "-", ""))</f>
        <v/>
      </c>
      <c r="B392" s="29" t="inlineStr">
        <is>
          <t>Heart Swap</t>
        </is>
      </c>
      <c r="C392" s="29" t="inlineStr">
        <is>
          <t>ハートスワップ</t>
        </is>
      </c>
      <c r="D392" s="29" t="inlineStr">
        <is>
          <t>Permucœur</t>
        </is>
      </c>
      <c r="E392" s="29" t="inlineStr">
        <is>
          <t>Statustausch</t>
        </is>
      </c>
      <c r="F392" s="29" t="inlineStr">
        <is>
          <t>Cambia Almas</t>
        </is>
      </c>
      <c r="G392" s="29" t="inlineStr">
        <is>
          <t>Cuorbaratto</t>
        </is>
      </c>
      <c r="H392" s="29" t="inlineStr">
        <is>
          <t>하트스웹</t>
        </is>
      </c>
      <c r="I392" s="29" t="inlineStr">
        <is>
          <t>心靈互換</t>
        </is>
      </c>
      <c r="J392" s="29">
        <f>IFERROR(__xludf.DUMMYFUNCTION("GOOGLETRANSLATE(I392,""zh_HANT"",""zh_HANS"")"),"心灵互换")</f>
        <v/>
      </c>
      <c r="K392" s="29">
        <f>F392</f>
        <v/>
      </c>
    </row>
    <row r="393">
      <c r="A393" s="29">
        <f>CONCATENATE("NAME_MOVE_", SUBSTITUTE(SUBSTITUTE(UPPER(B393), " ", ""), "-", ""))</f>
        <v/>
      </c>
      <c r="B393" s="29" t="inlineStr">
        <is>
          <t>Aqua Ring</t>
        </is>
      </c>
      <c r="C393" s="29" t="inlineStr">
        <is>
          <t>アクアリング</t>
        </is>
      </c>
      <c r="D393" s="29" t="inlineStr">
        <is>
          <t>Anneau Hydro</t>
        </is>
      </c>
      <c r="E393" s="29" t="inlineStr">
        <is>
          <t>Wasserring</t>
        </is>
      </c>
      <c r="F393" s="29" t="inlineStr">
        <is>
          <t>Acua Aro</t>
        </is>
      </c>
      <c r="G393" s="29" t="inlineStr">
        <is>
          <t>Acquanello</t>
        </is>
      </c>
      <c r="H393" s="29" t="inlineStr">
        <is>
          <t>아쿠아링</t>
        </is>
      </c>
      <c r="I393" s="29" t="inlineStr">
        <is>
          <t>水流環</t>
        </is>
      </c>
      <c r="J393" s="29">
        <f>IFERROR(__xludf.DUMMYFUNCTION("GOOGLETRANSLATE(I393,""zh_HANT"",""zh_HANS"")"),"水流环")</f>
        <v/>
      </c>
      <c r="K393" s="29">
        <f>F393</f>
        <v/>
      </c>
    </row>
    <row r="394">
      <c r="A394" s="29">
        <f>CONCATENATE("NAME_MOVE_", SUBSTITUTE(SUBSTITUTE(UPPER(B394), " ", ""), "-", ""))</f>
        <v/>
      </c>
      <c r="B394" s="29" t="inlineStr">
        <is>
          <t>Magnet Rise</t>
        </is>
      </c>
      <c r="C394" s="29" t="inlineStr">
        <is>
          <t>でんじふゆう</t>
        </is>
      </c>
      <c r="D394" s="29" t="inlineStr">
        <is>
          <t>Vol Magnétik</t>
        </is>
      </c>
      <c r="E394" s="29" t="inlineStr">
        <is>
          <t>Magnetflug</t>
        </is>
      </c>
      <c r="F394" s="29" t="inlineStr">
        <is>
          <t>Levitón</t>
        </is>
      </c>
      <c r="G394" s="29" t="inlineStr">
        <is>
          <t>Magnetascesa</t>
        </is>
      </c>
      <c r="H394" s="29" t="inlineStr">
        <is>
          <t>전자부유</t>
        </is>
      </c>
      <c r="I394" s="29" t="inlineStr">
        <is>
          <t>電磁飄浮</t>
        </is>
      </c>
      <c r="J394" s="29">
        <f>IFERROR(__xludf.DUMMYFUNCTION("GOOGLETRANSLATE(I394,""zh_HANT"",""zh_HANS"")"),"电磁飘浮")</f>
        <v/>
      </c>
      <c r="K394" s="29">
        <f>F394</f>
        <v/>
      </c>
    </row>
    <row r="395">
      <c r="A395" s="29">
        <f>CONCATENATE("NAME_MOVE_", SUBSTITUTE(SUBSTITUTE(UPPER(B395), " ", ""), "-", ""))</f>
        <v/>
      </c>
      <c r="B395" s="29" t="inlineStr">
        <is>
          <t>Flare Blitz</t>
        </is>
      </c>
      <c r="C395" s="29" t="inlineStr">
        <is>
          <t>フレアドライブ</t>
        </is>
      </c>
      <c r="D395" s="29" t="inlineStr">
        <is>
          <t>Boutefeu</t>
        </is>
      </c>
      <c r="E395" s="29" t="inlineStr">
        <is>
          <t>Flammenblitz</t>
        </is>
      </c>
      <c r="F395" s="29" t="inlineStr">
        <is>
          <t>Envite Ígneo</t>
        </is>
      </c>
      <c r="G395" s="29" t="inlineStr">
        <is>
          <t>Fuococarica</t>
        </is>
      </c>
      <c r="H395" s="29" t="inlineStr">
        <is>
          <t>플레어드라이브</t>
        </is>
      </c>
      <c r="I395" s="29" t="inlineStr">
        <is>
          <t>閃焰衝鋒</t>
        </is>
      </c>
      <c r="J395" s="29">
        <f>IFERROR(__xludf.DUMMYFUNCTION("GOOGLETRANSLATE(I395,""zh_HANT"",""zh_HANS"")"),"闪焰冲锋")</f>
        <v/>
      </c>
      <c r="K395" s="29">
        <f>F395</f>
        <v/>
      </c>
    </row>
    <row r="396">
      <c r="A396" s="29">
        <f>CONCATENATE("NAME_MOVE_", SUBSTITUTE(SUBSTITUTE(UPPER(B396), " ", ""), "-", ""))</f>
        <v/>
      </c>
      <c r="B396" s="29" t="inlineStr">
        <is>
          <t>Force Palm</t>
        </is>
      </c>
      <c r="C396" s="29" t="inlineStr">
        <is>
          <t>はっけい</t>
        </is>
      </c>
      <c r="D396" s="29" t="inlineStr">
        <is>
          <t>Forte-Paume</t>
        </is>
      </c>
      <c r="E396" s="29" t="inlineStr">
        <is>
          <t>Kraftwelle</t>
        </is>
      </c>
      <c r="F396" s="29" t="inlineStr">
        <is>
          <t>Palmeo</t>
        </is>
      </c>
      <c r="G396" s="29" t="inlineStr">
        <is>
          <t>Palmoforza</t>
        </is>
      </c>
      <c r="H396" s="29" t="inlineStr">
        <is>
          <t>발경</t>
        </is>
      </c>
      <c r="I396" s="29" t="inlineStr">
        <is>
          <t>發勁</t>
        </is>
      </c>
      <c r="J396" s="29">
        <f>IFERROR(__xludf.DUMMYFUNCTION("GOOGLETRANSLATE(I396,""zh_HANT"",""zh_HANS"")"),"发劲")</f>
        <v/>
      </c>
      <c r="K396" s="29">
        <f>F396</f>
        <v/>
      </c>
    </row>
    <row r="397">
      <c r="A397" s="29">
        <f>CONCATENATE("NAME_MOVE_", SUBSTITUTE(SUBSTITUTE(UPPER(B397), " ", ""), "-", ""))</f>
        <v/>
      </c>
      <c r="B397" s="29" t="inlineStr">
        <is>
          <t>Aura Sphere</t>
        </is>
      </c>
      <c r="C397" s="29" t="inlineStr">
        <is>
          <t>はどうだん</t>
        </is>
      </c>
      <c r="D397" s="29" t="inlineStr">
        <is>
          <t>Aurasphère</t>
        </is>
      </c>
      <c r="E397" s="29" t="inlineStr">
        <is>
          <t>Aurasphäre</t>
        </is>
      </c>
      <c r="F397" s="29" t="inlineStr">
        <is>
          <t>Esfera Aural</t>
        </is>
      </c>
      <c r="G397" s="29" t="inlineStr">
        <is>
          <t>Forzasfera</t>
        </is>
      </c>
      <c r="H397" s="29" t="inlineStr">
        <is>
          <t>파동탄</t>
        </is>
      </c>
      <c r="I397" s="29" t="inlineStr">
        <is>
          <t>波導彈</t>
        </is>
      </c>
      <c r="J397" s="29">
        <f>IFERROR(__xludf.DUMMYFUNCTION("GOOGLETRANSLATE(I397,""zh_HANT"",""zh_HANS"")"),"波导弹")</f>
        <v/>
      </c>
      <c r="K397" s="29">
        <f>F397</f>
        <v/>
      </c>
    </row>
    <row r="398">
      <c r="A398" s="29">
        <f>CONCATENATE("NAME_MOVE_", SUBSTITUTE(SUBSTITUTE(UPPER(B398), " ", ""), "-", ""))</f>
        <v/>
      </c>
      <c r="B398" s="29" t="inlineStr">
        <is>
          <t>Rock Polish</t>
        </is>
      </c>
      <c r="C398" s="29" t="inlineStr">
        <is>
          <t>ロックカット</t>
        </is>
      </c>
      <c r="D398" s="29" t="inlineStr">
        <is>
          <t>Poliroche</t>
        </is>
      </c>
      <c r="E398" s="29" t="inlineStr">
        <is>
          <t>Steinpolitur</t>
        </is>
      </c>
      <c r="F398" s="29" t="inlineStr">
        <is>
          <t>Pulimento</t>
        </is>
      </c>
      <c r="G398" s="29" t="inlineStr">
        <is>
          <t>Lucidatura</t>
        </is>
      </c>
      <c r="H398" s="29" t="inlineStr">
        <is>
          <t>록커트</t>
        </is>
      </c>
      <c r="I398" s="29" t="inlineStr">
        <is>
          <t>岩石打磨</t>
        </is>
      </c>
      <c r="J398" s="29">
        <f>I398</f>
        <v/>
      </c>
      <c r="K398" s="29">
        <f>F398</f>
        <v/>
      </c>
    </row>
    <row r="399">
      <c r="A399" s="29">
        <f>CONCATENATE("NAME_MOVE_", SUBSTITUTE(SUBSTITUTE(UPPER(B399), " ", ""), "-", ""))</f>
        <v/>
      </c>
      <c r="B399" s="29" t="inlineStr">
        <is>
          <t>Poison Jab</t>
        </is>
      </c>
      <c r="C399" s="29" t="inlineStr">
        <is>
          <t>どくづき</t>
        </is>
      </c>
      <c r="D399" s="29" t="inlineStr">
        <is>
          <t>Direct Toxik</t>
        </is>
      </c>
      <c r="E399" s="29" t="inlineStr">
        <is>
          <t>Gifthieb</t>
        </is>
      </c>
      <c r="F399" s="29" t="inlineStr">
        <is>
          <t>Puya Nociva</t>
        </is>
      </c>
      <c r="G399" s="29" t="inlineStr">
        <is>
          <t>Velenpuntura</t>
        </is>
      </c>
      <c r="H399" s="29" t="inlineStr">
        <is>
          <t>독찌르기</t>
        </is>
      </c>
      <c r="I399" s="29" t="inlineStr">
        <is>
          <t>毒擊</t>
        </is>
      </c>
      <c r="J399" s="29">
        <f>IFERROR(__xludf.DUMMYFUNCTION("GOOGLETRANSLATE(I399,""zh_HANT"",""zh_HANS"")"),"毒击")</f>
        <v/>
      </c>
      <c r="K399" s="29">
        <f>F399</f>
        <v/>
      </c>
    </row>
    <row r="400">
      <c r="A400" s="29">
        <f>CONCATENATE("NAME_MOVE_", SUBSTITUTE(SUBSTITUTE(UPPER(B400), " ", ""), "-", ""))</f>
        <v/>
      </c>
      <c r="B400" s="29" t="inlineStr">
        <is>
          <t>Dark Pulse</t>
        </is>
      </c>
      <c r="C400" s="29" t="inlineStr">
        <is>
          <t>あくのはどう</t>
        </is>
      </c>
      <c r="D400" s="29" t="inlineStr">
        <is>
          <t>Vibroscur</t>
        </is>
      </c>
      <c r="E400" s="29" t="inlineStr">
        <is>
          <t>Finsteraura</t>
        </is>
      </c>
      <c r="F400" s="29" t="inlineStr">
        <is>
          <t>Pulso Umbrío</t>
        </is>
      </c>
      <c r="G400" s="29" t="inlineStr">
        <is>
          <t>Neropulsar</t>
        </is>
      </c>
      <c r="H400" s="29" t="inlineStr">
        <is>
          <t>악의파동</t>
        </is>
      </c>
      <c r="I400" s="29" t="inlineStr">
        <is>
          <t>惡之波動</t>
        </is>
      </c>
      <c r="J400" s="29">
        <f>IFERROR(__xludf.DUMMYFUNCTION("GOOGLETRANSLATE(I400,""zh_HANT"",""zh_HANS"")"),"恶之波动")</f>
        <v/>
      </c>
      <c r="K400" s="29">
        <f>F400</f>
        <v/>
      </c>
    </row>
    <row r="401">
      <c r="A401" s="29">
        <f>CONCATENATE("NAME_MOVE_", SUBSTITUTE(SUBSTITUTE(UPPER(B401), " ", ""), "-", ""))</f>
        <v/>
      </c>
      <c r="B401" s="29" t="inlineStr">
        <is>
          <t>Night Slash</t>
        </is>
      </c>
      <c r="C401" s="29" t="inlineStr">
        <is>
          <t>つじぎり</t>
        </is>
      </c>
      <c r="D401" s="29" t="inlineStr">
        <is>
          <t>Tranche-Nuit</t>
        </is>
      </c>
      <c r="E401" s="29" t="inlineStr">
        <is>
          <t>Nachthieb</t>
        </is>
      </c>
      <c r="F401" s="29" t="inlineStr">
        <is>
          <t>Tajo Umbrío</t>
        </is>
      </c>
      <c r="G401" s="29" t="inlineStr">
        <is>
          <t>Nottesferza</t>
        </is>
      </c>
      <c r="H401" s="29" t="inlineStr">
        <is>
          <t>깜짝베기</t>
        </is>
      </c>
      <c r="I401" s="29" t="inlineStr">
        <is>
          <t>暗襲要害</t>
        </is>
      </c>
      <c r="J401" s="29">
        <f>IFERROR(__xludf.DUMMYFUNCTION("GOOGLETRANSLATE(I401,""zh_HANT"",""zh_HANS"")"),"暗袭要害")</f>
        <v/>
      </c>
      <c r="K401" s="29">
        <f>F401</f>
        <v/>
      </c>
    </row>
    <row r="402">
      <c r="A402" s="29">
        <f>CONCATENATE("NAME_MOVE_", SUBSTITUTE(SUBSTITUTE(UPPER(B402), " ", ""), "-", ""))</f>
        <v/>
      </c>
      <c r="B402" s="29" t="inlineStr">
        <is>
          <t>Aqua Tail</t>
        </is>
      </c>
      <c r="C402" s="29" t="inlineStr">
        <is>
          <t>アクアテール</t>
        </is>
      </c>
      <c r="D402" s="29" t="inlineStr">
        <is>
          <t>Hydro-Queue</t>
        </is>
      </c>
      <c r="E402" s="29" t="inlineStr">
        <is>
          <t>Nassschweif</t>
        </is>
      </c>
      <c r="F402" s="29" t="inlineStr">
        <is>
          <t>Acua Cola</t>
        </is>
      </c>
      <c r="G402" s="29" t="inlineStr">
        <is>
          <t>Idrondata</t>
        </is>
      </c>
      <c r="H402" s="29" t="inlineStr">
        <is>
          <t>아쿠아테일</t>
        </is>
      </c>
      <c r="I402" s="29" t="inlineStr">
        <is>
          <t>水流尾</t>
        </is>
      </c>
      <c r="J402" s="29">
        <f>I402</f>
        <v/>
      </c>
      <c r="K402" s="29">
        <f>F402</f>
        <v/>
      </c>
    </row>
    <row r="403">
      <c r="A403" s="29">
        <f>CONCATENATE("NAME_MOVE_", SUBSTITUTE(SUBSTITUTE(UPPER(B403), " ", ""), "-", ""))</f>
        <v/>
      </c>
      <c r="B403" s="29" t="inlineStr">
        <is>
          <t>Seed Bomb</t>
        </is>
      </c>
      <c r="C403" s="29" t="inlineStr">
        <is>
          <t>タネばくだん</t>
        </is>
      </c>
      <c r="D403" s="29" t="inlineStr">
        <is>
          <t>Canon Graine</t>
        </is>
      </c>
      <c r="E403" s="29" t="inlineStr">
        <is>
          <t>Samenbomben</t>
        </is>
      </c>
      <c r="F403" s="29" t="inlineStr">
        <is>
          <t>Bomba Germen</t>
        </is>
      </c>
      <c r="G403" s="29" t="inlineStr">
        <is>
          <t>Semebomba</t>
        </is>
      </c>
      <c r="H403" s="29" t="inlineStr">
        <is>
          <t>씨폭탄</t>
        </is>
      </c>
      <c r="I403" s="29" t="inlineStr">
        <is>
          <t>種子炸彈</t>
        </is>
      </c>
      <c r="J403" s="29">
        <f>IFERROR(__xludf.DUMMYFUNCTION("GOOGLETRANSLATE(I403,""zh_HANT"",""zh_HANS"")"),"种子炸弹")</f>
        <v/>
      </c>
      <c r="K403" s="29">
        <f>F403</f>
        <v/>
      </c>
    </row>
    <row r="404">
      <c r="A404" s="29">
        <f>CONCATENATE("NAME_MOVE_", SUBSTITUTE(SUBSTITUTE(UPPER(B404), " ", ""), "-", ""))</f>
        <v/>
      </c>
      <c r="B404" s="29" t="inlineStr">
        <is>
          <t>Air Slash</t>
        </is>
      </c>
      <c r="C404" s="29" t="inlineStr">
        <is>
          <t>エアルスラッシュ</t>
        </is>
      </c>
      <c r="D404" s="29" t="inlineStr">
        <is>
          <t>Lame d'Air</t>
        </is>
      </c>
      <c r="E404" s="29" t="inlineStr">
        <is>
          <t>Luftschnitt</t>
        </is>
      </c>
      <c r="F404" s="29" t="inlineStr">
        <is>
          <t>Tajo Aéreo</t>
        </is>
      </c>
      <c r="G404" s="29" t="inlineStr">
        <is>
          <t>Eterelama</t>
        </is>
      </c>
      <c r="H404" s="29" t="inlineStr">
        <is>
          <t>에어슬래시</t>
        </is>
      </c>
      <c r="I404" s="29" t="inlineStr">
        <is>
          <t>空氣斬</t>
        </is>
      </c>
      <c r="J404" s="10" t="inlineStr">
        <is>
          <t>空气之刃</t>
        </is>
      </c>
      <c r="K404" s="29">
        <f>F404</f>
        <v/>
      </c>
    </row>
    <row r="405">
      <c r="A405" s="29">
        <f>CONCATENATE("NAME_MOVE_", SUBSTITUTE(SUBSTITUTE(UPPER(B405), " ", ""), "-", ""))</f>
        <v/>
      </c>
      <c r="B405" s="29" t="inlineStr">
        <is>
          <t>X-Scissors</t>
        </is>
      </c>
      <c r="C405" s="29" t="inlineStr">
        <is>
          <t>シザークロス</t>
        </is>
      </c>
      <c r="D405" s="29" t="inlineStr">
        <is>
          <t>Plaie Croix</t>
        </is>
      </c>
      <c r="E405" s="29" t="inlineStr">
        <is>
          <t>Kreuzschere</t>
        </is>
      </c>
      <c r="F405" s="29" t="inlineStr">
        <is>
          <t>Tijera X</t>
        </is>
      </c>
      <c r="G405" s="29" t="inlineStr">
        <is>
          <t>Forbice X</t>
        </is>
      </c>
      <c r="H405" s="29" t="inlineStr">
        <is>
          <t>시저크로스</t>
        </is>
      </c>
      <c r="I405" s="29" t="inlineStr">
        <is>
          <t>十字剪</t>
        </is>
      </c>
      <c r="J405" s="29">
        <f>I405</f>
        <v/>
      </c>
      <c r="K405" s="29">
        <f>F405</f>
        <v/>
      </c>
    </row>
    <row r="406">
      <c r="A406" s="29">
        <f>CONCATENATE("NAME_MOVE_", SUBSTITUTE(SUBSTITUTE(UPPER(B406), " ", ""), "-", ""))</f>
        <v/>
      </c>
      <c r="B406" s="29" t="inlineStr">
        <is>
          <t>Bug Buzz</t>
        </is>
      </c>
      <c r="C406" s="29" t="inlineStr">
        <is>
          <t>むしのさざめき</t>
        </is>
      </c>
      <c r="D406" s="29" t="inlineStr">
        <is>
          <t>Bourdon</t>
        </is>
      </c>
      <c r="E406" s="29" t="inlineStr">
        <is>
          <t>Käfergebrumm</t>
        </is>
      </c>
      <c r="F406" s="29" t="inlineStr">
        <is>
          <t>Zumbido</t>
        </is>
      </c>
      <c r="G406" s="29" t="inlineStr">
        <is>
          <t>Ronzio</t>
        </is>
      </c>
      <c r="H406" s="29" t="inlineStr">
        <is>
          <t>벌레의야단법석</t>
        </is>
      </c>
      <c r="I406" s="29" t="inlineStr">
        <is>
          <t>蟲鳴</t>
        </is>
      </c>
      <c r="J406" s="29">
        <f>IFERROR(__xludf.DUMMYFUNCTION("GOOGLETRANSLATE(I406,""zh_HANT"",""zh_HANS"")"),"虫鸣")</f>
        <v/>
      </c>
      <c r="K406" s="29">
        <f>F406</f>
        <v/>
      </c>
    </row>
    <row r="407">
      <c r="A407" s="29">
        <f>CONCATENATE("NAME_MOVE_", SUBSTITUTE(SUBSTITUTE(UPPER(B407), " ", ""), "-", ""))</f>
        <v/>
      </c>
      <c r="B407" s="29" t="inlineStr">
        <is>
          <t>Dragon Pulse</t>
        </is>
      </c>
      <c r="C407" s="29" t="inlineStr">
        <is>
          <t>りゅうのはどう</t>
        </is>
      </c>
      <c r="D407" s="29" t="inlineStr">
        <is>
          <t>Draco-Choc</t>
        </is>
      </c>
      <c r="E407" s="29" t="inlineStr">
        <is>
          <t>Drachenpuls</t>
        </is>
      </c>
      <c r="F407" s="29" t="inlineStr">
        <is>
          <t>Pulso Dragón</t>
        </is>
      </c>
      <c r="G407" s="29" t="inlineStr">
        <is>
          <t>Dragopulsar</t>
        </is>
      </c>
      <c r="H407" s="29" t="inlineStr">
        <is>
          <t>용의파동</t>
        </is>
      </c>
      <c r="I407" s="29" t="inlineStr">
        <is>
          <t>龍之波動</t>
        </is>
      </c>
      <c r="J407" s="29">
        <f>IFERROR(__xludf.DUMMYFUNCTION("GOOGLETRANSLATE(I407,""zh_HANT"",""zh_HANS"")"),"龙之波动")</f>
        <v/>
      </c>
      <c r="K407" s="29">
        <f>F407</f>
        <v/>
      </c>
    </row>
    <row r="408">
      <c r="A408" s="29">
        <f>CONCATENATE("NAME_MOVE_", SUBSTITUTE(SUBSTITUTE(UPPER(B408), " ", ""), "-", ""))</f>
        <v/>
      </c>
      <c r="B408" s="29" t="inlineStr">
        <is>
          <t>Dragon Rush</t>
        </is>
      </c>
      <c r="C408" s="29" t="inlineStr">
        <is>
          <t>ドラゴンダイブ</t>
        </is>
      </c>
      <c r="D408" s="29" t="inlineStr">
        <is>
          <t>Draco-Charge</t>
        </is>
      </c>
      <c r="E408" s="29" t="inlineStr">
        <is>
          <t>Drachenstoß</t>
        </is>
      </c>
      <c r="F408" s="29" t="inlineStr">
        <is>
          <t>Carga Dragón</t>
        </is>
      </c>
      <c r="G408" s="29" t="inlineStr">
        <is>
          <t>Dragofuria</t>
        </is>
      </c>
      <c r="H408" s="29" t="inlineStr">
        <is>
          <t>드래곤다이브</t>
        </is>
      </c>
      <c r="I408" s="29" t="inlineStr">
        <is>
          <t>龍之俯衝</t>
        </is>
      </c>
      <c r="J408" s="29">
        <f>IFERROR(__xludf.DUMMYFUNCTION("GOOGLETRANSLATE(I408,""zh_HANT"",""zh_HANS"")"),"龙之俯冲")</f>
        <v/>
      </c>
      <c r="K408" s="29">
        <f>F408</f>
        <v/>
      </c>
    </row>
    <row r="409">
      <c r="A409" s="29">
        <f>CONCATENATE("NAME_MOVE_", SUBSTITUTE(SUBSTITUTE(UPPER(B409), " ", ""), "-", ""))</f>
        <v/>
      </c>
      <c r="B409" s="29" t="inlineStr">
        <is>
          <t>Power Gem</t>
        </is>
      </c>
      <c r="C409" s="29" t="inlineStr">
        <is>
          <t>パワージェム</t>
        </is>
      </c>
      <c r="D409" s="29" t="inlineStr">
        <is>
          <t>Rayon Gemme</t>
        </is>
      </c>
      <c r="E409" s="29" t="inlineStr">
        <is>
          <t>Juwelenkraft</t>
        </is>
      </c>
      <c r="F409" s="29" t="inlineStr">
        <is>
          <t>Joya de Luz</t>
        </is>
      </c>
      <c r="G409" s="29" t="inlineStr">
        <is>
          <t>Gemmoforza</t>
        </is>
      </c>
      <c r="H409" s="29" t="inlineStr">
        <is>
          <t>파워젬</t>
        </is>
      </c>
      <c r="I409" s="29" t="inlineStr">
        <is>
          <t>力量寶石</t>
        </is>
      </c>
      <c r="J409" s="29">
        <f>I409</f>
        <v/>
      </c>
      <c r="K409" s="29">
        <f>F409</f>
        <v/>
      </c>
    </row>
    <row r="410">
      <c r="A410" s="29">
        <f>CONCATENATE("NAME_MOVE_", SUBSTITUTE(SUBSTITUTE(UPPER(B410), " ", ""), "-", ""))</f>
        <v/>
      </c>
      <c r="B410" s="29" t="inlineStr">
        <is>
          <t>Drain Punch</t>
        </is>
      </c>
      <c r="C410" s="29" t="inlineStr">
        <is>
          <t>ドレインパンチ</t>
        </is>
      </c>
      <c r="D410" s="29" t="inlineStr">
        <is>
          <t>Vampi-Poing</t>
        </is>
      </c>
      <c r="E410" s="29" t="inlineStr">
        <is>
          <t>Ableithieb</t>
        </is>
      </c>
      <c r="F410" s="29" t="inlineStr">
        <is>
          <t>Puño Drenaje</t>
        </is>
      </c>
      <c r="G410" s="29" t="inlineStr">
        <is>
          <t>Assorbipugno</t>
        </is>
      </c>
      <c r="H410" s="29" t="inlineStr">
        <is>
          <t>드레인펀치</t>
        </is>
      </c>
      <c r="I410" s="29" t="inlineStr">
        <is>
          <t>吸取拳</t>
        </is>
      </c>
      <c r="J410" s="29">
        <f>I410</f>
        <v/>
      </c>
      <c r="K410" s="29">
        <f>F410</f>
        <v/>
      </c>
    </row>
    <row r="411">
      <c r="A411" s="29">
        <f>CONCATENATE("NAME_MOVE_", SUBSTITUTE(SUBSTITUTE(UPPER(B411), " ", ""), "-", ""))</f>
        <v/>
      </c>
      <c r="B411" s="29" t="inlineStr">
        <is>
          <t>Vacuum Wave</t>
        </is>
      </c>
      <c r="C411" s="29" t="inlineStr">
        <is>
          <t>しんくうは</t>
        </is>
      </c>
      <c r="D411" s="29" t="inlineStr">
        <is>
          <t>Onde Vide</t>
        </is>
      </c>
      <c r="E411" s="29" t="inlineStr">
        <is>
          <t>Vakuumwelle</t>
        </is>
      </c>
      <c r="F411" s="29" t="inlineStr">
        <is>
          <t>Onda Vacío</t>
        </is>
      </c>
      <c r="G411" s="29" t="inlineStr">
        <is>
          <t>Vuotonda</t>
        </is>
      </c>
      <c r="H411" s="29" t="inlineStr">
        <is>
          <t>진공파</t>
        </is>
      </c>
      <c r="I411" s="29" t="inlineStr">
        <is>
          <t>真空波</t>
        </is>
      </c>
      <c r="J411" s="29">
        <f>I411</f>
        <v/>
      </c>
      <c r="K411" s="29">
        <f>F411</f>
        <v/>
      </c>
    </row>
    <row r="412">
      <c r="A412" s="29">
        <f>CONCATENATE("NAME_MOVE_", SUBSTITUTE(SUBSTITUTE(UPPER(B412), " ", ""), "-", ""))</f>
        <v/>
      </c>
      <c r="B412" s="29" t="inlineStr">
        <is>
          <t>Focus Blast</t>
        </is>
      </c>
      <c r="C412" s="29" t="inlineStr">
        <is>
          <t>きあいだま</t>
        </is>
      </c>
      <c r="D412" s="29" t="inlineStr">
        <is>
          <t>Exploforce</t>
        </is>
      </c>
      <c r="E412" s="29" t="inlineStr">
        <is>
          <t>Fokusstoß</t>
        </is>
      </c>
      <c r="F412" s="29" t="inlineStr">
        <is>
          <t>Onda Certera</t>
        </is>
      </c>
      <c r="G412" s="29" t="inlineStr">
        <is>
          <t>Focalcolpo</t>
        </is>
      </c>
      <c r="H412" s="29" t="inlineStr">
        <is>
          <t>기합구슬</t>
        </is>
      </c>
      <c r="I412" s="29" t="inlineStr">
        <is>
          <t>真氣彈</t>
        </is>
      </c>
      <c r="J412" s="29">
        <f>IFERROR(__xludf.DUMMYFUNCTION("GOOGLETRANSLATE(I412,""zh_HANT"",""zh_HANS"")"),"真气弹")</f>
        <v/>
      </c>
      <c r="K412" s="29">
        <f>F412</f>
        <v/>
      </c>
    </row>
    <row r="413">
      <c r="A413" s="29">
        <f>CONCATENATE("NAME_MOVE_", SUBSTITUTE(SUBSTITUTE(UPPER(B413), " ", ""), "-", ""))</f>
        <v/>
      </c>
      <c r="B413" s="9" t="inlineStr">
        <is>
          <t>Energy Ball</t>
        </is>
      </c>
      <c r="C413" s="29" t="inlineStr">
        <is>
          <t>エナジーボール</t>
        </is>
      </c>
      <c r="D413" s="29" t="inlineStr">
        <is>
          <t>Éco-Sphère</t>
        </is>
      </c>
      <c r="E413" s="29" t="inlineStr">
        <is>
          <t>Energieball</t>
        </is>
      </c>
      <c r="F413" s="29" t="inlineStr">
        <is>
          <t>Energibola</t>
        </is>
      </c>
      <c r="G413" s="29" t="inlineStr">
        <is>
          <t>Energipalla</t>
        </is>
      </c>
      <c r="H413" s="29" t="inlineStr">
        <is>
          <t>에너지볼</t>
        </is>
      </c>
      <c r="I413" s="29" t="inlineStr">
        <is>
          <t>能量球</t>
        </is>
      </c>
      <c r="J413" s="29">
        <f>I413</f>
        <v/>
      </c>
      <c r="K413" s="29">
        <f>F413</f>
        <v/>
      </c>
    </row>
    <row r="414">
      <c r="A414" s="29">
        <f>CONCATENATE("NAME_MOVE_", SUBSTITUTE(SUBSTITUTE(UPPER(B414), " ", ""), "-", ""))</f>
        <v/>
      </c>
      <c r="B414" s="29" t="inlineStr">
        <is>
          <t>Brave Bird</t>
        </is>
      </c>
      <c r="C414" s="29" t="inlineStr">
        <is>
          <t>ブレイブバード</t>
        </is>
      </c>
      <c r="D414" s="29" t="inlineStr">
        <is>
          <t>Rapace</t>
        </is>
      </c>
      <c r="E414" s="29" t="inlineStr">
        <is>
          <t>Sturzflug</t>
        </is>
      </c>
      <c r="F414" s="29" t="inlineStr">
        <is>
          <t>Pájaro Osado</t>
        </is>
      </c>
      <c r="G414" s="29" t="inlineStr">
        <is>
          <t>Baldeali</t>
        </is>
      </c>
      <c r="H414" s="29" t="inlineStr">
        <is>
          <t>브레이브버드</t>
        </is>
      </c>
      <c r="I414" s="29" t="inlineStr">
        <is>
          <t>勇鳥猛攻</t>
        </is>
      </c>
      <c r="J414" s="29">
        <f>IFERROR(__xludf.DUMMYFUNCTION("GOOGLETRANSLATE(I414,""zh_HANT"",""zh_HANS"")"),"勇鸟猛攻")</f>
        <v/>
      </c>
      <c r="K414" s="29">
        <f>F414</f>
        <v/>
      </c>
    </row>
    <row r="415">
      <c r="A415" s="29">
        <f>CONCATENATE("NAME_MOVE_", SUBSTITUTE(SUBSTITUTE(UPPER(B415), " ", ""), "-", ""))</f>
        <v/>
      </c>
      <c r="B415" s="29" t="inlineStr">
        <is>
          <t>Earth Power</t>
        </is>
      </c>
      <c r="C415" s="29" t="inlineStr">
        <is>
          <t>だいちのちから</t>
        </is>
      </c>
      <c r="D415" s="29" t="inlineStr">
        <is>
          <t>Telluriforce</t>
        </is>
      </c>
      <c r="E415" s="29" t="inlineStr">
        <is>
          <t>Erdkräfte</t>
        </is>
      </c>
      <c r="F415" s="29" t="inlineStr">
        <is>
          <t>Tierra Viva</t>
        </is>
      </c>
      <c r="G415" s="29" t="inlineStr">
        <is>
          <t>Geoforza</t>
        </is>
      </c>
      <c r="H415" s="29" t="inlineStr">
        <is>
          <t>대지의힘</t>
        </is>
      </c>
      <c r="I415" s="29" t="inlineStr">
        <is>
          <t>大地之力</t>
        </is>
      </c>
      <c r="J415" s="29">
        <f>I415</f>
        <v/>
      </c>
      <c r="K415" s="29">
        <f>F415</f>
        <v/>
      </c>
    </row>
    <row r="416">
      <c r="A416" s="29">
        <f>CONCATENATE("NAME_MOVE_", SUBSTITUTE(SUBSTITUTE(UPPER(B416), " ", ""), "-", ""))</f>
        <v/>
      </c>
      <c r="B416" s="29" t="inlineStr">
        <is>
          <t>Switcheroo</t>
        </is>
      </c>
      <c r="C416" s="29" t="inlineStr">
        <is>
          <t>すりかえ</t>
        </is>
      </c>
      <c r="D416" s="29" t="inlineStr">
        <is>
          <t>Passe-Passe</t>
        </is>
      </c>
      <c r="E416" s="29" t="inlineStr">
        <is>
          <t>Wechseldich</t>
        </is>
      </c>
      <c r="F416" s="29" t="inlineStr">
        <is>
          <t>Trapicheo</t>
        </is>
      </c>
      <c r="G416" s="29" t="inlineStr">
        <is>
          <t>Rapidscambio</t>
        </is>
      </c>
      <c r="H416" s="29" t="inlineStr">
        <is>
          <t>바꿔치기</t>
        </is>
      </c>
      <c r="I416" s="29" t="inlineStr">
        <is>
          <t>掉包</t>
        </is>
      </c>
      <c r="J416" s="29">
        <f>I416</f>
        <v/>
      </c>
      <c r="K416" s="29">
        <f>F416</f>
        <v/>
      </c>
    </row>
    <row r="417">
      <c r="A417" s="29">
        <f>CONCATENATE("NAME_MOVE_", SUBSTITUTE(SUBSTITUTE(UPPER(B417), " ", ""), "-", ""))</f>
        <v/>
      </c>
      <c r="B417" s="29" t="inlineStr">
        <is>
          <t>Giga Impact</t>
        </is>
      </c>
      <c r="C417" s="29" t="inlineStr">
        <is>
          <t>ギガインパクト</t>
        </is>
      </c>
      <c r="D417" s="29" t="inlineStr">
        <is>
          <t>Giga Impact</t>
        </is>
      </c>
      <c r="E417" s="29" t="inlineStr">
        <is>
          <t>Gigastoß</t>
        </is>
      </c>
      <c r="F417" s="29" t="inlineStr">
        <is>
          <t>Gigaimpacto</t>
        </is>
      </c>
      <c r="G417" s="29" t="inlineStr">
        <is>
          <t>Gigaimpatto</t>
        </is>
      </c>
      <c r="H417" s="29" t="inlineStr">
        <is>
          <t>기가임팩트</t>
        </is>
      </c>
      <c r="I417" s="29" t="inlineStr">
        <is>
          <t>終極衝擊</t>
        </is>
      </c>
      <c r="J417" s="29">
        <f>IFERROR(__xludf.DUMMYFUNCTION("GOOGLETRANSLATE(I417,""zh_HANT"",""zh_HANS"")"),"终极冲击")</f>
        <v/>
      </c>
      <c r="K417" s="29">
        <f>F417</f>
        <v/>
      </c>
    </row>
    <row r="418">
      <c r="A418" s="29">
        <f>CONCATENATE("NAME_MOVE_", SUBSTITUTE(SUBSTITUTE(UPPER(B418), " ", ""), "-", ""))</f>
        <v/>
      </c>
      <c r="B418" s="29" t="inlineStr">
        <is>
          <t>Nasty Plot</t>
        </is>
      </c>
      <c r="C418" s="29" t="inlineStr">
        <is>
          <t>わるだくみ</t>
        </is>
      </c>
      <c r="D418" s="29" t="inlineStr">
        <is>
          <t>Machination</t>
        </is>
      </c>
      <c r="E418" s="29" t="inlineStr">
        <is>
          <t>Ränkeschmied</t>
        </is>
      </c>
      <c r="F418" s="29" t="inlineStr">
        <is>
          <t>Maquinación</t>
        </is>
      </c>
      <c r="G418" s="29" t="inlineStr">
        <is>
          <t>Congiura</t>
        </is>
      </c>
      <c r="H418" s="29" t="inlineStr">
        <is>
          <t>나쁜음모</t>
        </is>
      </c>
      <c r="I418" s="29" t="inlineStr">
        <is>
          <t>詭計</t>
        </is>
      </c>
      <c r="J418" s="29">
        <f>IFERROR(__xludf.DUMMYFUNCTION("GOOGLETRANSLATE(I418,""zh_HANT"",""zh_HANS"")"),"诡计")</f>
        <v/>
      </c>
      <c r="K418" s="29">
        <f>F418</f>
        <v/>
      </c>
    </row>
    <row r="419">
      <c r="A419" s="29">
        <f>CONCATENATE("NAME_MOVE_", SUBSTITUTE(SUBSTITUTE(UPPER(B419), " ", ""), "-", ""))</f>
        <v/>
      </c>
      <c r="B419" s="29" t="inlineStr">
        <is>
          <t>Bullet Punch</t>
        </is>
      </c>
      <c r="C419" s="29" t="inlineStr">
        <is>
          <t>バレットパンチ</t>
        </is>
      </c>
      <c r="D419" s="29" t="inlineStr">
        <is>
          <t>Pisto-Poing</t>
        </is>
      </c>
      <c r="E419" s="29" t="inlineStr">
        <is>
          <t>Patronenhieb</t>
        </is>
      </c>
      <c r="F419" s="29" t="inlineStr">
        <is>
          <t>Puño Bala</t>
        </is>
      </c>
      <c r="G419" s="29" t="inlineStr">
        <is>
          <t>Pugnoscarica</t>
        </is>
      </c>
      <c r="H419" s="29" t="inlineStr">
        <is>
          <t>불릿펀치</t>
        </is>
      </c>
      <c r="I419" s="29" t="inlineStr">
        <is>
          <t>子彈拳</t>
        </is>
      </c>
      <c r="J419" s="29">
        <f>IFERROR(__xludf.DUMMYFUNCTION("GOOGLETRANSLATE(I419,""zh_HANT"",""zh_HANS"")"),"子弹拳")</f>
        <v/>
      </c>
      <c r="K419" s="29">
        <f>F419</f>
        <v/>
      </c>
    </row>
    <row r="420">
      <c r="A420" s="29">
        <f>CONCATENATE("NAME_MOVE_", SUBSTITUTE(SUBSTITUTE(UPPER(B420), " ", ""), "-", ""))</f>
        <v/>
      </c>
      <c r="B420" s="29" t="inlineStr">
        <is>
          <t>Avalanche</t>
        </is>
      </c>
      <c r="C420" s="29" t="inlineStr">
        <is>
          <t>ゆきなだれ</t>
        </is>
      </c>
      <c r="D420" s="29" t="inlineStr">
        <is>
          <t>Avalanche</t>
        </is>
      </c>
      <c r="E420" s="29" t="inlineStr">
        <is>
          <t>Lawine</t>
        </is>
      </c>
      <c r="F420" s="29" t="inlineStr">
        <is>
          <t>Alud</t>
        </is>
      </c>
      <c r="G420" s="29" t="inlineStr">
        <is>
          <t>Slavina</t>
        </is>
      </c>
      <c r="H420" s="29" t="inlineStr">
        <is>
          <t>눈사태</t>
        </is>
      </c>
      <c r="I420" s="29" t="inlineStr">
        <is>
          <t>雪崩</t>
        </is>
      </c>
      <c r="J420" s="29">
        <f>I420</f>
        <v/>
      </c>
      <c r="K420" s="29">
        <f>F420</f>
        <v/>
      </c>
    </row>
    <row r="421">
      <c r="A421" s="29">
        <f>CONCATENATE("NAME_MOVE_", SUBSTITUTE(SUBSTITUTE(UPPER(B421), " ", ""), "-", ""))</f>
        <v/>
      </c>
      <c r="B421" s="29" t="inlineStr">
        <is>
          <t>Ice Shard</t>
        </is>
      </c>
      <c r="C421" s="29" t="inlineStr">
        <is>
          <t>こおりのつぶて</t>
        </is>
      </c>
      <c r="D421" s="29" t="inlineStr">
        <is>
          <t>Éclats Glace</t>
        </is>
      </c>
      <c r="E421" s="29" t="inlineStr">
        <is>
          <t>Eissplitter</t>
        </is>
      </c>
      <c r="F421" s="29" t="inlineStr">
        <is>
          <t>Canto Helado</t>
        </is>
      </c>
      <c r="G421" s="29" t="inlineStr">
        <is>
          <t>Geloscheggia</t>
        </is>
      </c>
      <c r="H421" s="29" t="inlineStr">
        <is>
          <t>얼음뭉치</t>
        </is>
      </c>
      <c r="I421" s="29" t="inlineStr">
        <is>
          <t>冰礫</t>
        </is>
      </c>
      <c r="J421" s="29">
        <f>IFERROR(__xludf.DUMMYFUNCTION("GOOGLETRANSLATE(I421,""zh_HANT"",""zh_HANS"")"),"冰砾")</f>
        <v/>
      </c>
      <c r="K421" s="29">
        <f>F421</f>
        <v/>
      </c>
    </row>
    <row r="422">
      <c r="A422" s="29">
        <f>CONCATENATE("NAME_MOVE_", SUBSTITUTE(SUBSTITUTE(UPPER(B422), " ", ""), "-", ""))</f>
        <v/>
      </c>
      <c r="B422" s="29" t="inlineStr">
        <is>
          <t>Shadow Claw</t>
        </is>
      </c>
      <c r="C422" s="29" t="inlineStr">
        <is>
          <t>シャドークロー</t>
        </is>
      </c>
      <c r="D422" s="29" t="inlineStr">
        <is>
          <t>Griffe Ombre</t>
        </is>
      </c>
      <c r="E422" s="29" t="inlineStr">
        <is>
          <t>Dunkelklaue</t>
        </is>
      </c>
      <c r="F422" s="29" t="inlineStr">
        <is>
          <t>Garra Umbría</t>
        </is>
      </c>
      <c r="G422" s="29" t="inlineStr">
        <is>
          <t>Ombrartigli</t>
        </is>
      </c>
      <c r="H422" s="29" t="inlineStr">
        <is>
          <t>섀도크루</t>
        </is>
      </c>
      <c r="I422" s="29" t="inlineStr">
        <is>
          <t>暗影爪</t>
        </is>
      </c>
      <c r="J422" s="29">
        <f>I422</f>
        <v/>
      </c>
      <c r="K422" s="29">
        <f>F422</f>
        <v/>
      </c>
    </row>
    <row r="423">
      <c r="A423" s="29">
        <f>CONCATENATE("NAME_MOVE_", SUBSTITUTE(SUBSTITUTE(UPPER(B423), " ", ""), "-", ""))</f>
        <v/>
      </c>
      <c r="B423" s="29" t="inlineStr">
        <is>
          <t>Thunder Fang</t>
        </is>
      </c>
      <c r="C423" s="29" t="inlineStr">
        <is>
          <t>かみなりのキバ</t>
        </is>
      </c>
      <c r="D423" s="29" t="inlineStr">
        <is>
          <t>Crocs Éclair</t>
        </is>
      </c>
      <c r="E423" s="29" t="inlineStr">
        <is>
          <t>Donnerzahn</t>
        </is>
      </c>
      <c r="F423" s="29" t="inlineStr">
        <is>
          <t>Colmillo Rayo</t>
        </is>
      </c>
      <c r="G423" s="29" t="inlineStr">
        <is>
          <t>Fulmindenti</t>
        </is>
      </c>
      <c r="H423" s="29" t="inlineStr">
        <is>
          <t>번개엄니</t>
        </is>
      </c>
      <c r="I423" s="29" t="inlineStr">
        <is>
          <t>雷電牙</t>
        </is>
      </c>
      <c r="J423" s="29">
        <f>I423</f>
        <v/>
      </c>
      <c r="K423" s="29">
        <f>F423</f>
        <v/>
      </c>
    </row>
    <row r="424">
      <c r="A424" s="29">
        <f>CONCATENATE("NAME_MOVE_", SUBSTITUTE(SUBSTITUTE(UPPER(B424), " ", ""), "-", ""))</f>
        <v/>
      </c>
      <c r="B424" s="29" t="inlineStr">
        <is>
          <t>Ice Fang</t>
        </is>
      </c>
      <c r="C424" s="29" t="inlineStr">
        <is>
          <t>こおりのキバ</t>
        </is>
      </c>
      <c r="D424" s="29" t="inlineStr">
        <is>
          <t>Crocs Givre</t>
        </is>
      </c>
      <c r="E424" s="29" t="inlineStr">
        <is>
          <t>Eiszahn</t>
        </is>
      </c>
      <c r="F424" s="29" t="inlineStr">
        <is>
          <t>Colmillo Hielo</t>
        </is>
      </c>
      <c r="G424" s="29" t="inlineStr">
        <is>
          <t>Gelodenti</t>
        </is>
      </c>
      <c r="H424" s="29" t="inlineStr">
        <is>
          <t>얼음엄니</t>
        </is>
      </c>
      <c r="I424" s="29" t="inlineStr">
        <is>
          <t>冰凍牙</t>
        </is>
      </c>
      <c r="J424" s="29">
        <f>IFERROR(__xludf.DUMMYFUNCTION("GOOGLETRANSLATE(I424,""zh_HANT"",""zh_HANS"")"),"冰冻牙")</f>
        <v/>
      </c>
      <c r="K424" s="29">
        <f>F424</f>
        <v/>
      </c>
    </row>
    <row r="425">
      <c r="A425" s="29">
        <f>CONCATENATE("NAME_MOVE_", SUBSTITUTE(SUBSTITUTE(UPPER(B425), " ", ""), "-", ""))</f>
        <v/>
      </c>
      <c r="B425" s="29" t="inlineStr">
        <is>
          <t>Fire Fang</t>
        </is>
      </c>
      <c r="C425" s="29" t="inlineStr">
        <is>
          <t>ほのおのキバ</t>
        </is>
      </c>
      <c r="D425" s="29" t="inlineStr">
        <is>
          <t>Crocs Feu</t>
        </is>
      </c>
      <c r="E425" s="29" t="inlineStr">
        <is>
          <t>Feuerzahn</t>
        </is>
      </c>
      <c r="F425" s="29" t="inlineStr">
        <is>
          <t>Colmillo Fuego</t>
        </is>
      </c>
      <c r="G425" s="29" t="inlineStr">
        <is>
          <t>Rogodenti</t>
        </is>
      </c>
      <c r="H425" s="29" t="inlineStr">
        <is>
          <t>불꽃엄니</t>
        </is>
      </c>
      <c r="I425" s="29" t="inlineStr">
        <is>
          <t>火焰牙</t>
        </is>
      </c>
      <c r="J425" s="29">
        <f>I425</f>
        <v/>
      </c>
      <c r="K425" s="29">
        <f>F425</f>
        <v/>
      </c>
    </row>
    <row r="426">
      <c r="A426" s="29">
        <f>CONCATENATE("NAME_MOVE_", SUBSTITUTE(SUBSTITUTE(UPPER(B426), " ", ""), "-", ""))</f>
        <v/>
      </c>
      <c r="B426" s="29" t="inlineStr">
        <is>
          <t>Shadow Sneak</t>
        </is>
      </c>
      <c r="C426" s="29" t="inlineStr">
        <is>
          <t>かげうち</t>
        </is>
      </c>
      <c r="D426" s="29" t="inlineStr">
        <is>
          <t>Ombre Portée</t>
        </is>
      </c>
      <c r="E426" s="29" t="inlineStr">
        <is>
          <t>Schattenstoß</t>
        </is>
      </c>
      <c r="F426" s="29" t="inlineStr">
        <is>
          <t>Sombra Vil</t>
        </is>
      </c>
      <c r="G426" s="29" t="inlineStr">
        <is>
          <t>Furtivombra</t>
        </is>
      </c>
      <c r="H426" s="29" t="inlineStr">
        <is>
          <t>야습</t>
        </is>
      </c>
      <c r="I426" s="29" t="inlineStr">
        <is>
          <t>影子偷襲</t>
        </is>
      </c>
      <c r="J426" s="29">
        <f>IFERROR(__xludf.DUMMYFUNCTION("GOOGLETRANSLATE(I426,""zh_HANT"",""zh_HANS"")"),"影子偷袭")</f>
        <v/>
      </c>
      <c r="K426" s="29">
        <f>F426</f>
        <v/>
      </c>
    </row>
    <row r="427">
      <c r="A427" s="29">
        <f>CONCATENATE("NAME_MOVE_", SUBSTITUTE(SUBSTITUTE(UPPER(B427), " ", ""), "-", ""))</f>
        <v/>
      </c>
      <c r="B427" s="29" t="inlineStr">
        <is>
          <t>Mud Bomb</t>
        </is>
      </c>
      <c r="C427" s="29" t="inlineStr">
        <is>
          <t>どろばくだん</t>
        </is>
      </c>
      <c r="D427" s="29" t="inlineStr">
        <is>
          <t>Boue-Bombe</t>
        </is>
      </c>
      <c r="E427" s="29" t="inlineStr">
        <is>
          <t>Schlammbombe</t>
        </is>
      </c>
      <c r="F427" s="29" t="inlineStr">
        <is>
          <t>Bomba Fango</t>
        </is>
      </c>
      <c r="G427" s="29" t="inlineStr">
        <is>
          <t>Pantanobomba</t>
        </is>
      </c>
      <c r="H427" s="29" t="inlineStr">
        <is>
          <t>진흙폭탄</t>
        </is>
      </c>
      <c r="I427" s="29" t="inlineStr">
        <is>
          <t>泥巴炸彈</t>
        </is>
      </c>
      <c r="J427" s="29">
        <f>IFERROR(__xludf.DUMMYFUNCTION("GOOGLETRANSLATE(I427,""zh_HANT"",""zh_HANS"")"),"泥巴炸弹")</f>
        <v/>
      </c>
      <c r="K427" s="29">
        <f>F427</f>
        <v/>
      </c>
    </row>
    <row r="428">
      <c r="A428" s="29">
        <f>CONCATENATE("NAME_MOVE_", SUBSTITUTE(SUBSTITUTE(UPPER(B428), " ", ""), "-", ""))</f>
        <v/>
      </c>
      <c r="B428" s="29" t="inlineStr">
        <is>
          <t>Psycho Cut</t>
        </is>
      </c>
      <c r="C428" s="29" t="inlineStr">
        <is>
          <t>サイコカッター</t>
        </is>
      </c>
      <c r="D428" s="29" t="inlineStr">
        <is>
          <t>Coupe Psycho</t>
        </is>
      </c>
      <c r="E428" s="29" t="inlineStr">
        <is>
          <t>Psychoklinge</t>
        </is>
      </c>
      <c r="F428" s="29" t="inlineStr">
        <is>
          <t>Psicocorte</t>
        </is>
      </c>
      <c r="G428" s="29" t="inlineStr">
        <is>
          <t>Psicotaglio</t>
        </is>
      </c>
      <c r="H428" s="29" t="inlineStr">
        <is>
          <t>사이코커터</t>
        </is>
      </c>
      <c r="I428" s="29" t="inlineStr">
        <is>
          <t>精神利刃</t>
        </is>
      </c>
      <c r="J428" s="29">
        <f>I428</f>
        <v/>
      </c>
      <c r="K428" s="29">
        <f>F428</f>
        <v/>
      </c>
    </row>
    <row r="429">
      <c r="A429" s="29">
        <f>CONCATENATE("NAME_MOVE_", SUBSTITUTE(SUBSTITUTE(UPPER(B429), " ", ""), "-", ""))</f>
        <v/>
      </c>
      <c r="B429" s="29" t="inlineStr">
        <is>
          <t>Zen Headbutt</t>
        </is>
      </c>
      <c r="C429" s="29" t="inlineStr">
        <is>
          <t>しねんのずつき</t>
        </is>
      </c>
      <c r="D429" s="29" t="inlineStr">
        <is>
          <t>Psykoud'Boule</t>
        </is>
      </c>
      <c r="E429" s="29" t="inlineStr">
        <is>
          <t>Zen-Kopfstoß</t>
        </is>
      </c>
      <c r="F429" s="29" t="inlineStr">
        <is>
          <t>Cabezazo Zen</t>
        </is>
      </c>
      <c r="G429" s="29" t="inlineStr">
        <is>
          <t>Cozzata Zen</t>
        </is>
      </c>
      <c r="H429" s="29" t="inlineStr">
        <is>
          <t>사념의박치기</t>
        </is>
      </c>
      <c r="I429" s="29" t="inlineStr">
        <is>
          <t>意念頭錘</t>
        </is>
      </c>
      <c r="J429" s="29">
        <f>IFERROR(__xludf.DUMMYFUNCTION("GOOGLETRANSLATE(I429,""zh_HANT"",""zh_HANS"")"),"意念头锤")</f>
        <v/>
      </c>
      <c r="K429" s="29">
        <f>F429</f>
        <v/>
      </c>
    </row>
    <row r="430">
      <c r="A430" s="29">
        <f>CONCATENATE("NAME_MOVE_", SUBSTITUTE(SUBSTITUTE(UPPER(B430), " ", ""), "-", ""))</f>
        <v/>
      </c>
      <c r="B430" s="29" t="inlineStr">
        <is>
          <t>Mirror Shot</t>
        </is>
      </c>
      <c r="C430" s="29" t="inlineStr">
        <is>
          <t>ミラーショット</t>
        </is>
      </c>
      <c r="D430" s="29" t="inlineStr">
        <is>
          <t>Miroi-Tir</t>
        </is>
      </c>
      <c r="E430" s="29" t="inlineStr">
        <is>
          <t>Spiegelsalve</t>
        </is>
      </c>
      <c r="F430" s="29" t="inlineStr">
        <is>
          <t>Disparo Espejo</t>
        </is>
      </c>
      <c r="G430" s="29" t="inlineStr">
        <is>
          <t>Cristalcolpo</t>
        </is>
      </c>
      <c r="H430" s="29" t="inlineStr">
        <is>
          <t>미러숏</t>
        </is>
      </c>
      <c r="I430" s="29" t="inlineStr">
        <is>
          <t>鏡光射擊</t>
        </is>
      </c>
      <c r="J430" s="29">
        <f>IFERROR(__xludf.DUMMYFUNCTION("GOOGLETRANSLATE(I430,""zh_HANT"",""zh_HANS"")"),"镜光射击")</f>
        <v/>
      </c>
      <c r="K430" s="29">
        <f>F430</f>
        <v/>
      </c>
    </row>
    <row r="431">
      <c r="A431" s="29">
        <f>CONCATENATE("NAME_MOVE_", SUBSTITUTE(SUBSTITUTE(UPPER(B431), " ", ""), "-", ""))</f>
        <v/>
      </c>
      <c r="B431" s="29" t="inlineStr">
        <is>
          <t>Flash Cannon</t>
        </is>
      </c>
      <c r="C431" s="29" t="inlineStr">
        <is>
          <t>ラスターカノン</t>
        </is>
      </c>
      <c r="D431" s="29" t="inlineStr">
        <is>
          <t>Luminocanon</t>
        </is>
      </c>
      <c r="E431" s="29" t="inlineStr">
        <is>
          <t>Lichtkanone</t>
        </is>
      </c>
      <c r="F431" s="29" t="inlineStr">
        <is>
          <t>Foco Respl.</t>
        </is>
      </c>
      <c r="G431" s="29" t="inlineStr">
        <is>
          <t>Cannonflash</t>
        </is>
      </c>
      <c r="H431" s="29" t="inlineStr">
        <is>
          <t>러스터캐논</t>
        </is>
      </c>
      <c r="I431" s="29" t="inlineStr">
        <is>
          <t>加農光炮</t>
        </is>
      </c>
      <c r="J431" s="29">
        <f>IFERROR(__xludf.DUMMYFUNCTION("GOOGLETRANSLATE(I431,""zh_HANT"",""zh_HANS"")"),"加农光炮")</f>
        <v/>
      </c>
      <c r="K431" s="29">
        <f>F431</f>
        <v/>
      </c>
    </row>
    <row r="432">
      <c r="A432" s="29">
        <f>CONCATENATE("NAME_MOVE_", SUBSTITUTE(SUBSTITUTE(UPPER(B432), " ", ""), "-", ""))</f>
        <v/>
      </c>
      <c r="B432" s="29" t="inlineStr">
        <is>
          <t>Rock Climb</t>
        </is>
      </c>
      <c r="C432" s="29" t="inlineStr">
        <is>
          <t>ロッククライム</t>
        </is>
      </c>
      <c r="D432" s="29" t="inlineStr">
        <is>
          <t>Escalade</t>
        </is>
      </c>
      <c r="E432" s="29" t="inlineStr">
        <is>
          <t>Kraxler</t>
        </is>
      </c>
      <c r="F432" s="29" t="inlineStr">
        <is>
          <t>Treparrocas</t>
        </is>
      </c>
      <c r="G432" s="29" t="inlineStr">
        <is>
          <t>Scalaroccia</t>
        </is>
      </c>
      <c r="H432" s="29" t="inlineStr">
        <is>
          <t>락클라임</t>
        </is>
      </c>
      <c r="I432" s="29" t="inlineStr">
        <is>
          <t>攀岩</t>
        </is>
      </c>
      <c r="J432" s="29">
        <f>I432</f>
        <v/>
      </c>
      <c r="K432" s="29">
        <f>F432</f>
        <v/>
      </c>
    </row>
    <row r="433">
      <c r="A433" s="29">
        <f>CONCATENATE("NAME_MOVE_", SUBSTITUTE(SUBSTITUTE(UPPER(B433), " ", ""), "-", ""))</f>
        <v/>
      </c>
      <c r="B433" s="29" t="inlineStr">
        <is>
          <t>Defog</t>
        </is>
      </c>
      <c r="C433" s="29" t="inlineStr">
        <is>
          <t>きりばらい</t>
        </is>
      </c>
      <c r="D433" s="29" t="inlineStr">
        <is>
          <t>Anti-Brume</t>
        </is>
      </c>
      <c r="E433" s="29" t="inlineStr">
        <is>
          <t>Auflockern</t>
        </is>
      </c>
      <c r="F433" s="29" t="inlineStr">
        <is>
          <t>Despejar</t>
        </is>
      </c>
      <c r="G433" s="29" t="inlineStr">
        <is>
          <t>Scacciabruma</t>
        </is>
      </c>
      <c r="H433" s="29" t="inlineStr">
        <is>
          <t>안개제거</t>
        </is>
      </c>
      <c r="I433" s="29" t="inlineStr">
        <is>
          <t>清除濃霧</t>
        </is>
      </c>
      <c r="J433" s="29">
        <f>IFERROR(__xludf.DUMMYFUNCTION("GOOGLETRANSLATE(I433,""zh_HANT"",""zh_HANS"")"),"清除浓雾")</f>
        <v/>
      </c>
      <c r="K433" s="29">
        <f>F433</f>
        <v/>
      </c>
    </row>
    <row r="434">
      <c r="A434" s="29">
        <f>CONCATENATE("NAME_MOVE_", SUBSTITUTE(SUBSTITUTE(UPPER(B434), " ", ""), "-", ""))</f>
        <v/>
      </c>
      <c r="B434" s="29" t="inlineStr">
        <is>
          <t>Trick Room</t>
        </is>
      </c>
      <c r="C434" s="29" t="inlineStr">
        <is>
          <t>トリックルーム</t>
        </is>
      </c>
      <c r="D434" s="29" t="inlineStr">
        <is>
          <t>Distorsion</t>
        </is>
      </c>
      <c r="E434" s="29" t="inlineStr">
        <is>
          <t>Bizarroraum</t>
        </is>
      </c>
      <c r="F434" s="29" t="inlineStr">
        <is>
          <t>Espacio Raro</t>
        </is>
      </c>
      <c r="G434" s="29" t="inlineStr">
        <is>
          <t>Distortozona</t>
        </is>
      </c>
      <c r="H434" s="29" t="inlineStr">
        <is>
          <t>트릭룸</t>
        </is>
      </c>
      <c r="I434" s="29" t="inlineStr">
        <is>
          <t>戲法空間</t>
        </is>
      </c>
      <c r="J434" s="29">
        <f>IFERROR(__xludf.DUMMYFUNCTION("GOOGLETRANSLATE(I434,""zh_HANT"",""zh_HANS"")"),"戏法空间")</f>
        <v/>
      </c>
      <c r="K434" s="29">
        <f>F434</f>
        <v/>
      </c>
    </row>
    <row r="435">
      <c r="A435" s="29">
        <f>CONCATENATE("NAME_MOVE_", SUBSTITUTE(SUBSTITUTE(UPPER(B435), " ", ""), "-", ""))</f>
        <v/>
      </c>
      <c r="B435" s="29" t="inlineStr">
        <is>
          <t>Draco Meteor</t>
        </is>
      </c>
      <c r="C435" s="29" t="inlineStr">
        <is>
          <t>りゅうせいぐん</t>
        </is>
      </c>
      <c r="D435" s="29" t="inlineStr">
        <is>
          <t>Draco-Météore</t>
        </is>
      </c>
      <c r="E435" s="29">
        <f>B435</f>
        <v/>
      </c>
      <c r="F435" s="29" t="inlineStr">
        <is>
          <t>Cometa Draco</t>
        </is>
      </c>
      <c r="G435" s="29" t="inlineStr">
        <is>
          <t>Dragobolide</t>
        </is>
      </c>
      <c r="H435" s="29" t="inlineStr">
        <is>
          <t>용성군</t>
        </is>
      </c>
      <c r="I435" s="29" t="inlineStr">
        <is>
          <t>流星群</t>
        </is>
      </c>
      <c r="J435" s="29">
        <f>I435</f>
        <v/>
      </c>
      <c r="K435" s="29">
        <f>F435</f>
        <v/>
      </c>
    </row>
    <row r="436">
      <c r="A436" s="29">
        <f>CONCATENATE("NAME_MOVE_", SUBSTITUTE(SUBSTITUTE(UPPER(B436), " ", ""), "-", ""))</f>
        <v/>
      </c>
      <c r="B436" s="29" t="inlineStr">
        <is>
          <t>Discharge</t>
        </is>
      </c>
      <c r="C436" s="29" t="inlineStr">
        <is>
          <t>ほうでん</t>
        </is>
      </c>
      <c r="D436" s="29" t="inlineStr">
        <is>
          <t>Coup d'Jus</t>
        </is>
      </c>
      <c r="E436" s="29" t="inlineStr">
        <is>
          <t>Ladungsstoß</t>
        </is>
      </c>
      <c r="F436" s="29" t="inlineStr">
        <is>
          <t>Chispazo</t>
        </is>
      </c>
      <c r="G436" s="29" t="inlineStr">
        <is>
          <t>Scarica</t>
        </is>
      </c>
      <c r="H436" s="29" t="inlineStr">
        <is>
          <t>방전</t>
        </is>
      </c>
      <c r="I436" s="29" t="inlineStr">
        <is>
          <t>放電</t>
        </is>
      </c>
      <c r="J436" s="29">
        <f>IFERROR(__xludf.DUMMYFUNCTION("GOOGLETRANSLATE(I436,""zh_HANT"",""zh_HANS"")"),"放电")</f>
        <v/>
      </c>
      <c r="K436" s="29">
        <f>F436</f>
        <v/>
      </c>
    </row>
    <row r="437">
      <c r="A437" s="29">
        <f>CONCATENATE("NAME_MOVE_", SUBSTITUTE(SUBSTITUTE(UPPER(B437), " ", ""), "-", ""))</f>
        <v/>
      </c>
      <c r="B437" s="29" t="inlineStr">
        <is>
          <t>Lava Plume</t>
        </is>
      </c>
      <c r="C437" s="29" t="inlineStr">
        <is>
          <t>ふんえん</t>
        </is>
      </c>
      <c r="D437" s="29" t="inlineStr">
        <is>
          <t>Ébullilave</t>
        </is>
      </c>
      <c r="E437" s="29" t="inlineStr">
        <is>
          <t>Flammensturm</t>
        </is>
      </c>
      <c r="F437" s="29" t="inlineStr">
        <is>
          <t>Humareda</t>
        </is>
      </c>
      <c r="G437" s="29" t="inlineStr">
        <is>
          <t>Lavasbuffo</t>
        </is>
      </c>
      <c r="H437" s="29" t="inlineStr">
        <is>
          <t>분연</t>
        </is>
      </c>
      <c r="I437" s="29" t="inlineStr">
        <is>
          <t>噴煙</t>
        </is>
      </c>
      <c r="J437" s="29">
        <f>IFERROR(__xludf.DUMMYFUNCTION("GOOGLETRANSLATE(I437,""zh_HANT"",""zh_HANS"")"),"喷烟")</f>
        <v/>
      </c>
      <c r="K437" s="29">
        <f>F437</f>
        <v/>
      </c>
    </row>
    <row r="438">
      <c r="A438" s="29">
        <f>CONCATENATE("NAME_MOVE_", SUBSTITUTE(SUBSTITUTE(UPPER(B438), " ", ""), "-", ""))</f>
        <v/>
      </c>
      <c r="B438" s="29" t="inlineStr">
        <is>
          <t>Leaf Storm</t>
        </is>
      </c>
      <c r="C438" s="29" t="inlineStr">
        <is>
          <t>リーフストーム</t>
        </is>
      </c>
      <c r="D438" s="29" t="inlineStr">
        <is>
          <t>Tempête Verte</t>
        </is>
      </c>
      <c r="E438" s="29" t="inlineStr">
        <is>
          <t>Blättersturm</t>
        </is>
      </c>
      <c r="F438" s="29" t="inlineStr">
        <is>
          <t>Lluevehojas</t>
        </is>
      </c>
      <c r="G438" s="29" t="inlineStr">
        <is>
          <t>Verdebufera</t>
        </is>
      </c>
      <c r="H438" s="29" t="inlineStr">
        <is>
          <t>리프스톰</t>
        </is>
      </c>
      <c r="I438" s="29" t="inlineStr">
        <is>
          <t>飛葉風暴</t>
        </is>
      </c>
      <c r="J438" s="29">
        <f>IFERROR(__xludf.DUMMYFUNCTION("GOOGLETRANSLATE(I438,""zh_HANT"",""zh_HANS"")"),"飞叶风暴")</f>
        <v/>
      </c>
      <c r="K438" s="29">
        <f>F438</f>
        <v/>
      </c>
    </row>
    <row r="439">
      <c r="A439" s="29">
        <f>CONCATENATE("NAME_MOVE_", SUBSTITUTE(SUBSTITUTE(UPPER(B439), " ", ""), "-", ""))</f>
        <v/>
      </c>
      <c r="B439" s="29" t="inlineStr">
        <is>
          <t>Power Whip</t>
        </is>
      </c>
      <c r="C439" s="29" t="inlineStr">
        <is>
          <t>パワーウィップ</t>
        </is>
      </c>
      <c r="D439" s="29" t="inlineStr">
        <is>
          <t>Mégafouet</t>
        </is>
      </c>
      <c r="E439" s="29" t="inlineStr">
        <is>
          <t>Blattgeißel</t>
        </is>
      </c>
      <c r="F439" s="29" t="inlineStr">
        <is>
          <t>Latigazo</t>
        </is>
      </c>
      <c r="G439" s="29" t="inlineStr">
        <is>
          <t>Vigorcolpo</t>
        </is>
      </c>
      <c r="H439" s="29" t="inlineStr">
        <is>
          <t>파워휩</t>
        </is>
      </c>
      <c r="I439" s="29" t="inlineStr">
        <is>
          <t>飛葉風暴</t>
        </is>
      </c>
      <c r="J439" s="29">
        <f>IFERROR(__xludf.DUMMYFUNCTION("GOOGLETRANSLATE(I439,""zh_HANT"",""zh_HANS"")"),"飞叶风暴")</f>
        <v/>
      </c>
      <c r="K439" s="29">
        <f>F439</f>
        <v/>
      </c>
    </row>
    <row r="440">
      <c r="A440" s="29">
        <f>CONCATENATE("NAME_MOVE_", SUBSTITUTE(SUBSTITUTE(UPPER(B440), " ", ""), "-", ""))</f>
        <v/>
      </c>
      <c r="B440" s="29" t="inlineStr">
        <is>
          <t>Rock Wrecker</t>
        </is>
      </c>
      <c r="C440" s="29" t="inlineStr">
        <is>
          <t>がんせきほう</t>
        </is>
      </c>
      <c r="D440" s="29" t="inlineStr">
        <is>
          <t>Roc-Boulet</t>
        </is>
      </c>
      <c r="E440" s="29" t="inlineStr">
        <is>
          <t>Felswerfer</t>
        </is>
      </c>
      <c r="F440" s="29" t="inlineStr">
        <is>
          <t>Romperrocas</t>
        </is>
      </c>
      <c r="G440" s="29" t="inlineStr">
        <is>
          <t>Devastomasso</t>
        </is>
      </c>
      <c r="H440" s="29" t="inlineStr">
        <is>
          <t>암석포</t>
        </is>
      </c>
      <c r="I440" s="29" t="inlineStr">
        <is>
          <t>岩石炮</t>
        </is>
      </c>
      <c r="J440" s="29">
        <f>I440</f>
        <v/>
      </c>
      <c r="K440" s="29">
        <f>F440</f>
        <v/>
      </c>
    </row>
    <row r="441">
      <c r="A441" s="29">
        <f>CONCATENATE("NAME_MOVE_", SUBSTITUTE(SUBSTITUTE(UPPER(B441), " ", ""), "-", ""))</f>
        <v/>
      </c>
      <c r="B441" s="29" t="inlineStr">
        <is>
          <t>Cross Poison</t>
        </is>
      </c>
      <c r="C441" s="29" t="inlineStr">
        <is>
          <t>クロスポイスン</t>
        </is>
      </c>
      <c r="D441" s="29" t="inlineStr">
        <is>
          <t>Poison Croix</t>
        </is>
      </c>
      <c r="E441" s="29" t="inlineStr">
        <is>
          <t>Giftstreich</t>
        </is>
      </c>
      <c r="F441" s="29" t="inlineStr">
        <is>
          <t>Veneno X</t>
        </is>
      </c>
      <c r="G441" s="29" t="inlineStr">
        <is>
          <t>Velenocroce</t>
        </is>
      </c>
      <c r="H441" s="29" t="inlineStr">
        <is>
          <t>크로스포이즌</t>
        </is>
      </c>
      <c r="I441" s="29" t="inlineStr">
        <is>
          <t>十字毒刃</t>
        </is>
      </c>
      <c r="J441" s="29">
        <f>I441</f>
        <v/>
      </c>
      <c r="K441" s="29">
        <f>F441</f>
        <v/>
      </c>
    </row>
    <row r="442">
      <c r="A442" s="29">
        <f>CONCATENATE("NAME_MOVE_", SUBSTITUTE(SUBSTITUTE(UPPER(B442), " ", ""), "-", ""))</f>
        <v/>
      </c>
      <c r="B442" s="29" t="inlineStr">
        <is>
          <t>Gunk Shot</t>
        </is>
      </c>
      <c r="C442" s="29" t="inlineStr">
        <is>
          <t>ダストシュート</t>
        </is>
      </c>
      <c r="D442" s="29" t="inlineStr">
        <is>
          <t>Détricanon</t>
        </is>
      </c>
      <c r="E442" s="29" t="inlineStr">
        <is>
          <t>Mülltreffer</t>
        </is>
      </c>
      <c r="F442" s="29" t="inlineStr">
        <is>
          <t>Lanzamugre</t>
        </is>
      </c>
      <c r="G442" s="29" t="inlineStr">
        <is>
          <t>Sporcolancio</t>
        </is>
      </c>
      <c r="H442" s="29" t="inlineStr">
        <is>
          <t>더스트슈트</t>
        </is>
      </c>
      <c r="I442" s="29" t="inlineStr">
        <is>
          <t>垃圾射擊</t>
        </is>
      </c>
      <c r="J442" s="29">
        <f>IFERROR(__xludf.DUMMYFUNCTION("GOOGLETRANSLATE(I442,""zh_HANT"",""zh_HANS"")"),"垃圾射击")</f>
        <v/>
      </c>
      <c r="K442" s="29">
        <f>F442</f>
        <v/>
      </c>
    </row>
    <row r="443">
      <c r="A443" s="29">
        <f>CONCATENATE("NAME_MOVE_", SUBSTITUTE(SUBSTITUTE(UPPER(B443), " ", ""), "-", ""))</f>
        <v/>
      </c>
      <c r="B443" s="29" t="inlineStr">
        <is>
          <t>Iron Head</t>
        </is>
      </c>
      <c r="C443" s="29" t="inlineStr">
        <is>
          <t>アイアンヘッド</t>
        </is>
      </c>
      <c r="D443" s="29" t="inlineStr">
        <is>
          <t>Tête de Fer</t>
        </is>
      </c>
      <c r="E443" s="29" t="inlineStr">
        <is>
          <t>Eisenschädel</t>
        </is>
      </c>
      <c r="F443" s="29" t="inlineStr">
        <is>
          <t>Cabezahierro</t>
        </is>
      </c>
      <c r="G443" s="29" t="inlineStr">
        <is>
          <t>Metaltestata</t>
        </is>
      </c>
      <c r="H443" s="29" t="inlineStr">
        <is>
          <t>아이언헤드</t>
        </is>
      </c>
      <c r="I443" s="29" t="inlineStr">
        <is>
          <t>鐵頭</t>
        </is>
      </c>
      <c r="J443" s="29">
        <f>IFERROR(__xludf.DUMMYFUNCTION("GOOGLETRANSLATE(I443,""zh_HANT"",""zh_HANS"")"),"铁头")</f>
        <v/>
      </c>
      <c r="K443" s="29">
        <f>F443</f>
        <v/>
      </c>
    </row>
    <row r="444">
      <c r="A444" s="29">
        <f>CONCATENATE("NAME_MOVE_", SUBSTITUTE(SUBSTITUTE(UPPER(B444), " ", ""), "-", ""))</f>
        <v/>
      </c>
      <c r="B444" s="29" t="inlineStr">
        <is>
          <t>Magnet Bomb</t>
        </is>
      </c>
      <c r="C444" s="29" t="inlineStr">
        <is>
          <t>マグネットボム</t>
        </is>
      </c>
      <c r="D444" s="29" t="inlineStr">
        <is>
          <t>Bombe Aimant</t>
        </is>
      </c>
      <c r="E444" s="29" t="inlineStr">
        <is>
          <t>Magnetbombe</t>
        </is>
      </c>
      <c r="F444" s="29" t="inlineStr">
        <is>
          <t>Bomba Imán</t>
        </is>
      </c>
      <c r="G444" s="29" t="inlineStr">
        <is>
          <t>Bombagnete</t>
        </is>
      </c>
      <c r="H444" s="29" t="inlineStr">
        <is>
          <t>마그넷봄</t>
        </is>
      </c>
      <c r="I444" s="29" t="inlineStr">
        <is>
          <t>磁鐵炸彈</t>
        </is>
      </c>
      <c r="J444" s="29">
        <f>IFERROR(__xludf.DUMMYFUNCTION("GOOGLETRANSLATE(I444,""zh_HANT"",""zh_HANS"")"),"磁铁炸弹")</f>
        <v/>
      </c>
      <c r="K444" s="29">
        <f>F444</f>
        <v/>
      </c>
    </row>
    <row r="445">
      <c r="A445" s="29">
        <f>CONCATENATE("NAME_MOVE_", SUBSTITUTE(SUBSTITUTE(UPPER(B445), " ", ""), "-", ""))</f>
        <v/>
      </c>
      <c r="B445" s="29" t="inlineStr">
        <is>
          <t>Stone Edge</t>
        </is>
      </c>
      <c r="C445" s="29" t="inlineStr">
        <is>
          <t>ストーンエッジ</t>
        </is>
      </c>
      <c r="D445" s="29" t="inlineStr">
        <is>
          <t>Lame de Roc</t>
        </is>
      </c>
      <c r="E445" s="29" t="inlineStr">
        <is>
          <t>Steinkante</t>
        </is>
      </c>
      <c r="F445" s="29" t="inlineStr">
        <is>
          <t>Roca Afilada</t>
        </is>
      </c>
      <c r="G445" s="29" t="inlineStr">
        <is>
          <t>Pietrataglio</t>
        </is>
      </c>
      <c r="H445" s="29" t="inlineStr">
        <is>
          <t>스톤에지</t>
        </is>
      </c>
      <c r="I445" s="29" t="inlineStr">
        <is>
          <t>尖石攻擊</t>
        </is>
      </c>
      <c r="J445" s="29">
        <f>IFERROR(__xludf.DUMMYFUNCTION("GOOGLETRANSLATE(I445,""zh_HANT"",""zh_HANS"")"),"尖石攻击")</f>
        <v/>
      </c>
      <c r="K445" s="29">
        <f>F445</f>
        <v/>
      </c>
    </row>
    <row r="446">
      <c r="A446" s="29">
        <f>CONCATENATE("NAME_MOVE_", SUBSTITUTE(SUBSTITUTE(UPPER(B446), " ", ""), "-", ""))</f>
        <v/>
      </c>
      <c r="B446" s="29" t="inlineStr">
        <is>
          <t>Captivate</t>
        </is>
      </c>
      <c r="C446" s="29" t="inlineStr">
        <is>
          <t>ようわく</t>
        </is>
      </c>
      <c r="D446" s="29" t="inlineStr">
        <is>
          <t>Séduction</t>
        </is>
      </c>
      <c r="E446" s="29" t="inlineStr">
        <is>
          <t>Liebreiz</t>
        </is>
      </c>
      <c r="F446" s="29" t="inlineStr">
        <is>
          <t>Seducción</t>
        </is>
      </c>
      <c r="G446" s="29" t="inlineStr">
        <is>
          <t>Incanto</t>
        </is>
      </c>
      <c r="H446" s="29" t="inlineStr">
        <is>
          <t>유혹</t>
        </is>
      </c>
      <c r="I446" s="29" t="inlineStr">
        <is>
          <t>誘惑</t>
        </is>
      </c>
      <c r="J446" s="29">
        <f>IFERROR(__xludf.DUMMYFUNCTION("GOOGLETRANSLATE(I446,""zh_HANT"",""zh_HANS"")"),"诱惑")</f>
        <v/>
      </c>
      <c r="K446" s="29">
        <f>F446</f>
        <v/>
      </c>
    </row>
    <row r="447">
      <c r="A447" s="29">
        <f>CONCATENATE("NAME_MOVE_", SUBSTITUTE(SUBSTITUTE(UPPER(B447), " ", ""), "-", ""))</f>
        <v/>
      </c>
      <c r="B447" s="29" t="inlineStr">
        <is>
          <t>Stealth Rock</t>
        </is>
      </c>
      <c r="C447" s="29" t="inlineStr">
        <is>
          <t>ステルスロック</t>
        </is>
      </c>
      <c r="D447" s="29" t="inlineStr">
        <is>
          <t>Piège de Roc</t>
        </is>
      </c>
      <c r="E447" s="29" t="inlineStr">
        <is>
          <t>Tarnstein</t>
        </is>
      </c>
      <c r="F447" s="29" t="inlineStr">
        <is>
          <t>Trampa Rocas</t>
        </is>
      </c>
      <c r="G447" s="29" t="inlineStr">
        <is>
          <t>Levitoroccia</t>
        </is>
      </c>
      <c r="H447" s="29" t="inlineStr">
        <is>
          <t>스텔스록</t>
        </is>
      </c>
      <c r="I447" s="29" t="inlineStr">
        <is>
          <t>隱形岩</t>
        </is>
      </c>
      <c r="J447" s="29">
        <f>IFERROR(__xludf.DUMMYFUNCTION("GOOGLETRANSLATE(I447,""zh_HANT"",""zh_HANS"")"),"隐形岩")</f>
        <v/>
      </c>
      <c r="K447" s="29">
        <f>F447</f>
        <v/>
      </c>
    </row>
    <row r="448">
      <c r="A448" s="29">
        <f>CONCATENATE("NAME_MOVE_", SUBSTITUTE(SUBSTITUTE(UPPER(B448), " ", ""), "-", ""))</f>
        <v/>
      </c>
      <c r="B448" s="29" t="inlineStr">
        <is>
          <t>Grass Knot</t>
        </is>
      </c>
      <c r="C448" s="29" t="inlineStr">
        <is>
          <t>くさむすび</t>
        </is>
      </c>
      <c r="D448" s="29" t="inlineStr">
        <is>
          <t>Nœud Herbe</t>
        </is>
      </c>
      <c r="E448" s="29" t="inlineStr">
        <is>
          <t>Strauchler</t>
        </is>
      </c>
      <c r="F448" s="29" t="inlineStr">
        <is>
          <t>Hierba Lazo</t>
        </is>
      </c>
      <c r="G448" s="29" t="inlineStr">
        <is>
          <t>Laccioerboso</t>
        </is>
      </c>
      <c r="H448" s="29" t="inlineStr">
        <is>
          <t>풀묶기</t>
        </is>
      </c>
      <c r="I448" s="29" t="inlineStr">
        <is>
          <t>打草結</t>
        </is>
      </c>
      <c r="J448" s="29">
        <f>IFERROR(__xludf.DUMMYFUNCTION("GOOGLETRANSLATE(I448,""zh_HANT"",""zh_HANS"")"),"打草结")</f>
        <v/>
      </c>
      <c r="K448" s="29">
        <f>F448</f>
        <v/>
      </c>
    </row>
    <row r="449">
      <c r="A449" s="29">
        <f>CONCATENATE("NAME_MOVE_", SUBSTITUTE(SUBSTITUTE(UPPER(B449), " ", ""), "-", ""))</f>
        <v/>
      </c>
      <c r="B449" s="29" t="inlineStr">
        <is>
          <t>Chatter</t>
        </is>
      </c>
      <c r="C449" s="29" t="inlineStr">
        <is>
          <t>おしゃべり</t>
        </is>
      </c>
      <c r="D449" s="29" t="inlineStr">
        <is>
          <t>Babil</t>
        </is>
      </c>
      <c r="E449" s="29" t="inlineStr">
        <is>
          <t>Geschwätz</t>
        </is>
      </c>
      <c r="F449" s="29" t="inlineStr">
        <is>
          <t>Cháchara</t>
        </is>
      </c>
      <c r="G449" s="29" t="inlineStr">
        <is>
          <t>Schiamazzo</t>
        </is>
      </c>
      <c r="H449" s="6" t="inlineStr">
        <is>
          <t>수다</t>
        </is>
      </c>
      <c r="I449" s="6" t="inlineStr">
        <is>
          <t>喋喋不休</t>
        </is>
      </c>
      <c r="J449" s="29">
        <f>I449</f>
        <v/>
      </c>
      <c r="K449" s="29">
        <f>F449</f>
        <v/>
      </c>
    </row>
    <row r="450">
      <c r="A450" s="29">
        <f>CONCATENATE("NAME_MOVE_", SUBSTITUTE(SUBSTITUTE(UPPER(B450), " ", ""), "-", ""))</f>
        <v/>
      </c>
      <c r="B450" s="29" t="inlineStr">
        <is>
          <t>Judgment</t>
        </is>
      </c>
      <c r="C450" s="29" t="inlineStr">
        <is>
          <t>さばきのつぶて</t>
        </is>
      </c>
      <c r="D450" s="29" t="inlineStr">
        <is>
          <t>Jugement</t>
        </is>
      </c>
      <c r="E450" s="29" t="inlineStr">
        <is>
          <t>Urteilskraft</t>
        </is>
      </c>
      <c r="F450" s="29" t="inlineStr">
        <is>
          <t>Sentencia</t>
        </is>
      </c>
      <c r="G450" s="29" t="inlineStr">
        <is>
          <t>Giudizio</t>
        </is>
      </c>
      <c r="H450" s="29" t="inlineStr">
        <is>
          <t>심판의뭉치</t>
        </is>
      </c>
      <c r="I450" s="29" t="inlineStr">
        <is>
          <t>制裁光礫</t>
        </is>
      </c>
      <c r="J450" s="29">
        <f>IFERROR(__xludf.DUMMYFUNCTION("GOOGLETRANSLATE(I450,""zh_HANT"",""zh_HANS"")"),"制裁光砾")</f>
        <v/>
      </c>
      <c r="K450" s="29">
        <f>F450</f>
        <v/>
      </c>
    </row>
    <row r="451">
      <c r="A451" s="29">
        <f>CONCATENATE("NAME_MOVE_", SUBSTITUTE(SUBSTITUTE(UPPER(B451), " ", ""), "-", ""))</f>
        <v/>
      </c>
      <c r="B451" s="29" t="inlineStr">
        <is>
          <t>Bug Bite</t>
        </is>
      </c>
      <c r="C451" s="29" t="inlineStr">
        <is>
          <t>むしくい</t>
        </is>
      </c>
      <c r="D451" s="29" t="inlineStr">
        <is>
          <t>Piqûre</t>
        </is>
      </c>
      <c r="E451" s="29" t="inlineStr">
        <is>
          <t>Käferbiss</t>
        </is>
      </c>
      <c r="F451" s="29" t="inlineStr">
        <is>
          <t>Picadura</t>
        </is>
      </c>
      <c r="G451" s="29" t="inlineStr">
        <is>
          <t>Coleomorso</t>
        </is>
      </c>
      <c r="H451" s="29" t="inlineStr">
        <is>
          <t>벌레먹음</t>
        </is>
      </c>
      <c r="I451" s="29" t="inlineStr">
        <is>
          <t>蟲咬</t>
        </is>
      </c>
      <c r="J451" s="29">
        <f>IFERROR(__xludf.DUMMYFUNCTION("GOOGLETRANSLATE(I451,""zh_HANT"",""zh_HANS"")"),"虫咬")</f>
        <v/>
      </c>
      <c r="K451" s="29">
        <f>F451</f>
        <v/>
      </c>
    </row>
    <row r="452">
      <c r="A452" s="29">
        <f>CONCATENATE("NAME_MOVE_", SUBSTITUTE(SUBSTITUTE(UPPER(B452), " ", ""), "-", ""))</f>
        <v/>
      </c>
      <c r="B452" s="29" t="inlineStr">
        <is>
          <t>Charge Beam</t>
        </is>
      </c>
      <c r="C452" s="29" t="inlineStr">
        <is>
          <t>チャージビーム</t>
        </is>
      </c>
      <c r="D452" s="29" t="inlineStr">
        <is>
          <t>Rayon Chargé</t>
        </is>
      </c>
      <c r="E452" s="29" t="inlineStr">
        <is>
          <t>Ladestrahl</t>
        </is>
      </c>
      <c r="F452" s="29" t="inlineStr">
        <is>
          <t>Rayo Carga</t>
        </is>
      </c>
      <c r="G452" s="29" t="inlineStr">
        <is>
          <t>Raggioscossa</t>
        </is>
      </c>
      <c r="H452" s="29" t="inlineStr">
        <is>
          <t>차지빔</t>
        </is>
      </c>
      <c r="I452" s="29" t="inlineStr">
        <is>
          <t>充電光束</t>
        </is>
      </c>
      <c r="J452" s="29">
        <f>IFERROR(__xludf.DUMMYFUNCTION("GOOGLETRANSLATE(I452,""zh_HANT"",""zh_HANS"")"),"充电光束")</f>
        <v/>
      </c>
      <c r="K452" s="29">
        <f>F452</f>
        <v/>
      </c>
    </row>
    <row r="453">
      <c r="A453" s="29">
        <f>CONCATENATE("NAME_MOVE_", SUBSTITUTE(SUBSTITUTE(UPPER(B453), " ", ""), "-", ""))</f>
        <v/>
      </c>
      <c r="B453" s="29" t="inlineStr">
        <is>
          <t>Wood Hammer</t>
        </is>
      </c>
      <c r="C453" s="29" t="inlineStr">
        <is>
          <t>ウッドハンマー</t>
        </is>
      </c>
      <c r="D453" s="29" t="inlineStr">
        <is>
          <t>Martobois</t>
        </is>
      </c>
      <c r="E453" s="29" t="inlineStr">
        <is>
          <t>Holzhammer</t>
        </is>
      </c>
      <c r="F453" s="29" t="inlineStr">
        <is>
          <t>Mazazo</t>
        </is>
      </c>
      <c r="G453" s="29" t="inlineStr">
        <is>
          <t>Mazzuolegno</t>
        </is>
      </c>
      <c r="H453" s="29" t="inlineStr">
        <is>
          <t>우드해머</t>
        </is>
      </c>
      <c r="I453" s="29" t="inlineStr">
        <is>
          <t>木槌</t>
        </is>
      </c>
      <c r="J453" s="29">
        <f>I453</f>
        <v/>
      </c>
      <c r="K453" s="29">
        <f>F453</f>
        <v/>
      </c>
    </row>
    <row r="454">
      <c r="A454" s="29">
        <f>CONCATENATE("NAME_MOVE_", SUBSTITUTE(SUBSTITUTE(UPPER(B454), " ", ""), "-", ""))</f>
        <v/>
      </c>
      <c r="B454" s="29" t="inlineStr">
        <is>
          <t>Aqua Jet</t>
        </is>
      </c>
      <c r="C454" s="29" t="inlineStr">
        <is>
          <t>アクアジェット</t>
        </is>
      </c>
      <c r="D454" s="29" t="inlineStr">
        <is>
          <t>Aqua-Jet</t>
        </is>
      </c>
      <c r="E454" s="29" t="inlineStr">
        <is>
          <t>Wasserdüse</t>
        </is>
      </c>
      <c r="F454" s="29" t="inlineStr">
        <is>
          <t>Acua Jet</t>
        </is>
      </c>
      <c r="G454" s="29" t="inlineStr">
        <is>
          <t>Acquagetto</t>
        </is>
      </c>
      <c r="H454" s="29" t="inlineStr">
        <is>
          <t>아쿠아제트</t>
        </is>
      </c>
      <c r="I454" s="29" t="inlineStr">
        <is>
          <t>水流噴射</t>
        </is>
      </c>
      <c r="J454" s="29">
        <f>IFERROR(__xludf.DUMMYFUNCTION("GOOGLETRANSLATE(I454,""zh_HANT"",""zh_HANS"")"),"水流喷射")</f>
        <v/>
      </c>
      <c r="K454" s="29">
        <f>F454</f>
        <v/>
      </c>
    </row>
    <row r="455">
      <c r="A455" s="29">
        <f>CONCATENATE("NAME_MOVE_", SUBSTITUTE(SUBSTITUTE(UPPER(B455), " ", ""), "-", ""))</f>
        <v/>
      </c>
      <c r="B455" s="29" t="inlineStr">
        <is>
          <t>Attack Order</t>
        </is>
      </c>
      <c r="C455" s="29" t="inlineStr">
        <is>
          <t>こうげきしれい</t>
        </is>
      </c>
      <c r="D455" s="29" t="inlineStr">
        <is>
          <t>Appel Attak</t>
        </is>
      </c>
      <c r="E455" s="29" t="inlineStr">
        <is>
          <t>Schlagbefehl</t>
        </is>
      </c>
      <c r="F455" s="29" t="inlineStr">
        <is>
          <t>Al Ataque</t>
        </is>
      </c>
      <c r="G455" s="29" t="inlineStr">
        <is>
          <t>Commandourto</t>
        </is>
      </c>
      <c r="H455" s="29" t="inlineStr">
        <is>
          <t>공격지령</t>
        </is>
      </c>
      <c r="I455" s="29" t="inlineStr">
        <is>
          <t>攻擊指令</t>
        </is>
      </c>
      <c r="J455" s="29">
        <f>IFERROR(__xludf.DUMMYFUNCTION("GOOGLETRANSLATE(I455,""zh_HANT"",""zh_HANS"")"),"攻击指令")</f>
        <v/>
      </c>
      <c r="K455" s="29">
        <f>F455</f>
        <v/>
      </c>
    </row>
    <row r="456">
      <c r="A456" s="29">
        <f>CONCATENATE("NAME_MOVE_", SUBSTITUTE(SUBSTITUTE(UPPER(B456), " ", ""), "-", ""))</f>
        <v/>
      </c>
      <c r="B456" s="29" t="inlineStr">
        <is>
          <t>Defend Order</t>
        </is>
      </c>
      <c r="C456" s="29" t="inlineStr">
        <is>
          <t>ぼうぎょしれい</t>
        </is>
      </c>
      <c r="D456" s="29" t="inlineStr">
        <is>
          <t>Appel Défense</t>
        </is>
      </c>
      <c r="E456" s="29" t="inlineStr">
        <is>
          <t>Blockbefehl</t>
        </is>
      </c>
      <c r="F456" s="29" t="inlineStr">
        <is>
          <t>A Defender</t>
        </is>
      </c>
      <c r="G456" s="29" t="inlineStr">
        <is>
          <t>Commandoscudo</t>
        </is>
      </c>
      <c r="H456" s="29" t="inlineStr">
        <is>
          <t>방어지령</t>
        </is>
      </c>
      <c r="I456" s="29" t="inlineStr">
        <is>
          <t>防禦指令</t>
        </is>
      </c>
      <c r="J456" s="29">
        <f>IFERROR(__xludf.DUMMYFUNCTION("GOOGLETRANSLATE(I456,""zh_HANT"",""zh_HANS"")"),"防御指令")</f>
        <v/>
      </c>
      <c r="K456" s="29">
        <f>F456</f>
        <v/>
      </c>
    </row>
    <row r="457">
      <c r="A457" s="29">
        <f>CONCATENATE("NAME_MOVE_", SUBSTITUTE(SUBSTITUTE(UPPER(B457), " ", ""), "-", ""))</f>
        <v/>
      </c>
      <c r="B457" s="29" t="inlineStr">
        <is>
          <t>Heal Order</t>
        </is>
      </c>
      <c r="C457" s="29" t="inlineStr">
        <is>
          <t>かいふくしれい</t>
        </is>
      </c>
      <c r="D457" s="29" t="inlineStr">
        <is>
          <t>Appel Soins</t>
        </is>
      </c>
      <c r="E457" s="29" t="inlineStr">
        <is>
          <t>Heilbefehl</t>
        </is>
      </c>
      <c r="F457" s="29" t="inlineStr">
        <is>
          <t>Auxilio</t>
        </is>
      </c>
      <c r="G457" s="29" t="inlineStr">
        <is>
          <t>Commandocura</t>
        </is>
      </c>
      <c r="H457" s="29" t="inlineStr">
        <is>
          <t>회복지령</t>
        </is>
      </c>
      <c r="I457" s="29" t="inlineStr">
        <is>
          <t>回復指令</t>
        </is>
      </c>
      <c r="J457" s="29">
        <f>IFERROR(__xludf.DUMMYFUNCTION("GOOGLETRANSLATE(I457,""zh_HANT"",""zh_HANS"")"),"回复指令")</f>
        <v/>
      </c>
      <c r="K457" s="29">
        <f>F457</f>
        <v/>
      </c>
    </row>
    <row r="458">
      <c r="A458" s="29">
        <f>CONCATENATE("NAME_MOVE_", SUBSTITUTE(SUBSTITUTE(UPPER(B458), " ", ""), "-", ""))</f>
        <v/>
      </c>
      <c r="B458" s="29" t="inlineStr">
        <is>
          <t>Head Smash</t>
        </is>
      </c>
      <c r="C458" s="29" t="inlineStr">
        <is>
          <t>もろはのずつき</t>
        </is>
      </c>
      <c r="D458" s="29" t="inlineStr">
        <is>
          <t>Fracass'Tête</t>
        </is>
      </c>
      <c r="E458" s="29" t="inlineStr">
        <is>
          <t>Kopfstoß</t>
        </is>
      </c>
      <c r="F458" s="29" t="inlineStr">
        <is>
          <t>Testarazo</t>
        </is>
      </c>
      <c r="G458" s="29" t="inlineStr">
        <is>
          <t>Zuccata</t>
        </is>
      </c>
      <c r="H458" s="29" t="inlineStr">
        <is>
          <t>양날박치기</t>
        </is>
      </c>
      <c r="I458" s="29" t="inlineStr">
        <is>
          <t>雙刃頭錘</t>
        </is>
      </c>
      <c r="J458" s="29">
        <f>IFERROR(__xludf.DUMMYFUNCTION("GOOGLETRANSLATE(I458,""zh_HANT"",""zh_HANS"")"),"双刃头锤")</f>
        <v/>
      </c>
      <c r="K458" s="29">
        <f>F458</f>
        <v/>
      </c>
    </row>
    <row r="459">
      <c r="A459" s="29">
        <f>CONCATENATE("NAME_MOVE_", SUBSTITUTE(SUBSTITUTE(UPPER(B459), " ", ""), "-", ""))</f>
        <v/>
      </c>
      <c r="B459" s="29" t="inlineStr">
        <is>
          <t>Double Hit</t>
        </is>
      </c>
      <c r="C459" s="29" t="inlineStr">
        <is>
          <t>ダブルアタック</t>
        </is>
      </c>
      <c r="D459" s="29" t="inlineStr">
        <is>
          <t>Coup Double</t>
        </is>
      </c>
      <c r="E459" s="29" t="inlineStr">
        <is>
          <t>Doppelschlag</t>
        </is>
      </c>
      <c r="F459" s="29" t="inlineStr">
        <is>
          <t>Doble Golpe</t>
        </is>
      </c>
      <c r="G459" s="29" t="inlineStr">
        <is>
          <t>Doppiosmash</t>
        </is>
      </c>
      <c r="H459" s="29" t="inlineStr">
        <is>
          <t>더블어택</t>
        </is>
      </c>
      <c r="I459" s="29" t="inlineStr">
        <is>
          <t>二連擊</t>
        </is>
      </c>
      <c r="J459" s="29">
        <f>IFERROR(__xludf.DUMMYFUNCTION("GOOGLETRANSLATE(I459,""zh_HANT"",""zh_HANS"")"),"二连击")</f>
        <v/>
      </c>
      <c r="K459" s="29">
        <f>F459</f>
        <v/>
      </c>
    </row>
    <row r="460">
      <c r="A460" s="29">
        <f>CONCATENATE("NAME_MOVE_", SUBSTITUTE(SUBSTITUTE(UPPER(B460), " ", ""), "-", ""))</f>
        <v/>
      </c>
      <c r="B460" s="29" t="inlineStr">
        <is>
          <t>Roar of Time</t>
        </is>
      </c>
      <c r="C460" s="29" t="inlineStr">
        <is>
          <t>ときのほうこう</t>
        </is>
      </c>
      <c r="D460" s="29" t="inlineStr">
        <is>
          <t>Hurle-Temps</t>
        </is>
      </c>
      <c r="E460" s="29" t="inlineStr">
        <is>
          <t>Zeitenlärm</t>
        </is>
      </c>
      <c r="F460" s="29" t="inlineStr">
        <is>
          <t>Distorsión</t>
        </is>
      </c>
      <c r="G460" s="29" t="inlineStr">
        <is>
          <t>Fragortempo</t>
        </is>
      </c>
      <c r="H460" s="29" t="inlineStr">
        <is>
          <t>시간의포효</t>
        </is>
      </c>
      <c r="I460" s="29" t="inlineStr">
        <is>
          <t>時光咆哮</t>
        </is>
      </c>
      <c r="J460" s="29">
        <f>IFERROR(__xludf.DUMMYFUNCTION("GOOGLETRANSLATE(I460,""zh_HANT"",""zh_HANS"")"),"时光咆哮")</f>
        <v/>
      </c>
      <c r="K460" s="29">
        <f>F460</f>
        <v/>
      </c>
    </row>
    <row r="461">
      <c r="A461" s="29">
        <f>CONCATENATE("NAME_MOVE_", SUBSTITUTE(SUBSTITUTE(UPPER(B461), " ", ""), "-", ""))</f>
        <v/>
      </c>
      <c r="B461" s="29" t="inlineStr">
        <is>
          <t>Spacial Rend</t>
        </is>
      </c>
      <c r="C461" s="29" t="inlineStr">
        <is>
          <t>あくうせつだん</t>
        </is>
      </c>
      <c r="D461" s="29" t="inlineStr">
        <is>
          <t>Spatio-Rift</t>
        </is>
      </c>
      <c r="E461" s="29" t="inlineStr">
        <is>
          <t>Raumschlag</t>
        </is>
      </c>
      <c r="F461" s="29" t="inlineStr">
        <is>
          <t>Corte Vacío</t>
        </is>
      </c>
      <c r="G461" s="29" t="inlineStr">
        <is>
          <t>Fendispazio</t>
        </is>
      </c>
      <c r="H461" s="29" t="inlineStr">
        <is>
          <t>공간절단</t>
        </is>
      </c>
      <c r="I461" s="29" t="inlineStr">
        <is>
          <t>亞空裂斬</t>
        </is>
      </c>
      <c r="J461" s="29">
        <f>IFERROR(__xludf.DUMMYFUNCTION("GOOGLETRANSLATE(I461,""zh_HANT"",""zh_HANS"")"),"亚空裂斩")</f>
        <v/>
      </c>
      <c r="K461" s="29">
        <f>F461</f>
        <v/>
      </c>
    </row>
    <row r="462">
      <c r="A462" s="29">
        <f>CONCATENATE("NAME_MOVE_", SUBSTITUTE(SUBSTITUTE(UPPER(B462), " ", ""), "-", ""))</f>
        <v/>
      </c>
      <c r="B462" s="29" t="inlineStr">
        <is>
          <t>Lunar Dance</t>
        </is>
      </c>
      <c r="C462" s="29" t="inlineStr">
        <is>
          <t>みかずきのまい</t>
        </is>
      </c>
      <c r="D462" s="29" t="inlineStr">
        <is>
          <t>Danse Lune</t>
        </is>
      </c>
      <c r="E462" s="29" t="inlineStr">
        <is>
          <t>Lunartanz</t>
        </is>
      </c>
      <c r="F462" s="29" t="inlineStr">
        <is>
          <t>Danza Lunar</t>
        </is>
      </c>
      <c r="G462" s="29" t="inlineStr">
        <is>
          <t>Lunardanza</t>
        </is>
      </c>
      <c r="H462" s="29" t="inlineStr">
        <is>
          <t>초승달춤</t>
        </is>
      </c>
      <c r="I462" s="29" t="inlineStr">
        <is>
          <t>新月舞</t>
        </is>
      </c>
      <c r="J462" s="29">
        <f>I462</f>
        <v/>
      </c>
      <c r="K462" s="29">
        <f>F462</f>
        <v/>
      </c>
    </row>
    <row r="463">
      <c r="A463" s="29">
        <f>CONCATENATE("NAME_MOVE_", SUBSTITUTE(SUBSTITUTE(UPPER(B463), " ", ""), "-", ""))</f>
        <v/>
      </c>
      <c r="B463" s="29" t="inlineStr">
        <is>
          <t>Crush Grip</t>
        </is>
      </c>
      <c r="C463" s="29" t="inlineStr">
        <is>
          <t>にぎりつぶす</t>
        </is>
      </c>
      <c r="D463" s="29" t="inlineStr">
        <is>
          <t>Presse</t>
        </is>
      </c>
      <c r="E463" s="29" t="inlineStr">
        <is>
          <t>Quetschgriff</t>
        </is>
      </c>
      <c r="F463" s="29" t="inlineStr">
        <is>
          <t>Agarrón</t>
        </is>
      </c>
      <c r="G463" s="29" t="inlineStr">
        <is>
          <t>Sbriciolmano</t>
        </is>
      </c>
      <c r="H463" s="29" t="inlineStr">
        <is>
          <t>묵사발</t>
        </is>
      </c>
      <c r="I463" s="29" t="inlineStr">
        <is>
          <t>捏碎</t>
        </is>
      </c>
      <c r="J463" s="29">
        <f>I463</f>
        <v/>
      </c>
      <c r="K463" s="29">
        <f>F463</f>
        <v/>
      </c>
    </row>
    <row r="464">
      <c r="A464" s="29">
        <f>CONCATENATE("NAME_MOVE_", SUBSTITUTE(SUBSTITUTE(UPPER(B464), " ", ""), "-", ""))</f>
        <v/>
      </c>
      <c r="B464" s="29" t="inlineStr">
        <is>
          <t>Magma Storm</t>
        </is>
      </c>
      <c r="C464" s="29" t="inlineStr">
        <is>
          <t>マグマストーム</t>
        </is>
      </c>
      <c r="D464" s="29" t="inlineStr">
        <is>
          <t>Vortex Magma</t>
        </is>
      </c>
      <c r="E464" s="29" t="inlineStr">
        <is>
          <t>Lavasturm</t>
        </is>
      </c>
      <c r="F464" s="29" t="inlineStr">
        <is>
          <t>Lluvia Ígnea</t>
        </is>
      </c>
      <c r="G464" s="29" t="inlineStr">
        <is>
          <t>Magmaclisma</t>
        </is>
      </c>
      <c r="H464" s="29" t="inlineStr">
        <is>
          <t>마그마스톰</t>
        </is>
      </c>
      <c r="I464" s="29" t="inlineStr">
        <is>
          <t>熔岩風暴</t>
        </is>
      </c>
      <c r="J464" s="29">
        <f>IFERROR(__xludf.DUMMYFUNCTION("GOOGLETRANSLATE(I464,""zh_HANT"",""zh_HANS"")"),"熔岩风暴")</f>
        <v/>
      </c>
      <c r="K464" s="29">
        <f>F464</f>
        <v/>
      </c>
    </row>
    <row r="465">
      <c r="A465" s="29">
        <f>CONCATENATE("NAME_MOVE_", SUBSTITUTE(SUBSTITUTE(UPPER(B465), " ", ""), "-", ""))</f>
        <v/>
      </c>
      <c r="B465" s="29" t="inlineStr">
        <is>
          <t>Dark Void</t>
        </is>
      </c>
      <c r="C465" s="29" t="inlineStr">
        <is>
          <t>ダークホール</t>
        </is>
      </c>
      <c r="D465" s="29" t="inlineStr">
        <is>
          <t>Trou Noir</t>
        </is>
      </c>
      <c r="E465" s="29" t="inlineStr">
        <is>
          <t>Schlummerort</t>
        </is>
      </c>
      <c r="F465" s="29" t="inlineStr">
        <is>
          <t>Brecha Negra</t>
        </is>
      </c>
      <c r="G465" s="29" t="inlineStr">
        <is>
          <t>Vuototetro</t>
        </is>
      </c>
      <c r="H465" s="29" t="inlineStr">
        <is>
          <t>다크홀</t>
        </is>
      </c>
      <c r="I465" s="29" t="inlineStr">
        <is>
          <t>暗黑洞</t>
        </is>
      </c>
      <c r="J465" s="29">
        <f>I465</f>
        <v/>
      </c>
      <c r="K465" s="29">
        <f>F465</f>
        <v/>
      </c>
    </row>
    <row r="466">
      <c r="A466" s="29">
        <f>CONCATENATE("NAME_MOVE_", SUBSTITUTE(SUBSTITUTE(UPPER(B466), " ", ""), "-", ""))</f>
        <v/>
      </c>
      <c r="B466" s="29" t="inlineStr">
        <is>
          <t>Seed Flare</t>
        </is>
      </c>
      <c r="C466" s="29" t="inlineStr">
        <is>
          <t>シードフレア</t>
        </is>
      </c>
      <c r="D466" s="29" t="inlineStr">
        <is>
          <t>Fulmigraine</t>
        </is>
      </c>
      <c r="E466" s="29" t="inlineStr">
        <is>
          <t>Schocksamen</t>
        </is>
      </c>
      <c r="F466" s="29" t="inlineStr">
        <is>
          <t>Fogonazo</t>
        </is>
      </c>
      <c r="G466" s="29" t="inlineStr">
        <is>
          <t>Infuriaseme</t>
        </is>
      </c>
      <c r="H466" s="29" t="inlineStr">
        <is>
          <t>시드플레어</t>
        </is>
      </c>
      <c r="I466" s="29" t="inlineStr">
        <is>
          <t>種子閃光</t>
        </is>
      </c>
      <c r="J466" s="29">
        <f>IFERROR(__xludf.DUMMYFUNCTION("GOOGLETRANSLATE(I466,""zh_HANT"",""zh_HANS"")"),"种子闪光")</f>
        <v/>
      </c>
      <c r="K466" s="29">
        <f>F466</f>
        <v/>
      </c>
    </row>
    <row r="467">
      <c r="A467" s="29">
        <f>CONCATENATE("NAME_MOVE_", SUBSTITUTE(SUBSTITUTE(UPPER(B467), " ", ""), "-", ""))</f>
        <v/>
      </c>
      <c r="B467" s="29" t="inlineStr">
        <is>
          <t>Ominous Wind</t>
        </is>
      </c>
      <c r="C467" s="29" t="inlineStr">
        <is>
          <t>あやしいかぜ</t>
        </is>
      </c>
      <c r="D467" s="29" t="inlineStr">
        <is>
          <t>Vent Mauvais</t>
        </is>
      </c>
      <c r="E467" s="29" t="inlineStr">
        <is>
          <t>Unheilböen</t>
        </is>
      </c>
      <c r="F467" s="29" t="inlineStr">
        <is>
          <t>Viento Aciago</t>
        </is>
      </c>
      <c r="G467" s="29" t="inlineStr">
        <is>
          <t>Funestovento</t>
        </is>
      </c>
      <c r="H467" s="29" t="inlineStr">
        <is>
          <t>괴상한바람</t>
        </is>
      </c>
      <c r="I467" s="29" t="inlineStr">
        <is>
          <t>奇異之風</t>
        </is>
      </c>
      <c r="J467" s="29">
        <f>IFERROR(__xludf.DUMMYFUNCTION("GOOGLETRANSLATE(I467,""zh_HANT"",""zh_HANS"")"),"奇异之风")</f>
        <v/>
      </c>
      <c r="K467" s="29">
        <f>F467</f>
        <v/>
      </c>
    </row>
    <row r="468">
      <c r="A468" s="29">
        <f>CONCATENATE("NAME_MOVE_", SUBSTITUTE(SUBSTITUTE(UPPER(B468), " ", ""), "-", ""))</f>
        <v/>
      </c>
      <c r="B468" s="29" t="inlineStr">
        <is>
          <t>Shadow Force</t>
        </is>
      </c>
      <c r="C468" s="29" t="inlineStr">
        <is>
          <t>シャドーダイブ</t>
        </is>
      </c>
      <c r="D468" s="29" t="inlineStr">
        <is>
          <t>Revenant</t>
        </is>
      </c>
      <c r="E468" s="29" t="inlineStr">
        <is>
          <t>Schemenkraft</t>
        </is>
      </c>
      <c r="F468" s="29" t="inlineStr">
        <is>
          <t>Golpe Umbrío</t>
        </is>
      </c>
      <c r="G468" s="29" t="inlineStr">
        <is>
          <t>Oscurotuffo</t>
        </is>
      </c>
      <c r="H468" s="29" t="inlineStr">
        <is>
          <t>섀도다이브</t>
        </is>
      </c>
      <c r="I468" s="29" t="inlineStr">
        <is>
          <t>暗影潛襲</t>
        </is>
      </c>
      <c r="J468" s="29">
        <f>IFERROR(__xludf.DUMMYFUNCTION("GOOGLETRANSLATE(I468,""zh_HANT"",""zh_HANS"")"),"暗影潜袭")</f>
        <v/>
      </c>
      <c r="K468" s="29">
        <f>F468</f>
        <v/>
      </c>
    </row>
    <row r="469">
      <c r="A469" s="29">
        <f>CONCATENATE("NAME_MOVE_", SUBSTITUTE(SUBSTITUTE(UPPER(B469), " ", ""), "-", ""))</f>
        <v/>
      </c>
      <c r="B469" s="29" t="inlineStr">
        <is>
          <t>Hone Claws</t>
        </is>
      </c>
      <c r="C469" s="29" t="inlineStr">
        <is>
          <t>つめとぎ</t>
        </is>
      </c>
      <c r="D469" s="29" t="inlineStr">
        <is>
          <t>Aiguisage</t>
        </is>
      </c>
      <c r="E469" s="29" t="inlineStr">
        <is>
          <t>Klauenwetzer</t>
        </is>
      </c>
      <c r="F469" s="29" t="inlineStr">
        <is>
          <t>Afilagarras</t>
        </is>
      </c>
      <c r="G469" s="29" t="inlineStr">
        <is>
          <t>Unghiaguzze</t>
        </is>
      </c>
      <c r="H469" s="29" t="inlineStr">
        <is>
          <t>손톱갈기</t>
        </is>
      </c>
      <c r="I469" s="29" t="inlineStr">
        <is>
          <t>磨爪</t>
        </is>
      </c>
      <c r="J469" s="29">
        <f>I469</f>
        <v/>
      </c>
      <c r="K469" s="29">
        <f>F469</f>
        <v/>
      </c>
    </row>
    <row r="470">
      <c r="A470" s="29">
        <f>CONCATENATE("NAME_MOVE_", SUBSTITUTE(SUBSTITUTE(UPPER(B470), " ", ""), "-", ""))</f>
        <v/>
      </c>
      <c r="B470" s="29" t="inlineStr">
        <is>
          <t>Wide Guard</t>
        </is>
      </c>
      <c r="C470" s="29" t="inlineStr">
        <is>
          <t>ワイドガード</t>
        </is>
      </c>
      <c r="D470" s="29" t="inlineStr">
        <is>
          <t>Garde Large</t>
        </is>
      </c>
      <c r="E470" s="29" t="inlineStr">
        <is>
          <t>Rundumschutz</t>
        </is>
      </c>
      <c r="F470" s="29" t="inlineStr">
        <is>
          <t>Vastaguardia</t>
        </is>
      </c>
      <c r="G470" s="29" t="inlineStr">
        <is>
          <t>Bodyguard</t>
        </is>
      </c>
      <c r="H470" s="29" t="inlineStr">
        <is>
          <t>와이드가드</t>
        </is>
      </c>
      <c r="I470" s="29" t="inlineStr">
        <is>
          <t>廣域防守</t>
        </is>
      </c>
      <c r="J470" s="29">
        <f>IFERROR(__xludf.DUMMYFUNCTION("GOOGLETRANSLATE(I470,""zh_HANT"",""zh_HANS"")"),"广域防守")</f>
        <v/>
      </c>
      <c r="K470" s="29">
        <f>F470</f>
        <v/>
      </c>
    </row>
    <row r="471">
      <c r="A471" s="29">
        <f>CONCATENATE("NAME_MOVE_", SUBSTITUTE(SUBSTITUTE(UPPER(B471), " ", ""), "-", ""))</f>
        <v/>
      </c>
      <c r="B471" s="29" t="inlineStr">
        <is>
          <t>Guard Split</t>
        </is>
      </c>
      <c r="C471" s="29" t="inlineStr">
        <is>
          <t>ガードシェア</t>
        </is>
      </c>
      <c r="D471" s="29" t="inlineStr">
        <is>
          <t>Partage Garde</t>
        </is>
      </c>
      <c r="E471" s="29" t="inlineStr">
        <is>
          <t>Schutzteiler</t>
        </is>
      </c>
      <c r="F471" s="29" t="inlineStr">
        <is>
          <t>Isoguardia</t>
        </is>
      </c>
      <c r="G471" s="29" t="inlineStr">
        <is>
          <t>Paridifesa</t>
        </is>
      </c>
      <c r="H471" s="29" t="inlineStr">
        <is>
          <t>가드셰어</t>
        </is>
      </c>
      <c r="I471" s="29" t="inlineStr">
        <is>
          <t>防守平分</t>
        </is>
      </c>
      <c r="J471" s="29">
        <f>I471</f>
        <v/>
      </c>
      <c r="K471" s="29">
        <f>F471</f>
        <v/>
      </c>
    </row>
    <row r="472">
      <c r="A472" s="29">
        <f>CONCATENATE("NAME_MOVE_", SUBSTITUTE(SUBSTITUTE(UPPER(B472), " ", ""), "-", ""))</f>
        <v/>
      </c>
      <c r="B472" s="29" t="inlineStr">
        <is>
          <t>Power Split</t>
        </is>
      </c>
      <c r="C472" s="29" t="inlineStr">
        <is>
          <t>パワーシェア</t>
        </is>
      </c>
      <c r="D472" s="29" t="inlineStr">
        <is>
          <t>Partage Force</t>
        </is>
      </c>
      <c r="E472" s="29" t="inlineStr">
        <is>
          <t>Kraftteiler</t>
        </is>
      </c>
      <c r="F472" s="29" t="inlineStr">
        <is>
          <t>Isofuerza</t>
        </is>
      </c>
      <c r="G472" s="29" t="inlineStr">
        <is>
          <t>Pariattacco</t>
        </is>
      </c>
      <c r="H472" s="29" t="inlineStr">
        <is>
          <t>파워셰어</t>
        </is>
      </c>
      <c r="I472" s="29" t="inlineStr">
        <is>
          <t>力量平分</t>
        </is>
      </c>
      <c r="J472" s="29">
        <f>I472</f>
        <v/>
      </c>
      <c r="K472" s="29">
        <f>F472</f>
        <v/>
      </c>
    </row>
    <row r="473">
      <c r="A473" s="29">
        <f>CONCATENATE("NAME_MOVE_", SUBSTITUTE(SUBSTITUTE(UPPER(B473), " ", ""), "-", ""))</f>
        <v/>
      </c>
      <c r="B473" s="29" t="inlineStr">
        <is>
          <t>Wonder Room</t>
        </is>
      </c>
      <c r="C473" s="29" t="inlineStr">
        <is>
          <t>ワンダールーム</t>
        </is>
      </c>
      <c r="D473" s="29" t="inlineStr">
        <is>
          <t>Zone Étrange</t>
        </is>
      </c>
      <c r="E473" s="29" t="inlineStr">
        <is>
          <t>Wunderraum</t>
        </is>
      </c>
      <c r="F473" s="29" t="inlineStr">
        <is>
          <t>Zona Extraña</t>
        </is>
      </c>
      <c r="G473" s="29" t="inlineStr">
        <is>
          <t>Mirabilzona</t>
        </is>
      </c>
      <c r="H473" s="29" t="inlineStr">
        <is>
          <t>원더룸</t>
        </is>
      </c>
      <c r="I473" s="29" t="inlineStr">
        <is>
          <t>奇妙空間</t>
        </is>
      </c>
      <c r="J473" s="29">
        <f>IFERROR(__xludf.DUMMYFUNCTION("GOOGLETRANSLATE(I473,""zh_HANT"",""zh_HANS"")"),"奇妙空间")</f>
        <v/>
      </c>
      <c r="K473" s="29">
        <f>F473</f>
        <v/>
      </c>
    </row>
    <row r="474">
      <c r="A474" s="29">
        <f>CONCATENATE("NAME_MOVE_", SUBSTITUTE(SUBSTITUTE(UPPER(B474), " ", ""), "-", ""))</f>
        <v/>
      </c>
      <c r="B474" s="29" t="inlineStr">
        <is>
          <t>Psyshock</t>
        </is>
      </c>
      <c r="C474" s="29" t="inlineStr">
        <is>
          <t>サイコショック</t>
        </is>
      </c>
      <c r="D474" s="29" t="inlineStr">
        <is>
          <t>Choc Psy</t>
        </is>
      </c>
      <c r="E474" s="29" t="inlineStr">
        <is>
          <t>Psychoshock</t>
        </is>
      </c>
      <c r="F474" s="29" t="inlineStr">
        <is>
          <t>Psicocarga</t>
        </is>
      </c>
      <c r="G474" s="29" t="inlineStr">
        <is>
          <t>Psicoshock</t>
        </is>
      </c>
      <c r="H474" s="29" t="inlineStr">
        <is>
          <t>사이코쇼크</t>
        </is>
      </c>
      <c r="I474" s="29" t="inlineStr">
        <is>
          <t>精神衝擊</t>
        </is>
      </c>
      <c r="J474" s="29">
        <f>IFERROR(__xludf.DUMMYFUNCTION("GOOGLETRANSLATE(I474,""zh_HANT"",""zh_HANS"")"),"精神冲击")</f>
        <v/>
      </c>
      <c r="K474" s="29">
        <f>F474</f>
        <v/>
      </c>
    </row>
    <row r="475">
      <c r="A475" s="29">
        <f>CONCATENATE("NAME_MOVE_", SUBSTITUTE(SUBSTITUTE(UPPER(B475), " ", ""), "-", ""))</f>
        <v/>
      </c>
      <c r="B475" s="29" t="inlineStr">
        <is>
          <t>Venoshock</t>
        </is>
      </c>
      <c r="C475" s="29" t="inlineStr">
        <is>
          <t>ベノムショック</t>
        </is>
      </c>
      <c r="D475" s="29" t="inlineStr">
        <is>
          <t>Choc Venin</t>
        </is>
      </c>
      <c r="E475" s="29" t="inlineStr">
        <is>
          <t>Giftschock</t>
        </is>
      </c>
      <c r="F475" s="29" t="inlineStr">
        <is>
          <t>Carga Tóxica</t>
        </is>
      </c>
      <c r="G475" s="29" t="inlineStr">
        <is>
          <t>Velenoshock</t>
        </is>
      </c>
      <c r="H475" s="29" t="inlineStr">
        <is>
          <t>베놈쇼크</t>
        </is>
      </c>
      <c r="I475" s="29" t="inlineStr">
        <is>
          <t>毒液衝擊</t>
        </is>
      </c>
      <c r="J475" s="29">
        <f>IFERROR(__xludf.DUMMYFUNCTION("GOOGLETRANSLATE(I475,""zh_HANT"",""zh_HANS"")"),"毒液冲击")</f>
        <v/>
      </c>
      <c r="K475" s="29">
        <f>F475</f>
        <v/>
      </c>
    </row>
    <row r="476">
      <c r="A476" s="29">
        <f>CONCATENATE("NAME_MOVE_", SUBSTITUTE(SUBSTITUTE(UPPER(B476), " ", ""), "-", ""))</f>
        <v/>
      </c>
      <c r="B476" s="29" t="inlineStr">
        <is>
          <t>Autotomize</t>
        </is>
      </c>
      <c r="C476" s="29" t="inlineStr">
        <is>
          <t>ボヂィパージ</t>
        </is>
      </c>
      <c r="D476" s="29" t="inlineStr">
        <is>
          <t>Allègement</t>
        </is>
      </c>
      <c r="E476" s="29" t="inlineStr">
        <is>
          <t>Autotomie</t>
        </is>
      </c>
      <c r="F476" s="29" t="inlineStr">
        <is>
          <t>Aligerar</t>
        </is>
      </c>
      <c r="G476" s="29" t="inlineStr">
        <is>
          <t>Sganciapesi</t>
        </is>
      </c>
      <c r="H476" s="29" t="inlineStr">
        <is>
          <t>바디퍼지</t>
        </is>
      </c>
      <c r="I476" s="29" t="inlineStr">
        <is>
          <t>身體輕量化</t>
        </is>
      </c>
      <c r="J476" s="29">
        <f>IFERROR(__xludf.DUMMYFUNCTION("GOOGLETRANSLATE(I476,""zh_HANT"",""zh_HANS"")"),"身体轻量化")</f>
        <v/>
      </c>
      <c r="K476" s="29">
        <f>F476</f>
        <v/>
      </c>
    </row>
    <row r="477">
      <c r="A477" s="29">
        <f>CONCATENATE("NAME_MOVE_", SUBSTITUTE(SUBSTITUTE(UPPER(B477), " ", ""), "-", ""))</f>
        <v/>
      </c>
      <c r="B477" s="29" t="inlineStr">
        <is>
          <t>Rage Powder</t>
        </is>
      </c>
      <c r="C477" s="29" t="inlineStr">
        <is>
          <t>いかりのこな</t>
        </is>
      </c>
      <c r="D477" s="29" t="inlineStr">
        <is>
          <t>Poudre Fureur</t>
        </is>
      </c>
      <c r="E477" s="29" t="inlineStr">
        <is>
          <t>Wulpulver</t>
        </is>
      </c>
      <c r="F477" s="29" t="inlineStr">
        <is>
          <t>Polvo Ira</t>
        </is>
      </c>
      <c r="G477" s="29" t="inlineStr">
        <is>
          <t>Polverabbia</t>
        </is>
      </c>
      <c r="H477" s="29" t="inlineStr">
        <is>
          <t>분노가루</t>
        </is>
      </c>
      <c r="I477" s="29" t="inlineStr">
        <is>
          <t>憤怒粉</t>
        </is>
      </c>
      <c r="J477" s="29">
        <f>IFERROR(__xludf.DUMMYFUNCTION("GOOGLETRANSLATE(I477,""zh_HANT"",""zh_HANS"")"),"愤怒粉")</f>
        <v/>
      </c>
      <c r="K477" s="29">
        <f>F477</f>
        <v/>
      </c>
    </row>
    <row r="478">
      <c r="A478" s="29">
        <f>CONCATENATE("NAME_MOVE_", SUBSTITUTE(SUBSTITUTE(UPPER(B478), " ", ""), "-", ""))</f>
        <v/>
      </c>
      <c r="B478" s="29" t="inlineStr">
        <is>
          <t>Telekinesis</t>
        </is>
      </c>
      <c r="C478" s="29" t="inlineStr">
        <is>
          <t>テリキネシス</t>
        </is>
      </c>
      <c r="D478" s="29" t="inlineStr">
        <is>
          <t>Lévikinésie</t>
        </is>
      </c>
      <c r="E478" s="29" t="inlineStr">
        <is>
          <t>Telekinese</t>
        </is>
      </c>
      <c r="F478" s="29" t="inlineStr">
        <is>
          <t>Telequinesis</t>
        </is>
      </c>
      <c r="G478" s="29" t="inlineStr">
        <is>
          <t>Telecinesi</t>
        </is>
      </c>
      <c r="H478" s="29" t="inlineStr">
        <is>
          <t>텔레키네시스</t>
        </is>
      </c>
      <c r="I478" s="29" t="inlineStr">
        <is>
          <t>意念移物</t>
        </is>
      </c>
      <c r="J478" s="29">
        <f>I478</f>
        <v/>
      </c>
      <c r="K478" s="29">
        <f>F478</f>
        <v/>
      </c>
    </row>
    <row r="479">
      <c r="A479" s="29">
        <f>CONCATENATE("NAME_MOVE_", SUBSTITUTE(SUBSTITUTE(UPPER(B479), " ", ""), "-", ""))</f>
        <v/>
      </c>
      <c r="B479" s="29" t="inlineStr">
        <is>
          <t>Magic Room</t>
        </is>
      </c>
      <c r="C479" s="29" t="inlineStr">
        <is>
          <t>マジックルーム</t>
        </is>
      </c>
      <c r="D479" s="29" t="inlineStr">
        <is>
          <t>Zone Magique</t>
        </is>
      </c>
      <c r="E479" s="29" t="inlineStr">
        <is>
          <t>Magieraum</t>
        </is>
      </c>
      <c r="F479" s="29" t="inlineStr">
        <is>
          <t>Zona Mágica</t>
        </is>
      </c>
      <c r="G479" s="29" t="inlineStr">
        <is>
          <t>Magicozona</t>
        </is>
      </c>
      <c r="H479" s="29" t="inlineStr">
        <is>
          <t>매직룸</t>
        </is>
      </c>
      <c r="I479" s="29" t="inlineStr">
        <is>
          <t>魔法空間</t>
        </is>
      </c>
      <c r="J479" s="29">
        <f>IFERROR(__xludf.DUMMYFUNCTION("GOOGLETRANSLATE(I479,""zh_HANT"",""zh_HANS"")"),"魔法空间")</f>
        <v/>
      </c>
      <c r="K479" s="29">
        <f>F479</f>
        <v/>
      </c>
    </row>
    <row r="480">
      <c r="A480" s="29">
        <f>CONCATENATE("NAME_MOVE_", SUBSTITUTE(SUBSTITUTE(UPPER(B480), " ", ""), "-", ""))</f>
        <v/>
      </c>
      <c r="B480" s="29" t="inlineStr">
        <is>
          <t>Smack Down</t>
        </is>
      </c>
      <c r="C480" s="29" t="inlineStr">
        <is>
          <t>うちおとす</t>
        </is>
      </c>
      <c r="D480" s="29" t="inlineStr">
        <is>
          <t>Anti-Air</t>
        </is>
      </c>
      <c r="E480" s="29" t="inlineStr">
        <is>
          <t>Katapult</t>
        </is>
      </c>
      <c r="F480" s="29" t="inlineStr">
        <is>
          <t>Antiaéreo</t>
        </is>
      </c>
      <c r="G480" s="29" t="inlineStr">
        <is>
          <t>Abbattimento</t>
        </is>
      </c>
      <c r="H480" s="29" t="inlineStr">
        <is>
          <t>떨어뜨리기</t>
        </is>
      </c>
      <c r="I480" s="29" t="inlineStr">
        <is>
          <t>擊落</t>
        </is>
      </c>
      <c r="J480" s="29">
        <f>IFERROR(__xludf.DUMMYFUNCTION("GOOGLETRANSLATE(I480,""zh_HANT"",""zh_HANS"")"),"击落")</f>
        <v/>
      </c>
      <c r="K480" s="29">
        <f>F480</f>
        <v/>
      </c>
    </row>
    <row r="481">
      <c r="A481" s="29">
        <f>CONCATENATE("NAME_MOVE_", SUBSTITUTE(SUBSTITUTE(UPPER(B481), " ", ""), "-", ""))</f>
        <v/>
      </c>
      <c r="B481" s="29" t="inlineStr">
        <is>
          <t>Storm Throw</t>
        </is>
      </c>
      <c r="C481" s="29" t="inlineStr">
        <is>
          <t>やまあらし</t>
        </is>
      </c>
      <c r="D481" s="29" t="inlineStr">
        <is>
          <t>Yama Arashi</t>
        </is>
      </c>
      <c r="E481" s="29" t="inlineStr">
        <is>
          <t>Bergsturm</t>
        </is>
      </c>
      <c r="F481" s="29" t="inlineStr">
        <is>
          <t>Llave Corsé</t>
        </is>
      </c>
      <c r="G481" s="29" t="inlineStr">
        <is>
          <t>Tempestretta</t>
        </is>
      </c>
      <c r="H481" s="29" t="inlineStr">
        <is>
          <t>업어후리기</t>
        </is>
      </c>
      <c r="I481" s="29" t="inlineStr">
        <is>
          <t>山嵐摔</t>
        </is>
      </c>
      <c r="J481" s="29">
        <f>IFERROR(__xludf.DUMMYFUNCTION("GOOGLETRANSLATE(I481,""zh_HANT"",""zh_HANS"")"),"山岚摔")</f>
        <v/>
      </c>
      <c r="K481" s="29">
        <f>F481</f>
        <v/>
      </c>
    </row>
    <row r="482">
      <c r="A482" s="29">
        <f>CONCATENATE("NAME_MOVE_", SUBSTITUTE(SUBSTITUTE(UPPER(B482), " ", ""), "-", ""))</f>
        <v/>
      </c>
      <c r="B482" s="29" t="inlineStr">
        <is>
          <t>Flame Burst</t>
        </is>
      </c>
      <c r="C482" s="29" t="inlineStr">
        <is>
          <t>はじけるほのお</t>
        </is>
      </c>
      <c r="D482" s="29" t="inlineStr">
        <is>
          <t>Rebondifeu</t>
        </is>
      </c>
      <c r="E482" s="29" t="inlineStr">
        <is>
          <t>Funkenflug</t>
        </is>
      </c>
      <c r="F482" s="29" t="inlineStr">
        <is>
          <t>Pirotecnia</t>
        </is>
      </c>
      <c r="G482" s="29" t="inlineStr">
        <is>
          <t>Pirolancio</t>
        </is>
      </c>
      <c r="H482" s="29" t="inlineStr">
        <is>
          <t>불꽃튀기기</t>
        </is>
      </c>
      <c r="I482" s="29" t="inlineStr">
        <is>
          <t>烈焰濺射</t>
        </is>
      </c>
      <c r="J482" s="29">
        <f>IFERROR(__xludf.DUMMYFUNCTION("GOOGLETRANSLATE(I482,""zh_HANT"",""zh_HANS"")"),"烈焰溅射")</f>
        <v/>
      </c>
      <c r="K482" s="29">
        <f>F482</f>
        <v/>
      </c>
    </row>
    <row r="483">
      <c r="A483" s="29">
        <f>CONCATENATE("NAME_MOVE_", SUBSTITUTE(SUBSTITUTE(UPPER(B483), " ", ""), "-", ""))</f>
        <v/>
      </c>
      <c r="B483" s="29" t="inlineStr">
        <is>
          <t>Sludge Wave</t>
        </is>
      </c>
      <c r="C483" s="29" t="inlineStr">
        <is>
          <t>ヘドロウェーブ</t>
        </is>
      </c>
      <c r="D483" s="29" t="inlineStr">
        <is>
          <t>Cradovague</t>
        </is>
      </c>
      <c r="E483" s="29" t="inlineStr">
        <is>
          <t>Schlammwoge</t>
        </is>
      </c>
      <c r="F483" s="29" t="inlineStr">
        <is>
          <t>Onda Tóxica</t>
        </is>
      </c>
      <c r="G483" s="29" t="inlineStr">
        <is>
          <t>Fangonda</t>
        </is>
      </c>
      <c r="H483" s="29" t="inlineStr">
        <is>
          <t>오물웨이브</t>
        </is>
      </c>
      <c r="I483" s="29" t="inlineStr">
        <is>
          <t>污泥波</t>
        </is>
      </c>
      <c r="J483" s="29">
        <f>I483</f>
        <v/>
      </c>
      <c r="K483" s="29">
        <f>F483</f>
        <v/>
      </c>
    </row>
    <row r="484">
      <c r="A484" s="29">
        <f>CONCATENATE("NAME_MOVE_", SUBSTITUTE(SUBSTITUTE(UPPER(B484), " ", ""), "-", ""))</f>
        <v/>
      </c>
      <c r="B484" s="29" t="inlineStr">
        <is>
          <t>Quiver Dance</t>
        </is>
      </c>
      <c r="C484" s="29" t="inlineStr">
        <is>
          <t>ちょうのまい</t>
        </is>
      </c>
      <c r="D484" s="29" t="inlineStr">
        <is>
          <t>Papillodanse</t>
        </is>
      </c>
      <c r="E484" s="29" t="inlineStr">
        <is>
          <t>Falterreigen</t>
        </is>
      </c>
      <c r="F484" s="29" t="inlineStr">
        <is>
          <t>Danza Aleteo</t>
        </is>
      </c>
      <c r="G484" s="29" t="inlineStr">
        <is>
          <t>Eledanza</t>
        </is>
      </c>
      <c r="H484" s="29" t="inlineStr">
        <is>
          <t>나비춤</t>
        </is>
      </c>
      <c r="I484" s="29" t="inlineStr">
        <is>
          <t>蝶舞</t>
        </is>
      </c>
      <c r="J484" s="29">
        <f>I484</f>
        <v/>
      </c>
      <c r="K484" s="29">
        <f>F484</f>
        <v/>
      </c>
    </row>
    <row r="485">
      <c r="A485" s="29">
        <f>CONCATENATE("NAME_MOVE_", SUBSTITUTE(SUBSTITUTE(UPPER(B485), " ", ""), "-", ""))</f>
        <v/>
      </c>
      <c r="B485" s="29" t="inlineStr">
        <is>
          <t>Heavy Slam</t>
        </is>
      </c>
      <c r="C485" s="29" t="inlineStr">
        <is>
          <t>ヘビーボンパー</t>
        </is>
      </c>
      <c r="D485" s="29" t="inlineStr">
        <is>
          <t>Tacle Lourd</t>
        </is>
      </c>
      <c r="E485" s="29" t="inlineStr">
        <is>
          <t>Rammboss</t>
        </is>
      </c>
      <c r="F485" s="29" t="inlineStr">
        <is>
          <t>Cuerpo Pesado</t>
        </is>
      </c>
      <c r="G485" s="29" t="inlineStr">
        <is>
          <t>Pesobomba</t>
        </is>
      </c>
      <c r="H485" s="29" t="inlineStr">
        <is>
          <t>헤비봄버</t>
        </is>
      </c>
      <c r="I485" s="29" t="inlineStr">
        <is>
          <t>重磅衝撞</t>
        </is>
      </c>
      <c r="J485" s="29">
        <f>IFERROR(__xludf.DUMMYFUNCTION("GOOGLETRANSLATE(I485,""zh_HANT"",""zh_HANS"")"),"重磅冲撞")</f>
        <v/>
      </c>
      <c r="K485" s="29">
        <f>F485</f>
        <v/>
      </c>
    </row>
    <row r="486">
      <c r="A486" s="29">
        <f>CONCATENATE("NAME_MOVE_", SUBSTITUTE(SUBSTITUTE(UPPER(B486), " ", ""), "-", ""))</f>
        <v/>
      </c>
      <c r="B486" s="29" t="inlineStr">
        <is>
          <t>Synchronoise</t>
        </is>
      </c>
      <c r="C486" s="29" t="inlineStr">
        <is>
          <t>シンクロノイズ</t>
        </is>
      </c>
      <c r="D486" s="29" t="inlineStr">
        <is>
          <t>Synchropeine</t>
        </is>
      </c>
      <c r="E486" s="29" t="inlineStr">
        <is>
          <t>Synchrolärm</t>
        </is>
      </c>
      <c r="F486" s="29" t="inlineStr">
        <is>
          <t>Sincrorruido</t>
        </is>
      </c>
      <c r="G486" s="29" t="inlineStr">
        <is>
          <t>Sincrumore</t>
        </is>
      </c>
      <c r="H486" s="29" t="inlineStr">
        <is>
          <t>싱크로노이즈</t>
        </is>
      </c>
      <c r="I486" s="29" t="inlineStr">
        <is>
          <t>同步干擾</t>
        </is>
      </c>
      <c r="J486" s="29">
        <f>IFERROR(__xludf.DUMMYFUNCTION("GOOGLETRANSLATE(I486,""zh_HANT"",""zh_HANS"")"),"同步干扰")</f>
        <v/>
      </c>
      <c r="K486" s="29">
        <f>F486</f>
        <v/>
      </c>
    </row>
    <row r="487">
      <c r="A487" s="29">
        <f>CONCATENATE("NAME_MOVE_", SUBSTITUTE(SUBSTITUTE(UPPER(B487), " ", ""), "-", ""))</f>
        <v/>
      </c>
      <c r="B487" s="29" t="inlineStr">
        <is>
          <t>Electro Ball</t>
        </is>
      </c>
      <c r="C487" s="29" t="inlineStr">
        <is>
          <t>エレキボール</t>
        </is>
      </c>
      <c r="D487" s="29" t="inlineStr">
        <is>
          <t>Boule Élek</t>
        </is>
      </c>
      <c r="E487" s="29" t="inlineStr">
        <is>
          <t>Elektroball</t>
        </is>
      </c>
      <c r="F487" s="29" t="inlineStr">
        <is>
          <t>Bola Voltio</t>
        </is>
      </c>
      <c r="G487" s="29" t="inlineStr">
        <is>
          <t>Energisfera</t>
        </is>
      </c>
      <c r="H487" s="29" t="inlineStr">
        <is>
          <t>일렉트릭볼</t>
        </is>
      </c>
      <c r="I487" s="29" t="inlineStr">
        <is>
          <t>電球</t>
        </is>
      </c>
      <c r="J487" s="29">
        <f>IFERROR(__xludf.DUMMYFUNCTION("GOOGLETRANSLATE(I487,""zh_HANT"",""zh_HANS"")"),"电球")</f>
        <v/>
      </c>
      <c r="K487" s="29">
        <f>F487</f>
        <v/>
      </c>
    </row>
    <row r="488">
      <c r="A488" s="29">
        <f>CONCATENATE("NAME_MOVE_", SUBSTITUTE(SUBSTITUTE(UPPER(B488), " ", ""), "-", ""))</f>
        <v/>
      </c>
      <c r="B488" s="29" t="inlineStr">
        <is>
          <t>Soak</t>
        </is>
      </c>
      <c r="C488" s="29" t="inlineStr">
        <is>
          <t>みずびたし</t>
        </is>
      </c>
      <c r="D488" s="29" t="inlineStr">
        <is>
          <t>Détrempage</t>
        </is>
      </c>
      <c r="E488" s="29" t="inlineStr">
        <is>
          <t>Überflutung</t>
        </is>
      </c>
      <c r="F488" s="29" t="inlineStr">
        <is>
          <t>Anegar</t>
        </is>
      </c>
      <c r="G488" s="29" t="inlineStr">
        <is>
          <t>Inondazione</t>
        </is>
      </c>
      <c r="H488" s="4" t="inlineStr">
        <is>
          <t>물붓기</t>
        </is>
      </c>
      <c r="I488" s="6" t="inlineStr">
        <is>
          <t>浸水</t>
        </is>
      </c>
      <c r="J488" s="29">
        <f>I488</f>
        <v/>
      </c>
      <c r="K488" s="29">
        <f>F488</f>
        <v/>
      </c>
    </row>
    <row r="489">
      <c r="A489" s="29">
        <f>CONCATENATE("NAME_MOVE_", SUBSTITUTE(SUBSTITUTE(UPPER(B489), " ", ""), "-", ""))</f>
        <v/>
      </c>
      <c r="B489" s="29" t="inlineStr">
        <is>
          <t>Flame Charge</t>
        </is>
      </c>
      <c r="C489" s="29" t="inlineStr">
        <is>
          <t>ニトロチャージ</t>
        </is>
      </c>
      <c r="D489" s="29" t="inlineStr">
        <is>
          <t>Nitrocharge</t>
        </is>
      </c>
      <c r="E489" s="29" t="inlineStr">
        <is>
          <t>Nitroladung</t>
        </is>
      </c>
      <c r="F489" s="29" t="inlineStr">
        <is>
          <t>Nitrocarga</t>
        </is>
      </c>
      <c r="G489" s="29" t="inlineStr">
        <is>
          <t>Nitrocarica</t>
        </is>
      </c>
      <c r="H489" s="29" t="inlineStr">
        <is>
          <t>니트로차지</t>
        </is>
      </c>
      <c r="I489" s="29" t="inlineStr">
        <is>
          <t>蓄能焰襲</t>
        </is>
      </c>
      <c r="J489" s="29">
        <f>IFERROR(__xludf.DUMMYFUNCTION("GOOGLETRANSLATE(I489,""zh_HANT"",""zh_HANS"")"),"蓄能焰袭")</f>
        <v/>
      </c>
      <c r="K489" s="29">
        <f>F489</f>
        <v/>
      </c>
    </row>
    <row r="490">
      <c r="A490" s="29">
        <f>CONCATENATE("NAME_MOVE_", SUBSTITUTE(SUBSTITUTE(UPPER(B490), " ", ""), "-", ""))</f>
        <v/>
      </c>
      <c r="B490" s="29" t="inlineStr">
        <is>
          <t>Coil</t>
        </is>
      </c>
      <c r="C490" s="29" t="inlineStr">
        <is>
          <t>とぐろをまく</t>
        </is>
      </c>
      <c r="D490" s="29" t="inlineStr">
        <is>
          <t>Enroulement</t>
        </is>
      </c>
      <c r="E490" s="29" t="inlineStr">
        <is>
          <t>Einrollen</t>
        </is>
      </c>
      <c r="F490" s="29" t="inlineStr">
        <is>
          <t>Enrosque</t>
        </is>
      </c>
      <c r="G490" s="29" t="inlineStr">
        <is>
          <t>Arrotola</t>
        </is>
      </c>
      <c r="H490" s="29" t="inlineStr">
        <is>
          <t>똬리틀기</t>
        </is>
      </c>
      <c r="I490" s="29" t="inlineStr">
        <is>
          <t>盤蜷</t>
        </is>
      </c>
      <c r="J490" s="29">
        <f>IFERROR(__xludf.DUMMYFUNCTION("GOOGLETRANSLATE(I490,""zh_HANT"",""zh_HANS"")"),"盘蜷")</f>
        <v/>
      </c>
      <c r="K490" s="29">
        <f>F490</f>
        <v/>
      </c>
    </row>
    <row r="491">
      <c r="A491" s="29">
        <f>CONCATENATE("NAME_MOVE_", SUBSTITUTE(SUBSTITUTE(UPPER(B491), " ", ""), "-", ""))</f>
        <v/>
      </c>
      <c r="B491" s="29" t="inlineStr">
        <is>
          <t>Low Sweep</t>
        </is>
      </c>
      <c r="C491" s="29" t="inlineStr">
        <is>
          <t>ローキッキ</t>
        </is>
      </c>
      <c r="D491" s="29" t="inlineStr">
        <is>
          <t>Balayette</t>
        </is>
      </c>
      <c r="E491" s="29" t="inlineStr">
        <is>
          <t>Fußtritt</t>
        </is>
      </c>
      <c r="F491" s="29" t="inlineStr">
        <is>
          <t>Puntapié</t>
        </is>
      </c>
      <c r="G491" s="29" t="inlineStr">
        <is>
          <t>Calciobasso</t>
        </is>
      </c>
      <c r="H491" s="29" t="inlineStr">
        <is>
          <t>로킥</t>
        </is>
      </c>
      <c r="I491" s="29" t="inlineStr">
        <is>
          <t>下盤踢</t>
        </is>
      </c>
      <c r="J491" s="29">
        <f>IFERROR(__xludf.DUMMYFUNCTION("GOOGLETRANSLATE(I491,""zh_HANT"",""zh_HANS"")"),"下盘踢")</f>
        <v/>
      </c>
      <c r="K491" s="29">
        <f>F491</f>
        <v/>
      </c>
    </row>
    <row r="492">
      <c r="A492" s="29">
        <f>CONCATENATE("NAME_MOVE_", SUBSTITUTE(SUBSTITUTE(UPPER(B492), " ", ""), "-", ""))</f>
        <v/>
      </c>
      <c r="B492" s="29" t="inlineStr">
        <is>
          <t>Acid Spray</t>
        </is>
      </c>
      <c r="C492" s="29" t="inlineStr">
        <is>
          <t>アシッドボム</t>
        </is>
      </c>
      <c r="D492" s="29" t="inlineStr">
        <is>
          <t>Bombe Acide</t>
        </is>
      </c>
      <c r="E492" s="29" t="inlineStr">
        <is>
          <t>Säurespeier</t>
        </is>
      </c>
      <c r="F492" s="29" t="inlineStr">
        <is>
          <t>Bomba Ácida</t>
        </is>
      </c>
      <c r="G492" s="29" t="inlineStr">
        <is>
          <t>Acidobomba</t>
        </is>
      </c>
      <c r="H492" s="29" t="inlineStr">
        <is>
          <t>애시드봄</t>
        </is>
      </c>
      <c r="I492" s="29" t="inlineStr">
        <is>
          <t>酸液炸彈</t>
        </is>
      </c>
      <c r="J492" s="29">
        <f>IFERROR(__xludf.DUMMYFUNCTION("GOOGLETRANSLATE(I492,""zh_HANT"",""zh_HANS"")"),"酸液炸弹")</f>
        <v/>
      </c>
      <c r="K492" s="29">
        <f>F492</f>
        <v/>
      </c>
    </row>
    <row r="493">
      <c r="A493" s="29">
        <f>CONCATENATE("NAME_MOVE_", SUBSTITUTE(SUBSTITUTE(UPPER(B493), " ", ""), "-", ""))</f>
        <v/>
      </c>
      <c r="B493" s="29" t="inlineStr">
        <is>
          <t>Foul Play</t>
        </is>
      </c>
      <c r="C493" s="29" t="inlineStr">
        <is>
          <t>イカサマ</t>
        </is>
      </c>
      <c r="D493" s="29" t="inlineStr">
        <is>
          <t>Tricherie</t>
        </is>
      </c>
      <c r="E493" s="29" t="inlineStr">
        <is>
          <t>Schmarotzer</t>
        </is>
      </c>
      <c r="F493" s="29" t="inlineStr">
        <is>
          <t>Juego Sucio</t>
        </is>
      </c>
      <c r="G493" s="29" t="inlineStr">
        <is>
          <t>Ripicca</t>
        </is>
      </c>
      <c r="H493" s="29" t="inlineStr">
        <is>
          <t>속임수</t>
        </is>
      </c>
      <c r="I493" s="29" t="inlineStr">
        <is>
          <t>欺詐</t>
        </is>
      </c>
      <c r="J493" s="29" t="inlineStr">
        <is>
          <t>移花接木</t>
        </is>
      </c>
      <c r="K493" s="29">
        <f>F493</f>
        <v/>
      </c>
    </row>
    <row r="494">
      <c r="A494" s="29">
        <f>CONCATENATE("NAME_MOVE_", SUBSTITUTE(SUBSTITUTE(UPPER(B494), " ", ""), "-", ""))</f>
        <v/>
      </c>
      <c r="B494" s="29" t="inlineStr">
        <is>
          <t>Simple Beam</t>
        </is>
      </c>
      <c r="C494" s="29" t="inlineStr">
        <is>
          <t>シンプルビーム</t>
        </is>
      </c>
      <c r="D494" s="29" t="inlineStr">
        <is>
          <t>Rayon Simple</t>
        </is>
      </c>
      <c r="E494" s="29" t="inlineStr">
        <is>
          <t>Wankelstrahl</t>
        </is>
      </c>
      <c r="F494" s="29" t="inlineStr">
        <is>
          <t>Onda Simple</t>
        </is>
      </c>
      <c r="G494" s="29" t="inlineStr">
        <is>
          <t>Ondisinvolta</t>
        </is>
      </c>
      <c r="H494" s="29" t="inlineStr">
        <is>
          <t>심플빔</t>
        </is>
      </c>
      <c r="I494" s="29" t="inlineStr">
        <is>
          <t>單純光束</t>
        </is>
      </c>
      <c r="J494" s="29">
        <f>IFERROR(__xludf.DUMMYFUNCTION("GOOGLETRANSLATE(I494,""zh_HANT"",""zh_HANS"")"),"单纯光束")</f>
        <v/>
      </c>
      <c r="K494" s="29">
        <f>F494</f>
        <v/>
      </c>
    </row>
    <row r="495">
      <c r="A495" s="29">
        <f>CONCATENATE("NAME_MOVE_", SUBSTITUTE(SUBSTITUTE(UPPER(B495), " ", ""), "-", ""))</f>
        <v/>
      </c>
      <c r="B495" s="29" t="inlineStr">
        <is>
          <t>Entrainment</t>
        </is>
      </c>
      <c r="C495" s="29" t="inlineStr">
        <is>
          <t>なかまづくり</t>
        </is>
      </c>
      <c r="D495" s="29" t="inlineStr">
        <is>
          <t>Ten-Danse</t>
        </is>
      </c>
      <c r="E495" s="29" t="inlineStr">
        <is>
          <t>Zwango</t>
        </is>
      </c>
      <c r="F495" s="29" t="inlineStr">
        <is>
          <t>Danza Amiga</t>
        </is>
      </c>
      <c r="G495" s="29" t="inlineStr">
        <is>
          <t>Saltamicizia</t>
        </is>
      </c>
      <c r="H495" s="29" t="inlineStr">
        <is>
          <t>동료만들기</t>
        </is>
      </c>
      <c r="I495" s="29" t="inlineStr">
        <is>
          <t>找夥伴</t>
        </is>
      </c>
      <c r="J495" s="29">
        <f>IFERROR(__xludf.DUMMYFUNCTION("GOOGLETRANSLATE(I495,""zh_HANT"",""zh_HANS"")"),"找伙伴")</f>
        <v/>
      </c>
      <c r="K495" s="29">
        <f>F495</f>
        <v/>
      </c>
    </row>
    <row r="496">
      <c r="A496" s="29">
        <f>CONCATENATE("NAME_MOVE_", SUBSTITUTE(SUBSTITUTE(UPPER(B496), " ", ""), "-", ""))</f>
        <v/>
      </c>
      <c r="B496" s="29" t="inlineStr">
        <is>
          <t>After You</t>
        </is>
      </c>
      <c r="C496" s="29" t="inlineStr">
        <is>
          <t>おさきにどうぞ</t>
        </is>
      </c>
      <c r="D496" s="29" t="inlineStr">
        <is>
          <t>Après Vous</t>
        </is>
      </c>
      <c r="E496" s="29" t="inlineStr">
        <is>
          <t>Galanterie</t>
        </is>
      </c>
      <c r="F496" s="29" t="inlineStr">
        <is>
          <t>Cede Paso</t>
        </is>
      </c>
      <c r="G496" s="29" t="inlineStr">
        <is>
          <t>Cortesia</t>
        </is>
      </c>
      <c r="H496" s="29" t="inlineStr">
        <is>
          <t>돌림노래</t>
        </is>
      </c>
      <c r="I496" s="29" t="inlineStr">
        <is>
          <t>您先請</t>
        </is>
      </c>
      <c r="J496" s="29">
        <f>IFERROR(__xludf.DUMMYFUNCTION("GOOGLETRANSLATE(I496,""zh_HANT"",""zh_HANS"")"),"您先请")</f>
        <v/>
      </c>
      <c r="K496" s="29">
        <f>F496</f>
        <v/>
      </c>
    </row>
    <row r="497">
      <c r="A497" s="29">
        <f>CONCATENATE("NAME_MOVE_", SUBSTITUTE(SUBSTITUTE(UPPER(B497), " ", ""), "-", ""))</f>
        <v/>
      </c>
      <c r="B497" s="29" t="inlineStr">
        <is>
          <t>Round</t>
        </is>
      </c>
      <c r="C497" s="29" t="inlineStr">
        <is>
          <t>りんしょう</t>
        </is>
      </c>
      <c r="D497" s="29" t="inlineStr">
        <is>
          <t>Chant Canon</t>
        </is>
      </c>
      <c r="E497" s="29" t="inlineStr">
        <is>
          <t>Kanon</t>
        </is>
      </c>
      <c r="F497" s="29" t="inlineStr">
        <is>
          <t>Canon</t>
        </is>
      </c>
      <c r="G497" s="29" t="inlineStr">
        <is>
          <t>Coro</t>
        </is>
      </c>
      <c r="H497" s="29" t="inlineStr">
        <is>
          <t>돌림노래</t>
        </is>
      </c>
      <c r="I497" s="29" t="inlineStr">
        <is>
          <t>輪唱</t>
        </is>
      </c>
      <c r="J497" s="29">
        <f>IFERROR(__xludf.DUMMYFUNCTION("GOOGLETRANSLATE(I497,""zh_HANT"",""zh_HANS"")"),"轮唱")</f>
        <v/>
      </c>
      <c r="K497" s="29">
        <f>F497</f>
        <v/>
      </c>
    </row>
    <row r="498">
      <c r="A498" s="29">
        <f>CONCATENATE("NAME_MOVE_", SUBSTITUTE(SUBSTITUTE(UPPER(B498), " ", ""), "-", ""))</f>
        <v/>
      </c>
      <c r="B498" s="29" t="inlineStr">
        <is>
          <t>Echoed Voice</t>
        </is>
      </c>
      <c r="C498" s="29" t="inlineStr">
        <is>
          <t>エコーボイス</t>
        </is>
      </c>
      <c r="D498" s="29" t="inlineStr">
        <is>
          <t>Écho</t>
        </is>
      </c>
      <c r="E498" s="29" t="inlineStr">
        <is>
          <t>Widerfall</t>
        </is>
      </c>
      <c r="F498" s="29" t="inlineStr">
        <is>
          <t>Eco Voz</t>
        </is>
      </c>
      <c r="G498" s="29" t="inlineStr">
        <is>
          <t>Echeggiavoce</t>
        </is>
      </c>
      <c r="H498" s="29" t="inlineStr">
        <is>
          <t>에코보이스</t>
        </is>
      </c>
      <c r="I498" s="29" t="inlineStr">
        <is>
          <t>回聲</t>
        </is>
      </c>
      <c r="J498" s="29">
        <f>IFERROR(__xludf.DUMMYFUNCTION("GOOGLETRANSLATE(I498,""zh_HANT"",""zh_HANS"")"),"回声")</f>
        <v/>
      </c>
      <c r="K498" s="29">
        <f>F498</f>
        <v/>
      </c>
    </row>
    <row r="499">
      <c r="A499" s="29">
        <f>CONCATENATE("NAME_MOVE_", SUBSTITUTE(SUBSTITUTE(UPPER(B499), " ", ""), "-", ""))</f>
        <v/>
      </c>
      <c r="B499" s="29" t="inlineStr">
        <is>
          <t>Chip Away</t>
        </is>
      </c>
      <c r="C499" s="29" t="inlineStr">
        <is>
          <t>なしくずき</t>
        </is>
      </c>
      <c r="D499" s="29" t="inlineStr">
        <is>
          <t>Attrition</t>
        </is>
      </c>
      <c r="E499" s="29" t="inlineStr">
        <is>
          <t>Zermürben</t>
        </is>
      </c>
      <c r="F499" s="29" t="inlineStr">
        <is>
          <t>Guardia Baja</t>
        </is>
      </c>
      <c r="G499" s="29" t="inlineStr">
        <is>
          <t>Insidia</t>
        </is>
      </c>
      <c r="H499" s="29" t="inlineStr">
        <is>
          <t>야금야금</t>
        </is>
      </c>
      <c r="I499" s="29" t="inlineStr">
        <is>
          <t>逐步擊破</t>
        </is>
      </c>
      <c r="J499" s="29">
        <f>IFERROR(__xludf.DUMMYFUNCTION("GOOGLETRANSLATE(I499,""zh_HANT"",""zh_HANS"")"),"逐步击破")</f>
        <v/>
      </c>
      <c r="K499" s="29">
        <f>F499</f>
        <v/>
      </c>
    </row>
    <row r="500">
      <c r="A500" s="29">
        <f>CONCATENATE("NAME_MOVE_", SUBSTITUTE(SUBSTITUTE(UPPER(B500), " ", ""), "-", ""))</f>
        <v/>
      </c>
      <c r="B500" s="29" t="inlineStr">
        <is>
          <t>Clear Smog</t>
        </is>
      </c>
      <c r="C500" s="29" t="inlineStr">
        <is>
          <t>クリアスモッグ</t>
        </is>
      </c>
      <c r="D500" s="29" t="inlineStr">
        <is>
          <t>Bain de Smog</t>
        </is>
      </c>
      <c r="E500" s="29" t="inlineStr">
        <is>
          <t>Klärsmog</t>
        </is>
      </c>
      <c r="F500" s="29" t="inlineStr">
        <is>
          <t>Niebla Clara</t>
        </is>
      </c>
      <c r="G500" s="29" t="inlineStr">
        <is>
          <t>Pulifumo</t>
        </is>
      </c>
      <c r="H500" s="29" t="inlineStr">
        <is>
          <t>클리어스모그</t>
        </is>
      </c>
      <c r="I500" s="29" t="inlineStr">
        <is>
          <t>清除之煙</t>
        </is>
      </c>
      <c r="J500" s="29">
        <f>IFERROR(__xludf.DUMMYFUNCTION("GOOGLETRANSLATE(I500,""zh_HANT"",""zh_HANS"")"),"清除之烟")</f>
        <v/>
      </c>
      <c r="K500" s="29">
        <f>F500</f>
        <v/>
      </c>
    </row>
    <row r="501">
      <c r="A501" s="29">
        <f>CONCATENATE("NAME_MOVE_", SUBSTITUTE(SUBSTITUTE(UPPER(B501), " ", ""), "-", ""))</f>
        <v/>
      </c>
      <c r="B501" s="29" t="inlineStr">
        <is>
          <t>Stored Power</t>
        </is>
      </c>
      <c r="C501" s="29" t="inlineStr">
        <is>
          <t>アシストパワー</t>
        </is>
      </c>
      <c r="D501" s="29" t="inlineStr">
        <is>
          <t>Force Ajoutée</t>
        </is>
      </c>
      <c r="E501" s="29" t="inlineStr">
        <is>
          <t>Kraftvorrat</t>
        </is>
      </c>
      <c r="F501" s="29" t="inlineStr">
        <is>
          <t>Poder Reserva</t>
        </is>
      </c>
      <c r="G501" s="29" t="inlineStr">
        <is>
          <t>Veicolaforza</t>
        </is>
      </c>
      <c r="H501" s="29" t="inlineStr">
        <is>
          <t>어시스트파워</t>
        </is>
      </c>
      <c r="I501" s="29" t="inlineStr">
        <is>
          <t>輔助力量</t>
        </is>
      </c>
      <c r="J501" s="29">
        <f>IFERROR(__xludf.DUMMYFUNCTION("GOOGLETRANSLATE(I501,""zh_HANT"",""zh_HANS"")"),"辅助力量")</f>
        <v/>
      </c>
      <c r="K501" s="29">
        <f>F501</f>
        <v/>
      </c>
    </row>
    <row r="502">
      <c r="A502" s="29">
        <f>CONCATENATE("NAME_MOVE_", SUBSTITUTE(SUBSTITUTE(UPPER(B502), " ", ""), "-", ""))</f>
        <v/>
      </c>
      <c r="B502" s="29" t="inlineStr">
        <is>
          <t>Quick Guard</t>
        </is>
      </c>
      <c r="C502" s="29" t="inlineStr">
        <is>
          <t>ファストガード</t>
        </is>
      </c>
      <c r="D502" s="29" t="inlineStr">
        <is>
          <t>Prévention</t>
        </is>
      </c>
      <c r="E502" s="29" t="inlineStr">
        <is>
          <t>Rapidschutz</t>
        </is>
      </c>
      <c r="F502" s="29" t="inlineStr">
        <is>
          <t>Anticipo</t>
        </is>
      </c>
      <c r="G502" s="29">
        <f>F502</f>
        <v/>
      </c>
      <c r="H502" s="29" t="inlineStr">
        <is>
          <t>퍼스트가드</t>
        </is>
      </c>
      <c r="I502" s="29" t="inlineStr">
        <is>
          <t>快速防守</t>
        </is>
      </c>
      <c r="J502" s="29">
        <f>I502</f>
        <v/>
      </c>
      <c r="K502" s="29">
        <f>F502</f>
        <v/>
      </c>
    </row>
    <row r="503">
      <c r="A503" s="29">
        <f>CONCATENATE("NAME_MOVE_", SUBSTITUTE(SUBSTITUTE(UPPER(B503), " ", ""), "-", ""))</f>
        <v/>
      </c>
      <c r="B503" s="29" t="inlineStr">
        <is>
          <t>Ally Switch</t>
        </is>
      </c>
      <c r="C503" s="29" t="inlineStr">
        <is>
          <t>サイコチェンジ</t>
        </is>
      </c>
      <c r="D503" s="29" t="inlineStr">
        <is>
          <t>Interversion</t>
        </is>
      </c>
      <c r="E503" s="29" t="inlineStr">
        <is>
          <t>Seitentausch</t>
        </is>
      </c>
      <c r="F503" s="29" t="inlineStr">
        <is>
          <t>Cambio Banda</t>
        </is>
      </c>
      <c r="G503" s="29" t="inlineStr">
        <is>
          <t>Cambiaposto</t>
        </is>
      </c>
      <c r="H503" s="29" t="inlineStr">
        <is>
          <t>사이드체인지</t>
        </is>
      </c>
      <c r="I503" s="29" t="inlineStr">
        <is>
          <t>交換場地</t>
        </is>
      </c>
      <c r="J503" s="29">
        <f>IFERROR(__xludf.DUMMYFUNCTION("GOOGLETRANSLATE(I503,""zh_HANT"",""zh_HANS"")"),"交换场地")</f>
        <v/>
      </c>
      <c r="K503" s="29">
        <f>F503</f>
        <v/>
      </c>
    </row>
    <row r="504">
      <c r="A504" s="29">
        <f>CONCATENATE("NAME_MOVE_", SUBSTITUTE(SUBSTITUTE(UPPER(B504), " ", ""), "-", ""))</f>
        <v/>
      </c>
      <c r="B504" s="29" t="inlineStr">
        <is>
          <t>Scald</t>
        </is>
      </c>
      <c r="C504" s="29" t="inlineStr">
        <is>
          <t>ねっとう</t>
        </is>
      </c>
      <c r="D504" s="29" t="inlineStr">
        <is>
          <t>Ébullition</t>
        </is>
      </c>
      <c r="E504" s="29" t="inlineStr">
        <is>
          <t>Siedewasser</t>
        </is>
      </c>
      <c r="F504" s="29" t="inlineStr">
        <is>
          <t>Escaldar</t>
        </is>
      </c>
      <c r="G504" s="29" t="inlineStr">
        <is>
          <t>Idrovampata</t>
        </is>
      </c>
      <c r="H504" s="29" t="inlineStr">
        <is>
          <t>열탕</t>
        </is>
      </c>
      <c r="I504" s="29" t="inlineStr">
        <is>
          <t>熱水</t>
        </is>
      </c>
      <c r="J504" s="29">
        <f>IFERROR(__xludf.DUMMYFUNCTION("GOOGLETRANSLATE(I504,""zh_HANT"",""zh_HANS"")"),"热水")</f>
        <v/>
      </c>
      <c r="K504" s="29">
        <f>F504</f>
        <v/>
      </c>
    </row>
    <row r="505">
      <c r="A505" s="29">
        <f>CONCATENATE("NAME_MOVE_", SUBSTITUTE(SUBSTITUTE(UPPER(B505), " ", ""), "-", ""))</f>
        <v/>
      </c>
      <c r="B505" s="29" t="inlineStr">
        <is>
          <t>Shell Smash</t>
        </is>
      </c>
      <c r="C505" s="29" t="inlineStr">
        <is>
          <t>からをやぶる</t>
        </is>
      </c>
      <c r="D505" s="29" t="inlineStr">
        <is>
          <t>Exuviation</t>
        </is>
      </c>
      <c r="E505" s="29" t="inlineStr">
        <is>
          <t>Hausbruch</t>
        </is>
      </c>
      <c r="F505" s="29" t="inlineStr">
        <is>
          <t>Rompecoraza</t>
        </is>
      </c>
      <c r="G505" s="29" t="inlineStr">
        <is>
          <t>Gettaguscio</t>
        </is>
      </c>
      <c r="H505" s="29" t="inlineStr">
        <is>
          <t>껍질깨기</t>
        </is>
      </c>
      <c r="I505" s="29" t="inlineStr">
        <is>
          <t>破殼</t>
        </is>
      </c>
      <c r="J505" s="29">
        <f>IFERROR(__xludf.DUMMYFUNCTION("GOOGLETRANSLATE(I505,""zh_HANT"",""zh_HANS"")"),"破壳")</f>
        <v/>
      </c>
      <c r="K505" s="29">
        <f>F505</f>
        <v/>
      </c>
    </row>
    <row r="506">
      <c r="A506" s="29">
        <f>CONCATENATE("NAME_MOVE_", SUBSTITUTE(SUBSTITUTE(UPPER(B506), " ", ""), "-", ""))</f>
        <v/>
      </c>
      <c r="B506" s="29" t="inlineStr">
        <is>
          <t>Heal Pulse</t>
        </is>
      </c>
      <c r="C506" s="29" t="inlineStr">
        <is>
          <t>いやしのはどう</t>
        </is>
      </c>
      <c r="D506" s="29" t="inlineStr">
        <is>
          <t>Vibra Soin</t>
        </is>
      </c>
      <c r="E506" s="29" t="inlineStr">
        <is>
          <t>Heilwoge</t>
        </is>
      </c>
      <c r="F506" s="29" t="inlineStr">
        <is>
          <t>Pulso Cura</t>
        </is>
      </c>
      <c r="G506" s="29" t="inlineStr">
        <is>
          <t>Ondasana</t>
        </is>
      </c>
      <c r="H506" s="29" t="inlineStr">
        <is>
          <t>치유파동</t>
        </is>
      </c>
      <c r="I506" s="29" t="inlineStr">
        <is>
          <t>治癒波動</t>
        </is>
      </c>
      <c r="J506" s="29">
        <f>IFERROR(__xludf.DUMMYFUNCTION("GOOGLETRANSLATE(I506,""zh_HANT"",""zh_HANS"")"),"治愈波动")</f>
        <v/>
      </c>
      <c r="K506" s="29">
        <f>F506</f>
        <v/>
      </c>
    </row>
    <row r="507">
      <c r="A507" s="29">
        <f>CONCATENATE("NAME_MOVE_", SUBSTITUTE(SUBSTITUTE(UPPER(B507), " ", ""), "-", ""))</f>
        <v/>
      </c>
      <c r="B507" s="29" t="inlineStr">
        <is>
          <t>Hex</t>
        </is>
      </c>
      <c r="C507" s="29" t="inlineStr">
        <is>
          <t>たたりめ</t>
        </is>
      </c>
      <c r="D507" s="29" t="inlineStr">
        <is>
          <t>Châtiment</t>
        </is>
      </c>
      <c r="E507" s="29" t="inlineStr">
        <is>
          <t>Bürde</t>
        </is>
      </c>
      <c r="F507" s="29" t="inlineStr">
        <is>
          <t>Infortunio</t>
        </is>
      </c>
      <c r="G507" s="29" t="inlineStr">
        <is>
          <t>Sciagura</t>
        </is>
      </c>
      <c r="H507" s="29" t="inlineStr">
        <is>
          <t>병상첨병</t>
        </is>
      </c>
      <c r="I507" s="29" t="inlineStr">
        <is>
          <t>禍不單行</t>
        </is>
      </c>
      <c r="J507" s="29">
        <f>IFERROR(__xludf.DUMMYFUNCTION("GOOGLETRANSLATE(I507,""zh_HANT"",""zh_HANS"")"),"祸不单行")</f>
        <v/>
      </c>
      <c r="K507" s="29">
        <f>F507</f>
        <v/>
      </c>
    </row>
    <row r="508">
      <c r="A508" s="29">
        <f>CONCATENATE("NAME_MOVE_", SUBSTITUTE(SUBSTITUTE(UPPER(B508), " ", ""), "-", ""))</f>
        <v/>
      </c>
      <c r="B508" s="29" t="inlineStr">
        <is>
          <t>Sky Drop</t>
        </is>
      </c>
      <c r="C508" s="29" t="inlineStr">
        <is>
          <t>フリーフォール</t>
        </is>
      </c>
      <c r="D508" s="29" t="inlineStr">
        <is>
          <t>Chute Libre</t>
        </is>
      </c>
      <c r="E508" s="29" t="inlineStr">
        <is>
          <t>Freier Fall</t>
        </is>
      </c>
      <c r="F508" s="29" t="inlineStr">
        <is>
          <t>Caída Libre</t>
        </is>
      </c>
      <c r="G508" s="29" t="inlineStr">
        <is>
          <t>Cadutalibera</t>
        </is>
      </c>
      <c r="H508" s="29" t="inlineStr">
        <is>
          <t>프리폴</t>
        </is>
      </c>
      <c r="I508" s="29" t="inlineStr">
        <is>
          <t>自由落體</t>
        </is>
      </c>
      <c r="J508" s="29">
        <f>IFERROR(__xludf.DUMMYFUNCTION("GOOGLETRANSLATE(I508,""zh_HANT"",""zh_HANS"")"),"自由落体")</f>
        <v/>
      </c>
      <c r="K508" s="29">
        <f>F508</f>
        <v/>
      </c>
    </row>
    <row r="509">
      <c r="A509" s="29">
        <f>CONCATENATE("NAME_MOVE_", SUBSTITUTE(SUBSTITUTE(UPPER(B509), " ", ""), "-", ""))</f>
        <v/>
      </c>
      <c r="B509" s="29" t="inlineStr">
        <is>
          <t>Shift Gear</t>
        </is>
      </c>
      <c r="C509" s="29" t="inlineStr">
        <is>
          <t>ギアチェンジ</t>
        </is>
      </c>
      <c r="D509" s="29" t="inlineStr">
        <is>
          <t>Chgt Vitesse</t>
        </is>
      </c>
      <c r="E509" s="29" t="inlineStr">
        <is>
          <t>Gangwechsel</t>
        </is>
      </c>
      <c r="F509" s="29" t="inlineStr">
        <is>
          <t>Cambiomarcha</t>
        </is>
      </c>
      <c r="G509" s="29" t="inlineStr">
        <is>
          <t>Cambiomarcia</t>
        </is>
      </c>
      <c r="H509" s="29" t="inlineStr">
        <is>
          <t>기어체인지</t>
        </is>
      </c>
      <c r="I509" s="29" t="inlineStr">
        <is>
          <t>換檔</t>
        </is>
      </c>
      <c r="J509" s="29">
        <f>IFERROR(__xludf.DUMMYFUNCTION("GOOGLETRANSLATE(I509,""zh_HANT"",""zh_HANS"")"),"换档")</f>
        <v/>
      </c>
      <c r="K509" s="29">
        <f>F509</f>
        <v/>
      </c>
    </row>
    <row r="510">
      <c r="A510" s="29">
        <f>CONCATENATE("NAME_MOVE_", SUBSTITUTE(SUBSTITUTE(UPPER(B510), " ", ""), "-", ""))</f>
        <v/>
      </c>
      <c r="B510" s="29" t="inlineStr">
        <is>
          <t>Circle Throw</t>
        </is>
      </c>
      <c r="C510" s="29" t="inlineStr">
        <is>
          <t>ともえなげ</t>
        </is>
      </c>
      <c r="D510" s="29" t="inlineStr">
        <is>
          <t>Projection</t>
        </is>
      </c>
      <c r="E510" s="29" t="inlineStr">
        <is>
          <t>Überkopfwurf</t>
        </is>
      </c>
      <c r="F510" s="29" t="inlineStr">
        <is>
          <t>Llave Giro</t>
        </is>
      </c>
      <c r="G510" s="29" t="inlineStr">
        <is>
          <t>Ribaltiro</t>
        </is>
      </c>
      <c r="H510" s="29" t="inlineStr">
        <is>
          <t>배대뒤치기</t>
        </is>
      </c>
      <c r="I510" s="29" t="inlineStr">
        <is>
          <t>巴投</t>
        </is>
      </c>
      <c r="J510" s="29">
        <f>I510</f>
        <v/>
      </c>
      <c r="K510" s="29">
        <f>F510</f>
        <v/>
      </c>
    </row>
    <row r="511">
      <c r="A511" s="29">
        <f>CONCATENATE("NAME_MOVE_", SUBSTITUTE(SUBSTITUTE(UPPER(B511), " ", ""), "-", ""))</f>
        <v/>
      </c>
      <c r="B511" s="29" t="inlineStr">
        <is>
          <t>Incinerate</t>
        </is>
      </c>
      <c r="C511" s="29" t="inlineStr">
        <is>
          <t>やきつくす</t>
        </is>
      </c>
      <c r="D511" s="29" t="inlineStr">
        <is>
          <t>Calcination</t>
        </is>
      </c>
      <c r="E511" s="29" t="inlineStr">
        <is>
          <t>Einäschern</t>
        </is>
      </c>
      <c r="F511" s="29" t="inlineStr">
        <is>
          <t>Calcinación</t>
        </is>
      </c>
      <c r="G511" s="29" t="inlineStr">
        <is>
          <t>Bruciatutto</t>
        </is>
      </c>
      <c r="H511" s="29" t="inlineStr">
        <is>
          <t>불태우기</t>
        </is>
      </c>
      <c r="I511" s="29" t="inlineStr">
        <is>
          <t>燒盡</t>
        </is>
      </c>
      <c r="J511" s="29" t="inlineStr">
        <is>
          <t>烧净</t>
        </is>
      </c>
      <c r="K511" s="29">
        <f>F511</f>
        <v/>
      </c>
    </row>
    <row r="512">
      <c r="A512" s="29">
        <f>CONCATENATE("NAME_MOVE_", SUBSTITUTE(SUBSTITUTE(UPPER(B512), " ", ""), "-", ""))</f>
        <v/>
      </c>
      <c r="B512" s="29" t="inlineStr">
        <is>
          <t>Quash</t>
        </is>
      </c>
      <c r="C512" s="29" t="inlineStr">
        <is>
          <t>さきおくり</t>
        </is>
      </c>
      <c r="D512" s="29" t="inlineStr">
        <is>
          <t>À la Queue</t>
        </is>
      </c>
      <c r="E512" s="29" t="inlineStr">
        <is>
          <t>Verzögerung</t>
        </is>
      </c>
      <c r="F512" s="29" t="inlineStr">
        <is>
          <t>Último Lugar</t>
        </is>
      </c>
      <c r="G512" s="29" t="inlineStr">
        <is>
          <t>Spintone</t>
        </is>
      </c>
      <c r="H512" s="29" t="inlineStr">
        <is>
          <t>순서미루기</t>
        </is>
      </c>
      <c r="I512" s="29" t="inlineStr">
        <is>
          <t>延後</t>
        </is>
      </c>
      <c r="J512" s="29">
        <f>IFERROR(__xludf.DUMMYFUNCTION("GOOGLETRANSLATE(I512,""zh_HANT"",""zh_HANS"")"),"延后")</f>
        <v/>
      </c>
      <c r="K512" s="29">
        <f>F512</f>
        <v/>
      </c>
    </row>
    <row r="513">
      <c r="A513" s="29">
        <f>CONCATENATE("NAME_MOVE_", SUBSTITUTE(SUBSTITUTE(UPPER(B513), " ", ""), "-", ""))</f>
        <v/>
      </c>
      <c r="B513" s="29" t="inlineStr">
        <is>
          <t>Acrobatics</t>
        </is>
      </c>
      <c r="C513" s="29" t="inlineStr">
        <is>
          <t>アクロバット</t>
        </is>
      </c>
      <c r="D513" s="29" t="inlineStr">
        <is>
          <t>Acrobatie</t>
        </is>
      </c>
      <c r="E513" s="29" t="inlineStr">
        <is>
          <t>Acrobatik</t>
        </is>
      </c>
      <c r="F513" s="29" t="inlineStr">
        <is>
          <t>Acróbata</t>
        </is>
      </c>
      <c r="G513" s="29" t="inlineStr">
        <is>
          <t>Acrobazia</t>
        </is>
      </c>
      <c r="H513" s="29" t="inlineStr">
        <is>
          <t>애크러뱃</t>
        </is>
      </c>
      <c r="I513" s="29" t="inlineStr">
        <is>
          <t>雜技</t>
        </is>
      </c>
      <c r="J513" s="29">
        <f>IFERROR(__xludf.DUMMYFUNCTION("GOOGLETRANSLATE(I513,""zh_HANT"",""zh_HANS"")"),"杂技")</f>
        <v/>
      </c>
      <c r="K513" s="29">
        <f>F513</f>
        <v/>
      </c>
    </row>
    <row r="514">
      <c r="A514" s="29">
        <f>CONCATENATE("NAME_MOVE_", SUBSTITUTE(SUBSTITUTE(UPPER(B514), " ", ""), "-", ""))</f>
        <v/>
      </c>
      <c r="B514" s="29" t="inlineStr">
        <is>
          <t>Reflect Type</t>
        </is>
      </c>
      <c r="C514" s="29" t="inlineStr">
        <is>
          <t>ミラータイプ</t>
        </is>
      </c>
      <c r="D514" s="29" t="inlineStr">
        <is>
          <t>Copie-Type</t>
        </is>
      </c>
      <c r="E514" s="29" t="inlineStr">
        <is>
          <t>Typenspiegel</t>
        </is>
      </c>
      <c r="F514" s="29" t="inlineStr">
        <is>
          <t>Clonatipo</t>
        </is>
      </c>
      <c r="G514" s="29" t="inlineStr">
        <is>
          <t>Riflettipo</t>
        </is>
      </c>
      <c r="H514" s="29" t="inlineStr">
        <is>
          <t>미러타입</t>
        </is>
      </c>
      <c r="I514" s="29" t="inlineStr">
        <is>
          <t>鏡面屬性</t>
        </is>
      </c>
      <c r="J514" s="29">
        <f>IFERROR(__xludf.DUMMYFUNCTION("GOOGLETRANSLATE(I514,""zh_HANT"",""zh_HANS"")"),"镜面属性")</f>
        <v/>
      </c>
      <c r="K514" s="29">
        <f>F514</f>
        <v/>
      </c>
    </row>
    <row r="515">
      <c r="A515" s="29">
        <f>CONCATENATE("NAME_MOVE_", SUBSTITUTE(SUBSTITUTE(UPPER(B515), " ", ""), "-", ""))</f>
        <v/>
      </c>
      <c r="B515" s="29" t="inlineStr">
        <is>
          <t>Retaliate</t>
        </is>
      </c>
      <c r="C515" s="29" t="inlineStr">
        <is>
          <t>かたきうち</t>
        </is>
      </c>
      <c r="D515" s="29" t="inlineStr">
        <is>
          <t>Vengence</t>
        </is>
      </c>
      <c r="E515" s="29" t="inlineStr">
        <is>
          <t>Heimzahlung</t>
        </is>
      </c>
      <c r="F515" s="29" t="inlineStr">
        <is>
          <t>Represalia</t>
        </is>
      </c>
      <c r="G515" s="29" t="inlineStr">
        <is>
          <t>Nemesi</t>
        </is>
      </c>
      <c r="H515" s="29" t="inlineStr">
        <is>
          <t>원수갚기</t>
        </is>
      </c>
      <c r="I515" s="29" t="inlineStr">
        <is>
          <t>報仇</t>
        </is>
      </c>
      <c r="J515" s="29">
        <f>IFERROR(__xludf.DUMMYFUNCTION("GOOGLETRANSLATE(I515,""zh_HANT"",""zh_HANS"")"),"报仇")</f>
        <v/>
      </c>
      <c r="K515" s="29">
        <f>F515</f>
        <v/>
      </c>
    </row>
    <row r="516">
      <c r="A516" s="29">
        <f>CONCATENATE("NAME_MOVE_", SUBSTITUTE(SUBSTITUTE(UPPER(B516), " ", ""), "-", ""))</f>
        <v/>
      </c>
      <c r="B516" s="29" t="inlineStr">
        <is>
          <t>Final Gambit</t>
        </is>
      </c>
      <c r="C516" s="29" t="inlineStr">
        <is>
          <t>いのちがけ</t>
        </is>
      </c>
      <c r="D516" s="29" t="inlineStr">
        <is>
          <t>Tout ou Rein</t>
        </is>
      </c>
      <c r="E516" s="29" t="inlineStr">
        <is>
          <t>Wagemut</t>
        </is>
      </c>
      <c r="F516" s="29" t="inlineStr">
        <is>
          <t>Sacrificio</t>
        </is>
      </c>
      <c r="G516" s="29" t="inlineStr">
        <is>
          <t>Azzardo</t>
        </is>
      </c>
      <c r="H516" s="29" t="inlineStr">
        <is>
          <t>목숨걸기</t>
        </is>
      </c>
      <c r="I516" s="29" t="inlineStr">
        <is>
          <t>搏命</t>
        </is>
      </c>
      <c r="J516" s="29">
        <f>I516</f>
        <v/>
      </c>
      <c r="K516" s="29">
        <f>F516</f>
        <v/>
      </c>
    </row>
    <row r="517">
      <c r="A517" s="29">
        <f>CONCATENATE("NAME_MOVE_", SUBSTITUTE(SUBSTITUTE(UPPER(B517), " ", ""), "-", ""))</f>
        <v/>
      </c>
      <c r="B517" s="29" t="inlineStr">
        <is>
          <t>Bestow</t>
        </is>
      </c>
      <c r="C517" s="29" t="inlineStr">
        <is>
          <t>ギフトパス</t>
        </is>
      </c>
      <c r="D517" s="29" t="inlineStr">
        <is>
          <t>Passe-Cadeau</t>
        </is>
      </c>
      <c r="E517" s="29" t="inlineStr">
        <is>
          <t>Offerte</t>
        </is>
      </c>
      <c r="F517" s="29" t="inlineStr">
        <is>
          <t>Ofrenda</t>
        </is>
      </c>
      <c r="G517" s="29" t="inlineStr">
        <is>
          <t>Cediregalo</t>
        </is>
      </c>
      <c r="H517" s="29" t="inlineStr">
        <is>
          <t>기프트패스</t>
        </is>
      </c>
      <c r="I517" s="29" t="inlineStr">
        <is>
          <t>傳遞禮物</t>
        </is>
      </c>
      <c r="J517" s="29">
        <f>IFERROR(__xludf.DUMMYFUNCTION("GOOGLETRANSLATE(I517,""zh_HANT"",""zh_HANS"")"),"传递礼物")</f>
        <v/>
      </c>
      <c r="K517" s="29">
        <f>F517</f>
        <v/>
      </c>
    </row>
    <row r="518">
      <c r="A518" s="29">
        <f>CONCATENATE("NAME_MOVE_", SUBSTITUTE(SUBSTITUTE(UPPER(B518), " ", ""), "-", ""))</f>
        <v/>
      </c>
      <c r="B518" s="29" t="inlineStr">
        <is>
          <t>Inferno</t>
        </is>
      </c>
      <c r="C518" s="29" t="inlineStr">
        <is>
          <t>れんごく</t>
        </is>
      </c>
      <c r="D518" s="29" t="inlineStr">
        <is>
          <t>Feu d'Enfer</t>
        </is>
      </c>
      <c r="E518" s="29">
        <f>B518</f>
        <v/>
      </c>
      <c r="F518" s="29" t="inlineStr">
        <is>
          <t>Infierno</t>
        </is>
      </c>
      <c r="G518" s="29" t="inlineStr">
        <is>
          <t>Marchiatura</t>
        </is>
      </c>
      <c r="H518" s="29" t="inlineStr">
        <is>
          <t>연옥</t>
        </is>
      </c>
      <c r="I518" s="29" t="inlineStr">
        <is>
          <t>煉獄</t>
        </is>
      </c>
      <c r="J518" s="29" t="inlineStr">
        <is>
          <t>烈火深渊</t>
        </is>
      </c>
      <c r="K518" s="29">
        <f>F518</f>
        <v/>
      </c>
    </row>
    <row r="519">
      <c r="A519" s="29">
        <f>CONCATENATE("NAME_MOVE_", SUBSTITUTE(SUBSTITUTE(UPPER(B519), " ", ""), "-", ""))</f>
        <v/>
      </c>
      <c r="B519" s="29" t="inlineStr">
        <is>
          <t>Water Pledge</t>
        </is>
      </c>
      <c r="C519" s="29">
        <f>CONCATENATE(Types!C12,"のちかい")</f>
        <v/>
      </c>
      <c r="D519" s="29" t="inlineStr">
        <is>
          <t>Aire d'Eau</t>
        </is>
      </c>
      <c r="E519" s="29" t="inlineStr">
        <is>
          <t>Wassersäulen</t>
        </is>
      </c>
      <c r="F519" s="29" t="inlineStr">
        <is>
          <t>Voto Agua</t>
        </is>
      </c>
      <c r="G519" s="29" t="inlineStr">
        <is>
          <t>Acquapatto</t>
        </is>
      </c>
      <c r="H519" s="29" t="inlineStr">
        <is>
          <t>물의맹세</t>
        </is>
      </c>
      <c r="I519" s="29" t="inlineStr">
        <is>
          <t>水之誓約</t>
        </is>
      </c>
      <c r="J519" s="29">
        <f>IFERROR(__xludf.DUMMYFUNCTION("GOOGLETRANSLATE(I519,""zh_HANT"",""zh_HANS"")"),"水之誓约")</f>
        <v/>
      </c>
      <c r="K519" s="29">
        <f>F519</f>
        <v/>
      </c>
    </row>
    <row r="520">
      <c r="A520" s="29">
        <f>CONCATENATE("NAME_MOVE_", SUBSTITUTE(SUBSTITUTE(UPPER(B520), " ", ""), "-", ""))</f>
        <v/>
      </c>
      <c r="B520" s="29" t="inlineStr">
        <is>
          <t>Fire Pledge</t>
        </is>
      </c>
      <c r="C520" s="29">
        <f>CONCATENATE(Types!C11,"のちかい")</f>
        <v/>
      </c>
      <c r="D520" s="29" t="inlineStr">
        <is>
          <t>Aire de Feu</t>
        </is>
      </c>
      <c r="E520" s="29" t="inlineStr">
        <is>
          <t>Feuersäulen</t>
        </is>
      </c>
      <c r="F520" s="29" t="inlineStr">
        <is>
          <t>Voto Fuego</t>
        </is>
      </c>
      <c r="G520" s="29" t="inlineStr">
        <is>
          <t>Fiammapatto</t>
        </is>
      </c>
      <c r="H520" s="29" t="inlineStr">
        <is>
          <t>불꽃의맹세</t>
        </is>
      </c>
      <c r="I520" s="29" t="inlineStr">
        <is>
          <t>火之誓約</t>
        </is>
      </c>
      <c r="J520" s="29">
        <f>IFERROR(__xludf.DUMMYFUNCTION("GOOGLETRANSLATE(I520,""zh_HANT"",""zh_HANS"")"),"火之誓约")</f>
        <v/>
      </c>
      <c r="K520" s="29">
        <f>F520</f>
        <v/>
      </c>
    </row>
    <row r="521">
      <c r="A521" s="29">
        <f>CONCATENATE("NAME_MOVE_", SUBSTITUTE(SUBSTITUTE(UPPER(B521), " ", ""), "-", ""))</f>
        <v/>
      </c>
      <c r="B521" s="29" t="inlineStr">
        <is>
          <t>Grass Pledge</t>
        </is>
      </c>
      <c r="C521" s="29">
        <f>CONCATENATE(Types!C13,"のちかい")</f>
        <v/>
      </c>
      <c r="D521" s="29" t="inlineStr">
        <is>
          <t>Aire d'Herbe</t>
        </is>
      </c>
      <c r="E521" s="29" t="inlineStr">
        <is>
          <t>Pflanzensäulen</t>
        </is>
      </c>
      <c r="F521" s="29" t="inlineStr">
        <is>
          <t>Voto Planta</t>
        </is>
      </c>
      <c r="G521" s="29" t="inlineStr">
        <is>
          <t>Erbapatto</t>
        </is>
      </c>
      <c r="H521" s="29" t="inlineStr">
        <is>
          <t>풀의맹세</t>
        </is>
      </c>
      <c r="I521" s="29" t="inlineStr">
        <is>
          <t>草之誓約</t>
        </is>
      </c>
      <c r="J521" s="29">
        <f>IFERROR(__xludf.DUMMYFUNCTION("GOOGLETRANSLATE(I521,""zh_HANT"",""zh_HANS"")"),"草之誓约")</f>
        <v/>
      </c>
      <c r="K521" s="29">
        <f>F521</f>
        <v/>
      </c>
    </row>
    <row r="522">
      <c r="A522" s="29">
        <f>CONCATENATE("NAME_MOVE_", SUBSTITUTE(SUBSTITUTE(UPPER(B522), " ", ""), "-", ""))</f>
        <v/>
      </c>
      <c r="B522" s="29" t="inlineStr">
        <is>
          <t>Volt Switch</t>
        </is>
      </c>
      <c r="C522" s="29" t="inlineStr">
        <is>
          <t>ボルトチェンジ</t>
        </is>
      </c>
      <c r="D522" s="29" t="inlineStr">
        <is>
          <t>Change Éclair</t>
        </is>
      </c>
      <c r="E522" s="29" t="inlineStr">
        <is>
          <t>Voltwechsel</t>
        </is>
      </c>
      <c r="F522" s="29" t="inlineStr">
        <is>
          <t>Voltiocambio</t>
        </is>
      </c>
      <c r="G522" s="29" t="inlineStr">
        <is>
          <t>Invertivolt</t>
        </is>
      </c>
      <c r="H522" s="29" t="inlineStr">
        <is>
          <t>볼트체인지</t>
        </is>
      </c>
      <c r="I522" s="29" t="inlineStr">
        <is>
          <t>伏特替換</t>
        </is>
      </c>
      <c r="J522" s="29">
        <f>IFERROR(__xludf.DUMMYFUNCTION("GOOGLETRANSLATE(I522,""zh_HANT"",""zh_HANS"")"),"伏特替换")</f>
        <v/>
      </c>
      <c r="K522" s="29">
        <f>F522</f>
        <v/>
      </c>
    </row>
    <row r="523">
      <c r="A523" s="29">
        <f>CONCATENATE("NAME_MOVE_", SUBSTITUTE(SUBSTITUTE(UPPER(B523), " ", ""), "-", ""))</f>
        <v/>
      </c>
      <c r="B523" s="29" t="inlineStr">
        <is>
          <t>Struggle Bug</t>
        </is>
      </c>
      <c r="C523" s="29" t="inlineStr">
        <is>
          <t>むしのていこう</t>
        </is>
      </c>
      <c r="D523" s="29" t="inlineStr">
        <is>
          <t>Survinsecte</t>
        </is>
      </c>
      <c r="E523" s="29" t="inlineStr">
        <is>
          <t>Käfertrutz</t>
        </is>
      </c>
      <c r="F523" s="29" t="inlineStr">
        <is>
          <t>Estoicismo</t>
        </is>
      </c>
      <c r="G523" s="29" t="inlineStr">
        <is>
          <t>Entomoblocco</t>
        </is>
      </c>
      <c r="H523" s="29" t="inlineStr">
        <is>
          <t>벌레의저항</t>
        </is>
      </c>
      <c r="I523" s="29" t="inlineStr">
        <is>
          <t>蟲之抵抗</t>
        </is>
      </c>
      <c r="J523" s="29">
        <f>IFERROR(__xludf.DUMMYFUNCTION("GOOGLETRANSLATE(I523,""zh_HANT"",""zh_HANS"")"),"虫之抵抗")</f>
        <v/>
      </c>
      <c r="K523" s="29">
        <f>F523</f>
        <v/>
      </c>
    </row>
    <row r="524">
      <c r="A524" s="29">
        <f>CONCATENATE("NAME_MOVE_", SUBSTITUTE(SUBSTITUTE(UPPER(B524), " ", ""), "-", ""))</f>
        <v/>
      </c>
      <c r="B524" s="29" t="inlineStr">
        <is>
          <t>Bulldoze</t>
        </is>
      </c>
      <c r="C524" s="29" t="inlineStr">
        <is>
          <t>じならし</t>
        </is>
      </c>
      <c r="D524" s="29" t="inlineStr">
        <is>
          <t>Piétisol</t>
        </is>
      </c>
      <c r="E524" s="29" t="inlineStr">
        <is>
          <t>Dampfwalze</t>
        </is>
      </c>
      <c r="F524" s="29" t="inlineStr">
        <is>
          <t>Terratemblor</t>
        </is>
      </c>
      <c r="G524" s="29" t="inlineStr">
        <is>
          <t>Battiterra</t>
        </is>
      </c>
      <c r="H524" s="29" t="inlineStr">
        <is>
          <t>땅고르기</t>
        </is>
      </c>
      <c r="I524" s="29" t="inlineStr">
        <is>
          <t>重踏</t>
        </is>
      </c>
      <c r="J524" s="29">
        <f>I524</f>
        <v/>
      </c>
      <c r="K524" s="29">
        <f>F524</f>
        <v/>
      </c>
    </row>
    <row r="525">
      <c r="A525" s="29">
        <f>CONCATENATE("NAME_MOVE_", SUBSTITUTE(SUBSTITUTE(UPPER(B525), " ", ""), "-", ""))</f>
        <v/>
      </c>
      <c r="B525" s="29" t="inlineStr">
        <is>
          <t>Frost Breath</t>
        </is>
      </c>
      <c r="C525" s="29" t="inlineStr">
        <is>
          <t>こおりのいぶき</t>
        </is>
      </c>
      <c r="D525" s="29" t="inlineStr">
        <is>
          <t>Souffle Glacé</t>
        </is>
      </c>
      <c r="E525" s="29" t="inlineStr">
        <is>
          <t>Eisesodem</t>
        </is>
      </c>
      <c r="F525" s="29" t="inlineStr">
        <is>
          <t>Vaho Gélido</t>
        </is>
      </c>
      <c r="G525" s="29" t="inlineStr">
        <is>
          <t>Alitogelido</t>
        </is>
      </c>
      <c r="H525" s="29" t="inlineStr">
        <is>
          <t>얼음숨결</t>
        </is>
      </c>
      <c r="I525" s="29" t="inlineStr">
        <is>
          <t>冰息</t>
        </is>
      </c>
      <c r="J525" s="29">
        <f>I525</f>
        <v/>
      </c>
      <c r="K525" s="29">
        <f>F525</f>
        <v/>
      </c>
    </row>
    <row r="526">
      <c r="A526" s="29">
        <f>CONCATENATE("NAME_MOVE_", SUBSTITUTE(SUBSTITUTE(UPPER(B526), " ", ""), "-", ""))</f>
        <v/>
      </c>
      <c r="B526" s="29" t="inlineStr">
        <is>
          <t>Dragon Tail</t>
        </is>
      </c>
      <c r="C526" s="29" t="inlineStr">
        <is>
          <t>ドラゴンテール</t>
        </is>
      </c>
      <c r="D526" s="29" t="inlineStr">
        <is>
          <t>Draco-Queue</t>
        </is>
      </c>
      <c r="E526" s="29" t="inlineStr">
        <is>
          <t>Drachenrute</t>
        </is>
      </c>
      <c r="F526" s="29" t="inlineStr">
        <is>
          <t>Cola Dragón</t>
        </is>
      </c>
      <c r="G526" s="29" t="inlineStr">
        <is>
          <t>Codadrago</t>
        </is>
      </c>
      <c r="H526" s="29" t="inlineStr">
        <is>
          <t>드래곤테일</t>
        </is>
      </c>
      <c r="I526" s="29" t="inlineStr">
        <is>
          <t>龍尾</t>
        </is>
      </c>
      <c r="J526" s="29">
        <f>IFERROR(__xludf.DUMMYFUNCTION("GOOGLETRANSLATE(I526,""zh_HANT"",""zh_HANS"")"),"龙尾")</f>
        <v/>
      </c>
      <c r="K526" s="29">
        <f>F526</f>
        <v/>
      </c>
    </row>
    <row r="527">
      <c r="A527" s="29">
        <f>CONCATENATE("NAME_MOVE_", SUBSTITUTE(SUBSTITUTE(UPPER(B527), " ", ""), "-", ""))</f>
        <v/>
      </c>
      <c r="B527" s="29" t="inlineStr">
        <is>
          <t>Work Up</t>
        </is>
      </c>
      <c r="C527" s="29" t="inlineStr">
        <is>
          <t>ふるいたてる</t>
        </is>
      </c>
      <c r="D527" s="29" t="inlineStr">
        <is>
          <t>Rengorgement</t>
        </is>
      </c>
      <c r="E527" s="29" t="inlineStr">
        <is>
          <t>Kraftschub</t>
        </is>
      </c>
      <c r="F527" s="29" t="inlineStr">
        <is>
          <t>Avivar</t>
        </is>
      </c>
      <c r="G527" s="29" t="inlineStr">
        <is>
          <t>Cuordileone</t>
        </is>
      </c>
      <c r="H527" s="29" t="inlineStr">
        <is>
          <t>분발</t>
        </is>
      </c>
      <c r="I527" s="29" t="inlineStr">
        <is>
          <t>自我激勵</t>
        </is>
      </c>
      <c r="J527" s="29">
        <f>IFERROR(__xludf.DUMMYFUNCTION("GOOGLETRANSLATE(I527,""zh_HANT"",""zh_HANS"")"),"自我激励")</f>
        <v/>
      </c>
      <c r="K527" s="29">
        <f>F527</f>
        <v/>
      </c>
    </row>
    <row r="528">
      <c r="A528" s="29">
        <f>CONCATENATE("NAME_MOVE_", SUBSTITUTE(SUBSTITUTE(UPPER(B528), " ", ""), "-", ""))</f>
        <v/>
      </c>
      <c r="B528" s="29" t="inlineStr">
        <is>
          <t>Electroweb</t>
        </is>
      </c>
      <c r="C528" s="29" t="inlineStr">
        <is>
          <t>エレキネット</t>
        </is>
      </c>
      <c r="D528" s="29" t="inlineStr">
        <is>
          <t>Toile Élek</t>
        </is>
      </c>
      <c r="E528" s="29" t="inlineStr">
        <is>
          <t>Elektronetz</t>
        </is>
      </c>
      <c r="F528" s="29" t="inlineStr">
        <is>
          <t>Electrotela</t>
        </is>
      </c>
      <c r="G528" s="29" t="inlineStr">
        <is>
          <t>Elettrotela</t>
        </is>
      </c>
      <c r="H528" s="29" t="inlineStr">
        <is>
          <t>일렉트릭네트</t>
        </is>
      </c>
      <c r="I528" s="29" t="inlineStr">
        <is>
          <t>電網</t>
        </is>
      </c>
      <c r="J528" s="29">
        <f>IFERROR(__xludf.DUMMYFUNCTION("GOOGLETRANSLATE(I528,""zh_HANT"",""zh_HANS"")"),"电网")</f>
        <v/>
      </c>
      <c r="K528" s="29">
        <f>F528</f>
        <v/>
      </c>
    </row>
    <row r="529">
      <c r="A529" s="29">
        <f>CONCATENATE("NAME_MOVE_", SUBSTITUTE(SUBSTITUTE(UPPER(B529), " ", ""), "-", ""))</f>
        <v/>
      </c>
      <c r="B529" s="29" t="inlineStr">
        <is>
          <t>Wild Charge</t>
        </is>
      </c>
      <c r="C529" s="29" t="inlineStr">
        <is>
          <t>ワイルドボルト</t>
        </is>
      </c>
      <c r="D529" s="29" t="inlineStr">
        <is>
          <t>Éclair Fou</t>
        </is>
      </c>
      <c r="E529" s="29" t="inlineStr">
        <is>
          <t>Stromstoß</t>
        </is>
      </c>
      <c r="F529" s="29" t="inlineStr">
        <is>
          <t>Voltiocruel</t>
        </is>
      </c>
      <c r="G529" s="29" t="inlineStr">
        <is>
          <t>Sprizzalampo</t>
        </is>
      </c>
      <c r="H529" s="29" t="inlineStr">
        <is>
          <t>와일드볼트</t>
        </is>
      </c>
      <c r="I529" s="29" t="inlineStr">
        <is>
          <t>瘋狂伏特</t>
        </is>
      </c>
      <c r="J529" s="29">
        <f>IFERROR(__xludf.DUMMYFUNCTION("GOOGLETRANSLATE(I529,""zh_HANT"",""zh_HANS"")"),"疯狂伏特")</f>
        <v/>
      </c>
      <c r="K529" s="29">
        <f>F529</f>
        <v/>
      </c>
    </row>
    <row r="530">
      <c r="A530" s="29">
        <f>CONCATENATE("NAME_MOVE_", SUBSTITUTE(SUBSTITUTE(UPPER(B530), " ", ""), "-", ""))</f>
        <v/>
      </c>
      <c r="B530" s="29" t="inlineStr">
        <is>
          <t>Drill Run</t>
        </is>
      </c>
      <c r="C530" s="29" t="inlineStr">
        <is>
          <t>ドリルライナー</t>
        </is>
      </c>
      <c r="D530" s="29" t="inlineStr">
        <is>
          <t>Tunnelier</t>
        </is>
      </c>
      <c r="E530" s="29" t="inlineStr">
        <is>
          <t>Schlagbohrer</t>
        </is>
      </c>
      <c r="F530" s="29" t="inlineStr">
        <is>
          <t>Taladradora</t>
        </is>
      </c>
      <c r="G530" s="29" t="inlineStr">
        <is>
          <t>Giravvita</t>
        </is>
      </c>
      <c r="H530" s="29" t="inlineStr">
        <is>
          <t>드릴라이너</t>
        </is>
      </c>
      <c r="I530" s="29" t="inlineStr">
        <is>
          <t>直衝鑽</t>
        </is>
      </c>
      <c r="J530" s="29">
        <f>IFERROR(__xludf.DUMMYFUNCTION("GOOGLETRANSLATE(I530,""zh_HANT"",""zh_HANS"")"),"直冲钻")</f>
        <v/>
      </c>
      <c r="K530" s="29">
        <f>F530</f>
        <v/>
      </c>
    </row>
    <row r="531">
      <c r="A531" s="29">
        <f>CONCATENATE("NAME_MOVE_", SUBSTITUTE(SUBSTITUTE(UPPER(B531), " ", ""), "-", ""))</f>
        <v/>
      </c>
      <c r="B531" s="29" t="inlineStr">
        <is>
          <t>Dual Chop</t>
        </is>
      </c>
      <c r="C531" s="29" t="inlineStr">
        <is>
          <t>ダブルチョップ</t>
        </is>
      </c>
      <c r="D531" s="29" t="inlineStr">
        <is>
          <t>Double Baffe</t>
        </is>
      </c>
      <c r="E531" s="29" t="inlineStr">
        <is>
          <t>Doppelhieb</t>
        </is>
      </c>
      <c r="F531" s="29" t="inlineStr">
        <is>
          <t>Golpe Bis</t>
        </is>
      </c>
      <c r="G531" s="29" t="inlineStr">
        <is>
          <t>Doppiocolpo</t>
        </is>
      </c>
      <c r="H531" s="29" t="inlineStr">
        <is>
          <t>더블촙</t>
        </is>
      </c>
      <c r="I531" s="29" t="inlineStr">
        <is>
          <t>二連劈</t>
        </is>
      </c>
      <c r="J531" s="29">
        <f>IFERROR(__xludf.DUMMYFUNCTION("GOOGLETRANSLATE(I531,""zh_HANT"",""zh_HANS"")"),"二连劈")</f>
        <v/>
      </c>
      <c r="K531" s="29">
        <f>F531</f>
        <v/>
      </c>
    </row>
    <row r="532">
      <c r="A532" s="29">
        <f>CONCATENATE("NAME_MOVE_", SUBSTITUTE(SUBSTITUTE(UPPER(B532), " ", ""), "-", ""))</f>
        <v/>
      </c>
      <c r="B532" s="29" t="inlineStr">
        <is>
          <t>Heart Stamp</t>
        </is>
      </c>
      <c r="C532" s="29" t="inlineStr">
        <is>
          <t>ハートスタンプ</t>
        </is>
      </c>
      <c r="D532" s="29" t="inlineStr">
        <is>
          <t>Crèvecœur</t>
        </is>
      </c>
      <c r="E532" s="29" t="inlineStr">
        <is>
          <t>Herzstempel</t>
        </is>
      </c>
      <c r="F532" s="29" t="inlineStr">
        <is>
          <t>Arrumaco</t>
        </is>
      </c>
      <c r="G532" s="29" t="inlineStr">
        <is>
          <t>Cuorestampo</t>
        </is>
      </c>
      <c r="H532" s="29" t="inlineStr">
        <is>
          <t>하트스탬프</t>
        </is>
      </c>
      <c r="I532" s="29" t="inlineStr">
        <is>
          <t>愛心印章</t>
        </is>
      </c>
      <c r="J532" s="29">
        <f>IFERROR(__xludf.DUMMYFUNCTION("GOOGLETRANSLATE(I532,""zh_HANT"",""zh_HANS"")"),"爱心印章")</f>
        <v/>
      </c>
      <c r="K532" s="29">
        <f>F532</f>
        <v/>
      </c>
    </row>
    <row r="533">
      <c r="A533" s="29">
        <f>CONCATENATE("NAME_MOVE_", SUBSTITUTE(SUBSTITUTE(UPPER(B533), " ", ""), "-", ""))</f>
        <v/>
      </c>
      <c r="B533" s="29" t="inlineStr">
        <is>
          <t>Horn Leech</t>
        </is>
      </c>
      <c r="C533" s="29" t="inlineStr">
        <is>
          <t>ウッドホーン</t>
        </is>
      </c>
      <c r="D533" s="29" t="inlineStr">
        <is>
          <t>Encornebois</t>
        </is>
      </c>
      <c r="E533" s="29" t="inlineStr">
        <is>
          <t>Holzgeweih</t>
        </is>
      </c>
      <c r="F533" s="29" t="inlineStr">
        <is>
          <t>Asta Drenaje</t>
        </is>
      </c>
      <c r="G533" s="29" t="inlineStr">
        <is>
          <t>Legnicorno</t>
        </is>
      </c>
      <c r="H533" s="29" t="inlineStr">
        <is>
          <t>우드호른</t>
        </is>
      </c>
      <c r="I533" s="29" t="inlineStr">
        <is>
          <t>木角</t>
        </is>
      </c>
      <c r="J533" s="29">
        <f>I533</f>
        <v/>
      </c>
      <c r="K533" s="29">
        <f>F533</f>
        <v/>
      </c>
    </row>
    <row r="534">
      <c r="A534" s="29">
        <f>CONCATENATE("NAME_MOVE_", SUBSTITUTE(SUBSTITUTE(UPPER(B534), " ", ""), "-", ""))</f>
        <v/>
      </c>
      <c r="B534" s="29" t="inlineStr">
        <is>
          <t>Sacred Sword</t>
        </is>
      </c>
      <c r="C534" s="29" t="inlineStr">
        <is>
          <t>せいなるつるぎ</t>
        </is>
      </c>
      <c r="D534" s="29" t="inlineStr">
        <is>
          <t>Lame Sainte</t>
        </is>
      </c>
      <c r="E534" s="29" t="inlineStr">
        <is>
          <t>Sanctoklinge</t>
        </is>
      </c>
      <c r="F534" s="29" t="inlineStr">
        <is>
          <t>Espada Santa</t>
        </is>
      </c>
      <c r="G534" s="29" t="inlineStr">
        <is>
          <t>Spadasolenne</t>
        </is>
      </c>
      <c r="H534" s="29" t="inlineStr">
        <is>
          <t>성스러운칼</t>
        </is>
      </c>
      <c r="I534" s="29" t="inlineStr">
        <is>
          <t>聖劍</t>
        </is>
      </c>
      <c r="J534" s="29">
        <f>IFERROR(__xludf.DUMMYFUNCTION("GOOGLETRANSLATE(I534,""zh_HANT"",""zh_HANS"")"),"圣剑")</f>
        <v/>
      </c>
      <c r="K534" s="29">
        <f>F534</f>
        <v/>
      </c>
    </row>
    <row r="535">
      <c r="A535" s="29">
        <f>CONCATENATE("NAME_MOVE_", SUBSTITUTE(SUBSTITUTE(UPPER(B535), " ", ""), "-", ""))</f>
        <v/>
      </c>
      <c r="B535" s="29" t="inlineStr">
        <is>
          <t>Razor Shell</t>
        </is>
      </c>
      <c r="C535" s="29" t="inlineStr">
        <is>
          <t>シェルブレード</t>
        </is>
      </c>
      <c r="D535" s="29" t="inlineStr">
        <is>
          <t>Coqui-Lame</t>
        </is>
      </c>
      <c r="E535" s="29" t="inlineStr">
        <is>
          <t>Kalkklinge</t>
        </is>
      </c>
      <c r="F535" s="29" t="inlineStr">
        <is>
          <t>Concha Filo</t>
        </is>
      </c>
      <c r="G535" s="29" t="inlineStr">
        <is>
          <t>Conchilama</t>
        </is>
      </c>
      <c r="H535" s="29" t="inlineStr">
        <is>
          <t>셸블레이드</t>
        </is>
      </c>
      <c r="I535" s="29" t="inlineStr">
        <is>
          <t>貝殼刃</t>
        </is>
      </c>
      <c r="J535" s="29">
        <f>IFERROR(__xludf.DUMMYFUNCTION("GOOGLETRANSLATE(I535,""zh_HANT"",""zh_HANS"")"),"贝壳刃")</f>
        <v/>
      </c>
      <c r="K535" s="29">
        <f>F535</f>
        <v/>
      </c>
    </row>
    <row r="536">
      <c r="A536" s="29">
        <f>CONCATENATE("NAME_MOVE_", SUBSTITUTE(SUBSTITUTE(UPPER(B536), " ", ""), "-", ""))</f>
        <v/>
      </c>
      <c r="B536" s="29" t="inlineStr">
        <is>
          <t>Heat Crash</t>
        </is>
      </c>
      <c r="C536" s="29" t="inlineStr">
        <is>
          <t>ヒートスタンプ</t>
        </is>
      </c>
      <c r="D536" s="29" t="inlineStr">
        <is>
          <t>Tacle Feu</t>
        </is>
      </c>
      <c r="E536" s="29" t="inlineStr">
        <is>
          <t>Brandstempel</t>
        </is>
      </c>
      <c r="F536" s="29" t="inlineStr">
        <is>
          <t>Golpe Calor</t>
        </is>
      </c>
      <c r="G536" s="29" t="inlineStr">
        <is>
          <t>Marchiafuoco</t>
        </is>
      </c>
      <c r="H536" s="29" t="inlineStr">
        <is>
          <t>히트스탬프</t>
        </is>
      </c>
      <c r="I536" s="29" t="inlineStr">
        <is>
          <t>高溫重壓</t>
        </is>
      </c>
      <c r="J536" s="29">
        <f>IFERROR(__xludf.DUMMYFUNCTION("GOOGLETRANSLATE(I536,""zh_HANT"",""zh_HANS"")"),"高温重压")</f>
        <v/>
      </c>
      <c r="K536" s="29">
        <f>F536</f>
        <v/>
      </c>
    </row>
    <row r="537">
      <c r="A537" s="29">
        <f>CONCATENATE("NAME_MOVE_", SUBSTITUTE(SUBSTITUTE(UPPER(B537), " ", ""), "-", ""))</f>
        <v/>
      </c>
      <c r="B537" s="29" t="inlineStr">
        <is>
          <t>Leaf Tornado</t>
        </is>
      </c>
      <c r="C537" s="29" t="inlineStr">
        <is>
          <t>グラスミキサー</t>
        </is>
      </c>
      <c r="D537" s="29" t="inlineStr">
        <is>
          <t>Phytomixeur</t>
        </is>
      </c>
      <c r="E537" s="29" t="inlineStr">
        <is>
          <t>Grasmixer</t>
        </is>
      </c>
      <c r="F537" s="29" t="inlineStr">
        <is>
          <t>Ciclón de Hojas</t>
        </is>
      </c>
      <c r="G537" s="29" t="inlineStr">
        <is>
          <t>Vorticerba</t>
        </is>
      </c>
      <c r="H537" s="29" t="inlineStr">
        <is>
          <t>그래스믹서</t>
        </is>
      </c>
      <c r="I537" s="29" t="inlineStr">
        <is>
          <t>青草攪拌器</t>
        </is>
      </c>
      <c r="J537" s="29">
        <f>IFERROR(__xludf.DUMMYFUNCTION("GOOGLETRANSLATE(I537,""zh_HANT"",""zh_HANS"")"),"青草搅拌器")</f>
        <v/>
      </c>
      <c r="K537" s="29">
        <f>F537</f>
        <v/>
      </c>
    </row>
    <row r="538">
      <c r="A538" s="29">
        <f>CONCATENATE("NAME_MOVE_", SUBSTITUTE(SUBSTITUTE(UPPER(B538), " ", ""), "-", ""))</f>
        <v/>
      </c>
      <c r="B538" s="29" t="inlineStr">
        <is>
          <t>Steamroller</t>
        </is>
      </c>
      <c r="C538" s="29" t="inlineStr">
        <is>
          <t>ハードローラー</t>
        </is>
      </c>
      <c r="D538" s="29" t="inlineStr">
        <is>
          <t>Bulldoboule</t>
        </is>
      </c>
      <c r="E538" s="29" t="inlineStr">
        <is>
          <t>Quetschwalze</t>
        </is>
      </c>
      <c r="F538" s="29" t="inlineStr">
        <is>
          <t>Rodillo de Púas</t>
        </is>
      </c>
      <c r="G538" s="29" t="inlineStr">
        <is>
          <t>Rulloduro</t>
        </is>
      </c>
      <c r="H538" s="29" t="inlineStr">
        <is>
          <t>하드롤러</t>
        </is>
      </c>
      <c r="I538" s="29" t="inlineStr">
        <is>
          <t>瘋狂滾壓</t>
        </is>
      </c>
      <c r="J538" s="29">
        <f>IFERROR(__xludf.DUMMYFUNCTION("GOOGLETRANSLATE(I538,""zh_HANT"",""zh_HANS"")"),"疯狂滚压")</f>
        <v/>
      </c>
      <c r="K538" s="29">
        <f>F538</f>
        <v/>
      </c>
    </row>
    <row r="539">
      <c r="A539" s="29">
        <f>CONCATENATE("NAME_MOVE_", SUBSTITUTE(SUBSTITUTE(UPPER(B539), " ", ""), "-", ""))</f>
        <v/>
      </c>
      <c r="B539" s="29" t="inlineStr">
        <is>
          <t>Cotton Guard</t>
        </is>
      </c>
      <c r="C539" s="29" t="inlineStr">
        <is>
          <t>コットンガード</t>
        </is>
      </c>
      <c r="D539" s="29" t="inlineStr">
        <is>
          <t>Cotogarde</t>
        </is>
      </c>
      <c r="E539" s="29" t="inlineStr">
        <is>
          <t>Watteschild</t>
        </is>
      </c>
      <c r="F539" s="29" t="inlineStr">
        <is>
          <t>Rizo Algodón</t>
        </is>
      </c>
      <c r="G539" s="29" t="inlineStr">
        <is>
          <t>Cotonscudo</t>
        </is>
      </c>
      <c r="H539" s="29" t="inlineStr">
        <is>
          <t>코튼가드</t>
        </is>
      </c>
      <c r="I539" s="29" t="inlineStr">
        <is>
          <t>棉花防守</t>
        </is>
      </c>
      <c r="J539" s="29">
        <f>I539</f>
        <v/>
      </c>
      <c r="K539" s="29">
        <f>F539</f>
        <v/>
      </c>
    </row>
    <row r="540">
      <c r="A540" s="29">
        <f>CONCATENATE("NAME_MOVE_", SUBSTITUTE(SUBSTITUTE(UPPER(B540), " ", ""), "-", ""))</f>
        <v/>
      </c>
      <c r="B540" s="29" t="inlineStr">
        <is>
          <t>Night Daze</t>
        </is>
      </c>
      <c r="C540" s="29" t="inlineStr">
        <is>
          <t>ナイトバースト</t>
        </is>
      </c>
      <c r="D540" s="29" t="inlineStr">
        <is>
          <t>Explonuit</t>
        </is>
      </c>
      <c r="E540" s="29" t="inlineStr">
        <is>
          <t>Nachtflut</t>
        </is>
      </c>
      <c r="F540" s="29" t="inlineStr">
        <is>
          <t>Pulso Noche</t>
        </is>
      </c>
      <c r="G540" s="29" t="inlineStr">
        <is>
          <t>Urtoscuro</t>
        </is>
      </c>
      <c r="H540" s="29" t="inlineStr">
        <is>
          <t>나이트버스트</t>
        </is>
      </c>
      <c r="I540" s="29" t="inlineStr">
        <is>
          <t>暗黑爆破</t>
        </is>
      </c>
      <c r="J540" s="29">
        <f>I540</f>
        <v/>
      </c>
      <c r="K540" s="29">
        <f>F540</f>
        <v/>
      </c>
    </row>
    <row r="541">
      <c r="A541" s="29">
        <f>CONCATENATE("NAME_MOVE_", SUBSTITUTE(SUBSTITUTE(UPPER(B541), " ", ""), "-", ""))</f>
        <v/>
      </c>
      <c r="B541" s="29" t="inlineStr">
        <is>
          <t>Psystrike</t>
        </is>
      </c>
      <c r="C541" s="29" t="inlineStr">
        <is>
          <t>サイコブレイク</t>
        </is>
      </c>
      <c r="D541" s="29" t="inlineStr">
        <is>
          <t>Frappe Psy</t>
        </is>
      </c>
      <c r="E541" s="29" t="inlineStr">
        <is>
          <t>Psychostoß</t>
        </is>
      </c>
      <c r="F541" s="29" t="inlineStr">
        <is>
          <t>Onda Metal</t>
        </is>
      </c>
      <c r="G541" s="29" t="inlineStr">
        <is>
          <t>Psicobotta</t>
        </is>
      </c>
      <c r="H541" s="29" t="inlineStr">
        <is>
          <t>사이코브레이크</t>
        </is>
      </c>
      <c r="I541" s="29" t="inlineStr">
        <is>
          <t>精神擊破</t>
        </is>
      </c>
      <c r="J541" s="29">
        <f>IFERROR(__xludf.DUMMYFUNCTION("GOOGLETRANSLATE(I541,""zh_HANT"",""zh_HANS"")"),"精神击破")</f>
        <v/>
      </c>
      <c r="K541" s="29">
        <f>F541</f>
        <v/>
      </c>
    </row>
    <row r="542">
      <c r="A542" s="29">
        <f>CONCATENATE("NAME_MOVE_", SUBSTITUTE(SUBSTITUTE(UPPER(B542), " ", ""), "-", ""))</f>
        <v/>
      </c>
      <c r="B542" s="29" t="inlineStr">
        <is>
          <t>Tail Slap</t>
        </is>
      </c>
      <c r="C542" s="29" t="inlineStr">
        <is>
          <t>スイープビンタ</t>
        </is>
      </c>
      <c r="D542" s="29" t="inlineStr">
        <is>
          <t>Plumo-Queue</t>
        </is>
      </c>
      <c r="E542" s="29" t="inlineStr">
        <is>
          <t>Kehrschelle</t>
        </is>
      </c>
      <c r="F542" s="29" t="inlineStr">
        <is>
          <t>Plumerazo</t>
        </is>
      </c>
      <c r="G542" s="29" t="inlineStr">
        <is>
          <t>Spazzasberla</t>
        </is>
      </c>
      <c r="H542" s="29" t="inlineStr">
        <is>
          <t>스위프뺨치기</t>
        </is>
      </c>
      <c r="I542" s="29" t="inlineStr">
        <is>
          <t>掃尾拍打</t>
        </is>
      </c>
      <c r="J542" s="29">
        <f>IFERROR(__xludf.DUMMYFUNCTION("GOOGLETRANSLATE(I542,""zh_HANT"",""zh_HANS"")"),"扫尾拍打")</f>
        <v/>
      </c>
      <c r="K542" s="29">
        <f>F542</f>
        <v/>
      </c>
    </row>
    <row r="543">
      <c r="A543" s="29">
        <f>CONCATENATE("NAME_MOVE_", SUBSTITUTE(SUBSTITUTE(UPPER(B543), " ", ""), "-", ""))</f>
        <v/>
      </c>
      <c r="B543" s="29" t="inlineStr">
        <is>
          <t>Hurricane</t>
        </is>
      </c>
      <c r="C543" s="29" t="inlineStr">
        <is>
          <t>ぼうふう</t>
        </is>
      </c>
      <c r="D543" s="29" t="inlineStr">
        <is>
          <t>Vent Violent</t>
        </is>
      </c>
      <c r="E543" s="29" t="inlineStr">
        <is>
          <t>Orkan</t>
        </is>
      </c>
      <c r="F543" s="29" t="inlineStr">
        <is>
          <t>Vendaval</t>
        </is>
      </c>
      <c r="G543" s="29" t="inlineStr">
        <is>
          <t>Tifone</t>
        </is>
      </c>
      <c r="H543" s="29" t="inlineStr">
        <is>
          <t>폭풍</t>
        </is>
      </c>
      <c r="I543" s="29" t="inlineStr">
        <is>
          <t>暴風</t>
        </is>
      </c>
      <c r="J543" s="29">
        <f>IFERROR(__xludf.DUMMYFUNCTION("GOOGLETRANSLATE(I543,""zh_HANT"",""zh_HANS"")"),"暴风")</f>
        <v/>
      </c>
      <c r="K543" s="29">
        <f>F543</f>
        <v/>
      </c>
    </row>
    <row r="544">
      <c r="A544" s="29">
        <f>CONCATENATE("NAME_MOVE_", SUBSTITUTE(SUBSTITUTE(UPPER(B544), " ", ""), "-", ""))</f>
        <v/>
      </c>
      <c r="B544" s="29" t="inlineStr">
        <is>
          <t>Head Charge</t>
        </is>
      </c>
      <c r="C544" s="29" t="inlineStr">
        <is>
          <t>アフロブレイク</t>
        </is>
      </c>
      <c r="D544" s="29" t="inlineStr">
        <is>
          <t>Peignée</t>
        </is>
      </c>
      <c r="E544" s="29" t="inlineStr">
        <is>
          <t>Steinschädel</t>
        </is>
      </c>
      <c r="F544" s="29" t="inlineStr">
        <is>
          <t>Ariete</t>
        </is>
      </c>
      <c r="G544" s="29" t="inlineStr">
        <is>
          <t>Ricciolata</t>
        </is>
      </c>
      <c r="H544" s="29" t="inlineStr">
        <is>
          <t>아프로브레이크</t>
        </is>
      </c>
      <c r="I544" s="29" t="inlineStr">
        <is>
          <t>爆炸頭突擊</t>
        </is>
      </c>
      <c r="J544" s="29">
        <f>IFERROR(__xludf.DUMMYFUNCTION("GOOGLETRANSLATE(I544,""zh_HANT"",""zh_HANS"")"),"爆炸头突击")</f>
        <v/>
      </c>
      <c r="K544" s="29">
        <f>F544</f>
        <v/>
      </c>
    </row>
    <row r="545">
      <c r="A545" s="29">
        <f>CONCATENATE("NAME_MOVE_", SUBSTITUTE(SUBSTITUTE(UPPER(B545), " ", ""), "-", ""))</f>
        <v/>
      </c>
      <c r="B545" s="29" t="inlineStr">
        <is>
          <t>Gear Grind</t>
        </is>
      </c>
      <c r="C545" s="29" t="inlineStr">
        <is>
          <t>ギアソーサー</t>
        </is>
      </c>
      <c r="D545" s="29" t="inlineStr">
        <is>
          <t>Lancécrou</t>
        </is>
      </c>
      <c r="E545" s="29" t="inlineStr">
        <is>
          <t>Klikkdiskus</t>
        </is>
      </c>
      <c r="F545" s="29" t="inlineStr">
        <is>
          <t>Rueda Doble</t>
        </is>
      </c>
      <c r="G545" s="29" t="inlineStr">
        <is>
          <t>Ingracolpo</t>
        </is>
      </c>
      <c r="H545" s="29" t="inlineStr">
        <is>
          <t>기어소서</t>
        </is>
      </c>
      <c r="I545" s="29" t="inlineStr">
        <is>
          <t>齒輪飛盤</t>
        </is>
      </c>
      <c r="J545" s="29">
        <f>IFERROR(__xludf.DUMMYFUNCTION("GOOGLETRANSLATE(I545,""zh_HANT"",""zh_HANS"")"),"齿轮飞盘")</f>
        <v/>
      </c>
      <c r="K545" s="29">
        <f>F545</f>
        <v/>
      </c>
    </row>
    <row r="546">
      <c r="A546" s="29">
        <f>CONCATENATE("NAME_MOVE_", SUBSTITUTE(SUBSTITUTE(UPPER(B546), " ", ""), "-", ""))</f>
        <v/>
      </c>
      <c r="B546" s="29" t="inlineStr">
        <is>
          <t>Searing Shot</t>
        </is>
      </c>
      <c r="C546" s="29" t="inlineStr">
        <is>
          <t>かえんだん</t>
        </is>
      </c>
      <c r="D546" s="29" t="inlineStr">
        <is>
          <t>Incendie</t>
        </is>
      </c>
      <c r="E546" s="29" t="inlineStr">
        <is>
          <t>Flammenball</t>
        </is>
      </c>
      <c r="F546" s="29" t="inlineStr">
        <is>
          <t>Bomba Ígnea</t>
        </is>
      </c>
      <c r="G546" s="29" t="inlineStr">
        <is>
          <t>Sparafuoco</t>
        </is>
      </c>
      <c r="H546" s="29" t="inlineStr">
        <is>
          <t>화염탄</t>
        </is>
      </c>
      <c r="I546" s="29" t="inlineStr">
        <is>
          <t>火焰彈</t>
        </is>
      </c>
      <c r="J546" s="29">
        <f>IFERROR(__xludf.DUMMYFUNCTION("GOOGLETRANSLATE(I546,""zh_HANT"",""zh_HANS"")"),"火焰弹")</f>
        <v/>
      </c>
      <c r="K546" s="29">
        <f>F546</f>
        <v/>
      </c>
    </row>
    <row r="547">
      <c r="A547" s="29">
        <f>CONCATENATE("NAME_MOVE_", SUBSTITUTE(SUBSTITUTE(UPPER(B547), " ", ""), "-", ""))</f>
        <v/>
      </c>
      <c r="B547" s="29" t="inlineStr">
        <is>
          <t>Techno Blast</t>
        </is>
      </c>
      <c r="C547" s="29" t="inlineStr">
        <is>
          <t>テクノバスター</t>
        </is>
      </c>
      <c r="D547" s="29" t="inlineStr">
        <is>
          <t>Techno-Buster</t>
        </is>
      </c>
      <c r="E547" s="29" t="inlineStr">
        <is>
          <t>Techblaster</t>
        </is>
      </c>
      <c r="F547" s="29" t="inlineStr">
        <is>
          <t>Tecno Shock</t>
        </is>
      </c>
      <c r="G547" s="29" t="inlineStr">
        <is>
          <t>Tecnobotto</t>
        </is>
      </c>
      <c r="H547" s="29" t="inlineStr">
        <is>
          <t>테크노버스터</t>
        </is>
      </c>
      <c r="I547" s="29" t="inlineStr">
        <is>
          <t>高科技光炮</t>
        </is>
      </c>
      <c r="J547" s="29">
        <f>I547</f>
        <v/>
      </c>
      <c r="K547" s="29">
        <f>F547</f>
        <v/>
      </c>
    </row>
    <row r="548">
      <c r="A548" s="29">
        <f>CONCATENATE("NAME_MOVE_", SUBSTITUTE(SUBSTITUTE(UPPER(B548), " ", ""), "-", ""))</f>
        <v/>
      </c>
      <c r="B548" s="29" t="inlineStr">
        <is>
          <t>Relic Song</t>
        </is>
      </c>
      <c r="C548" s="29" t="inlineStr">
        <is>
          <t>いにしえのうた</t>
        </is>
      </c>
      <c r="D548" s="29" t="inlineStr">
        <is>
          <t>Chant Antique</t>
        </is>
      </c>
      <c r="E548" s="29" t="inlineStr">
        <is>
          <t>Urgesang</t>
        </is>
      </c>
      <c r="F548" s="29" t="inlineStr">
        <is>
          <t>Canto Arcaico</t>
        </is>
      </c>
      <c r="G548" s="29" t="inlineStr">
        <is>
          <t>Cantoantico</t>
        </is>
      </c>
      <c r="H548" s="29" t="inlineStr">
        <is>
          <t>옛노래</t>
        </is>
      </c>
      <c r="I548" s="29" t="inlineStr">
        <is>
          <t>古老之歌</t>
        </is>
      </c>
      <c r="J548" s="29">
        <f>I548</f>
        <v/>
      </c>
      <c r="K548" s="29">
        <f>F548</f>
        <v/>
      </c>
    </row>
    <row r="549">
      <c r="A549" s="29">
        <f>CONCATENATE("NAME_MOVE_", SUBSTITUTE(SUBSTITUTE(UPPER(B549), " ", ""), "-", ""))</f>
        <v/>
      </c>
      <c r="B549" s="29" t="inlineStr">
        <is>
          <t>Secret Sword</t>
        </is>
      </c>
      <c r="C549" s="29" t="inlineStr">
        <is>
          <t>しんぴのつるぎ</t>
        </is>
      </c>
      <c r="D549" s="29" t="inlineStr">
        <is>
          <t>Lame Ouinte</t>
        </is>
      </c>
      <c r="E549" s="29" t="inlineStr">
        <is>
          <t>Mystoschwert</t>
        </is>
      </c>
      <c r="F549" s="29" t="inlineStr">
        <is>
          <t>Sable Místico</t>
        </is>
      </c>
      <c r="G549" s="29" t="inlineStr">
        <is>
          <t>Spadamistica</t>
        </is>
      </c>
      <c r="H549" s="29" t="inlineStr">
        <is>
          <t>신비의칼</t>
        </is>
      </c>
      <c r="I549" s="29" t="inlineStr">
        <is>
          <t>神秘之劍</t>
        </is>
      </c>
      <c r="J549" s="29">
        <f>IFERROR(__xludf.DUMMYFUNCTION("GOOGLETRANSLATE(I549,""zh_HANT"",""zh_HANS"")"),"神秘之剑")</f>
        <v/>
      </c>
      <c r="K549" s="29">
        <f>F549</f>
        <v/>
      </c>
    </row>
    <row r="550">
      <c r="A550" s="29">
        <f>CONCATENATE("NAME_MOVE_", SUBSTITUTE(SUBSTITUTE(UPPER(B550), " ", ""), "-", ""))</f>
        <v/>
      </c>
      <c r="B550" s="29" t="inlineStr">
        <is>
          <t>Glaciate</t>
        </is>
      </c>
      <c r="C550" s="29" t="inlineStr">
        <is>
          <t>こごえるせかい</t>
        </is>
      </c>
      <c r="D550" s="29" t="inlineStr">
        <is>
          <t>Ère Glaciaire</t>
        </is>
      </c>
      <c r="E550" s="29" t="inlineStr">
        <is>
          <t>Eiszeit</t>
        </is>
      </c>
      <c r="F550" s="29" t="inlineStr">
        <is>
          <t>Mundo Gélido</t>
        </is>
      </c>
      <c r="G550" s="29" t="inlineStr">
        <is>
          <t>Gelamondo</t>
        </is>
      </c>
      <c r="H550" s="29" t="inlineStr">
        <is>
          <t>얼다세계</t>
        </is>
      </c>
      <c r="I550" s="29" t="inlineStr">
        <is>
          <t>冰封世界</t>
        </is>
      </c>
      <c r="J550" s="29">
        <f>I550</f>
        <v/>
      </c>
      <c r="K550" s="29">
        <f>F550</f>
        <v/>
      </c>
    </row>
    <row r="551">
      <c r="A551" s="29">
        <f>CONCATENATE("NAME_MOVE_", SUBSTITUTE(SUBSTITUTE(UPPER(B551), " ", ""), "-", ""))</f>
        <v/>
      </c>
      <c r="B551" s="29" t="inlineStr">
        <is>
          <t>Bolt Strike</t>
        </is>
      </c>
      <c r="C551" s="29" t="inlineStr">
        <is>
          <t>らいげき</t>
        </is>
      </c>
      <c r="D551" s="29" t="inlineStr">
        <is>
          <t>Charge Foudre</t>
        </is>
      </c>
      <c r="E551" s="29" t="inlineStr">
        <is>
          <t>Blitzschlag</t>
        </is>
      </c>
      <c r="F551" s="29" t="inlineStr">
        <is>
          <t>Ataque Fulgor</t>
        </is>
      </c>
      <c r="G551" s="29" t="inlineStr">
        <is>
          <t>Lucesiluro</t>
        </is>
      </c>
      <c r="H551" s="29" t="inlineStr">
        <is>
          <t>뇌격</t>
        </is>
      </c>
      <c r="I551" s="29" t="inlineStr">
        <is>
          <t>雷擊</t>
        </is>
      </c>
      <c r="J551" s="29">
        <f>IFERROR(__xludf.DUMMYFUNCTION("GOOGLETRANSLATE(I551,""zh_HANT"",""zh_HANS"")"),"雷击")</f>
        <v/>
      </c>
      <c r="K551" s="29">
        <f>F551</f>
        <v/>
      </c>
    </row>
    <row r="552">
      <c r="A552" s="29">
        <f>CONCATENATE("NAME_MOVE_", SUBSTITUTE(SUBSTITUTE(UPPER(B552), " ", ""), "-", ""))</f>
        <v/>
      </c>
      <c r="B552" s="29" t="inlineStr">
        <is>
          <t>Blue Flare</t>
        </is>
      </c>
      <c r="C552" s="29" t="inlineStr">
        <is>
          <t>あおいほのお</t>
        </is>
      </c>
      <c r="D552" s="29" t="inlineStr">
        <is>
          <t>Flamme Bleue</t>
        </is>
      </c>
      <c r="E552" s="29" t="inlineStr">
        <is>
          <t>Blauflammen</t>
        </is>
      </c>
      <c r="F552" s="29" t="inlineStr">
        <is>
          <t>Llama Azul</t>
        </is>
      </c>
      <c r="G552" s="29" t="inlineStr">
        <is>
          <t>Fuocoblu</t>
        </is>
      </c>
      <c r="H552" s="29" t="inlineStr">
        <is>
          <t>푸른불꽃</t>
        </is>
      </c>
      <c r="I552" s="29" t="inlineStr">
        <is>
          <t>青焰</t>
        </is>
      </c>
      <c r="J552" s="29">
        <f>I552</f>
        <v/>
      </c>
      <c r="K552" s="29">
        <f>F552</f>
        <v/>
      </c>
    </row>
    <row r="553">
      <c r="A553" s="29">
        <f>CONCATENATE("NAME_MOVE_", SUBSTITUTE(SUBSTITUTE(UPPER(B553), " ", ""), "-", ""))</f>
        <v/>
      </c>
      <c r="B553" s="29" t="inlineStr">
        <is>
          <t>Fiery Dance</t>
        </is>
      </c>
      <c r="C553" s="29" t="inlineStr">
        <is>
          <t>ほのおのまい</t>
        </is>
      </c>
      <c r="D553" s="29" t="inlineStr">
        <is>
          <t>Danse du Feu</t>
        </is>
      </c>
      <c r="E553" s="29" t="inlineStr">
        <is>
          <t>Feuerreigen</t>
        </is>
      </c>
      <c r="F553" s="29" t="inlineStr">
        <is>
          <t>Danza Llama</t>
        </is>
      </c>
      <c r="G553" s="29" t="inlineStr">
        <is>
          <t>Voldifuoco</t>
        </is>
      </c>
      <c r="H553" s="29" t="inlineStr">
        <is>
          <t>불꽃춤</t>
        </is>
      </c>
      <c r="I553" s="29" t="inlineStr">
        <is>
          <t>火之舞</t>
        </is>
      </c>
      <c r="J553" s="29">
        <f>I553</f>
        <v/>
      </c>
      <c r="K553" s="29">
        <f>F553</f>
        <v/>
      </c>
    </row>
    <row r="554">
      <c r="A554" s="29">
        <f>CONCATENATE("NAME_MOVE_", SUBSTITUTE(SUBSTITUTE(UPPER(B554), " ", ""), "-", ""))</f>
        <v/>
      </c>
      <c r="B554" s="29" t="inlineStr">
        <is>
          <t>Freeze Shock</t>
        </is>
      </c>
      <c r="C554" s="29" t="inlineStr">
        <is>
          <t>フリーズボルト</t>
        </is>
      </c>
      <c r="D554" s="29" t="inlineStr">
        <is>
          <t>Éclair Gelé</t>
        </is>
      </c>
      <c r="E554" s="29" t="inlineStr">
        <is>
          <t>Frostvolt</t>
        </is>
      </c>
      <c r="F554" s="29" t="inlineStr">
        <is>
          <t>Rayo Gélido</t>
        </is>
      </c>
      <c r="G554" s="29" t="inlineStr">
        <is>
          <t>Elettrogelo</t>
        </is>
      </c>
      <c r="H554" s="29" t="inlineStr">
        <is>
          <t>프리즈볼트</t>
        </is>
      </c>
      <c r="I554" s="29" t="inlineStr">
        <is>
          <t>冰凍伏特</t>
        </is>
      </c>
      <c r="J554" s="29">
        <f>IFERROR(__xludf.DUMMYFUNCTION("GOOGLETRANSLATE(I554,""zh_HANT"",""zh_HANS"")"),"冰冻伏特")</f>
        <v/>
      </c>
      <c r="K554" s="29">
        <f>F554</f>
        <v/>
      </c>
    </row>
    <row r="555">
      <c r="A555" s="29">
        <f>CONCATENATE("NAME_MOVE_", SUBSTITUTE(SUBSTITUTE(UPPER(B555), " ", ""), "-", ""))</f>
        <v/>
      </c>
      <c r="B555" s="29" t="inlineStr">
        <is>
          <t>Ice Burn</t>
        </is>
      </c>
      <c r="C555" s="29" t="inlineStr">
        <is>
          <t>コールドフレア</t>
        </is>
      </c>
      <c r="D555" s="29" t="inlineStr">
        <is>
          <t>Feu Glacé</t>
        </is>
      </c>
      <c r="E555" s="29" t="inlineStr">
        <is>
          <t>Frosthauch</t>
        </is>
      </c>
      <c r="F555" s="29" t="inlineStr">
        <is>
          <t>Llama Gélida</t>
        </is>
      </c>
      <c r="G555" s="29" t="inlineStr">
        <is>
          <t>Vampagelida</t>
        </is>
      </c>
      <c r="H555" s="29" t="inlineStr">
        <is>
          <t>콜드플레어</t>
        </is>
      </c>
      <c r="I555" s="29" t="inlineStr">
        <is>
          <t>極寒冷焰</t>
        </is>
      </c>
      <c r="J555" s="29">
        <f>IFERROR(__xludf.DUMMYFUNCTION("GOOGLETRANSLATE(I555,""zh_HANT"",""zh_HANS"")"),"极寒冷焰")</f>
        <v/>
      </c>
      <c r="K555" s="29">
        <f>F555</f>
        <v/>
      </c>
    </row>
    <row r="556">
      <c r="A556" s="29">
        <f>CONCATENATE("NAME_MOVE_", SUBSTITUTE(SUBSTITUTE(UPPER(B556), " ", ""), "-", ""))</f>
        <v/>
      </c>
      <c r="B556" s="29" t="inlineStr">
        <is>
          <t>Snarl</t>
        </is>
      </c>
      <c r="C556" s="29" t="inlineStr">
        <is>
          <t>バークアウト</t>
        </is>
      </c>
      <c r="D556" s="29" t="inlineStr">
        <is>
          <t>Aboiement</t>
        </is>
      </c>
      <c r="E556" s="29" t="inlineStr">
        <is>
          <t>Standpauke</t>
        </is>
      </c>
      <c r="F556" s="29" t="inlineStr">
        <is>
          <t>Alarido</t>
        </is>
      </c>
      <c r="G556" s="29" t="inlineStr">
        <is>
          <t>Urlorabbia</t>
        </is>
      </c>
      <c r="H556" s="29" t="inlineStr">
        <is>
          <t>바크아웃</t>
        </is>
      </c>
      <c r="I556" s="29" t="inlineStr">
        <is>
          <t>大聲咆哮</t>
        </is>
      </c>
      <c r="J556" s="29">
        <f>IFERROR(__xludf.DUMMYFUNCTION("GOOGLETRANSLATE(I556,""zh_HANT"",""zh_HANS"")"),"大声咆哮")</f>
        <v/>
      </c>
      <c r="K556" s="29">
        <f>F556</f>
        <v/>
      </c>
    </row>
    <row r="557">
      <c r="A557" s="29">
        <f>CONCATENATE("NAME_MOVE_", SUBSTITUTE(SUBSTITUTE(UPPER(B557), " ", ""), "-", ""))</f>
        <v/>
      </c>
      <c r="B557" s="29" t="inlineStr">
        <is>
          <t>Icicle Crash</t>
        </is>
      </c>
      <c r="C557" s="29" t="inlineStr">
        <is>
          <t>つららおとし</t>
        </is>
      </c>
      <c r="D557" s="29" t="inlineStr">
        <is>
          <t>Chute Glace</t>
        </is>
      </c>
      <c r="E557" s="29" t="inlineStr">
        <is>
          <t>Eiszapfhagel</t>
        </is>
      </c>
      <c r="F557" s="29" t="inlineStr">
        <is>
          <t>Chuzos</t>
        </is>
      </c>
      <c r="G557" s="29" t="inlineStr">
        <is>
          <t>Scagliagelo</t>
        </is>
      </c>
      <c r="H557" s="29" t="inlineStr">
        <is>
          <t>고드름떨구기</t>
        </is>
      </c>
      <c r="I557" s="29" t="inlineStr">
        <is>
          <t>冰柱墜擊</t>
        </is>
      </c>
      <c r="J557" s="29">
        <f>IFERROR(__xludf.DUMMYFUNCTION("GOOGLETRANSLATE(I557,""zh_HANT"",""zh_HANS"")"),"冰柱坠击")</f>
        <v/>
      </c>
      <c r="K557" s="29">
        <f>F557</f>
        <v/>
      </c>
    </row>
    <row r="558">
      <c r="A558" s="29">
        <f>CONCATENATE("NAME_MOVE_", SUBSTITUTE(SUBSTITUTE(UPPER(B558), " ", ""), "-", ""))</f>
        <v/>
      </c>
      <c r="B558" s="29" t="inlineStr">
        <is>
          <t>V-create</t>
        </is>
      </c>
      <c r="C558" s="29" t="inlineStr">
        <is>
          <t>Ｖジェネレード</t>
        </is>
      </c>
      <c r="D558" s="29" t="inlineStr">
        <is>
          <t>Coup Victoire</t>
        </is>
      </c>
      <c r="E558" s="29" t="inlineStr">
        <is>
          <t>V-Generator</t>
        </is>
      </c>
      <c r="F558" s="29" t="inlineStr">
        <is>
          <t>V de Fuego</t>
        </is>
      </c>
      <c r="G558" s="29" t="inlineStr">
        <is>
          <t>Generatore V</t>
        </is>
      </c>
      <c r="H558" s="29" t="inlineStr">
        <is>
          <t>V제너레이트</t>
        </is>
      </c>
      <c r="I558" s="29" t="inlineStr">
        <is>
          <t>Ｖ熱焰</t>
        </is>
      </c>
      <c r="J558" s="29">
        <f>IFERROR(__xludf.DUMMYFUNCTION("GOOGLETRANSLATE(I558,""zh_HANT"",""zh_HANS"")"),"Ｖ热焰")</f>
        <v/>
      </c>
      <c r="K558" s="29">
        <f>F558</f>
        <v/>
      </c>
    </row>
    <row r="559">
      <c r="A559" s="29">
        <f>CONCATENATE("NAME_MOVE_", SUBSTITUTE(SUBSTITUTE(UPPER(B559), " ", ""), "-", ""))</f>
        <v/>
      </c>
      <c r="B559" s="29" t="inlineStr">
        <is>
          <t>Fusion Flare</t>
        </is>
      </c>
      <c r="C559" s="29" t="inlineStr">
        <is>
          <t>クロスフレイム</t>
        </is>
      </c>
      <c r="D559" s="29" t="inlineStr">
        <is>
          <t>Flamme Croix</t>
        </is>
      </c>
      <c r="E559" s="29" t="inlineStr">
        <is>
          <t>Kreuzflamme</t>
        </is>
      </c>
      <c r="F559" s="29" t="inlineStr">
        <is>
          <t>Llama Fusión</t>
        </is>
      </c>
      <c r="G559" s="29" t="inlineStr">
        <is>
          <t>Incrofiamma</t>
        </is>
      </c>
      <c r="H559" s="29" t="inlineStr">
        <is>
          <t>크로스플레임</t>
        </is>
      </c>
      <c r="I559" s="29" t="inlineStr">
        <is>
          <t>交錯火焰</t>
        </is>
      </c>
      <c r="J559" s="29">
        <f>IFERROR(__xludf.DUMMYFUNCTION("GOOGLETRANSLATE(I559,""zh_HANT"",""zh_HANS"")"),"交错火焰")</f>
        <v/>
      </c>
      <c r="K559" s="29">
        <f>F559</f>
        <v/>
      </c>
    </row>
    <row r="560">
      <c r="A560" s="29">
        <f>CONCATENATE("NAME_MOVE_", SUBSTITUTE(SUBSTITUTE(UPPER(B560), " ", ""), "-", ""))</f>
        <v/>
      </c>
      <c r="B560" s="29" t="inlineStr">
        <is>
          <t>Fusion Bolt</t>
        </is>
      </c>
      <c r="C560" s="29" t="inlineStr">
        <is>
          <t>クロスサンダー</t>
        </is>
      </c>
      <c r="D560" s="29" t="inlineStr">
        <is>
          <t>Éclair Croix</t>
        </is>
      </c>
      <c r="E560" s="29" t="inlineStr">
        <is>
          <t>Kreuzdonner</t>
        </is>
      </c>
      <c r="F560" s="29" t="inlineStr">
        <is>
          <t>Rayo Fusión</t>
        </is>
      </c>
      <c r="G560" s="29" t="inlineStr">
        <is>
          <t>Incrotuono</t>
        </is>
      </c>
      <c r="H560" s="29" t="inlineStr">
        <is>
          <t>크로스썬더</t>
        </is>
      </c>
      <c r="I560" s="29" t="inlineStr">
        <is>
          <t>交錯閃電</t>
        </is>
      </c>
      <c r="J560" s="29">
        <f>IFERROR(__xludf.DUMMYFUNCTION("GOOGLETRANSLATE(I560,""zh_HANT"",""zh_HANS"")"),"交错闪电")</f>
        <v/>
      </c>
      <c r="K560" s="29">
        <f>F560</f>
        <v/>
      </c>
    </row>
    <row r="561">
      <c r="A561" s="29">
        <f>CONCATENATE("NAME_MOVE_", SUBSTITUTE(SUBSTITUTE(UPPER(B561), " ", ""), "-", ""))</f>
        <v/>
      </c>
      <c r="B561" s="29" t="inlineStr">
        <is>
          <t>Flying Press</t>
        </is>
      </c>
      <c r="C561" s="29" t="inlineStr">
        <is>
          <t>フライングプレス</t>
        </is>
      </c>
      <c r="D561" s="29">
        <f>B561</f>
        <v/>
      </c>
      <c r="E561" s="29">
        <f>B561</f>
        <v/>
      </c>
      <c r="F561" s="29" t="inlineStr">
        <is>
          <t>Plancha Voladora</t>
        </is>
      </c>
      <c r="G561" s="29" t="inlineStr">
        <is>
          <t>Schiacciatuffo</t>
        </is>
      </c>
      <c r="H561" s="29" t="inlineStr">
        <is>
          <t>플라잉프레스</t>
        </is>
      </c>
      <c r="I561" s="29" t="inlineStr">
        <is>
          <t>飛身重壓</t>
        </is>
      </c>
      <c r="J561" s="29">
        <f>IFERROR(__xludf.DUMMYFUNCTION("GOOGLETRANSLATE(I561,""zh_HANT"",""zh_HANS"")"),"飞身重压")</f>
        <v/>
      </c>
      <c r="K561" s="29">
        <f>F561</f>
        <v/>
      </c>
    </row>
    <row r="562">
      <c r="A562" s="29">
        <f>CONCATENATE("NAME_MOVE_", SUBSTITUTE(SUBSTITUTE(UPPER(B562), " ", ""), "-", ""))</f>
        <v/>
      </c>
      <c r="B562" s="29" t="inlineStr">
        <is>
          <t>Mat Block</t>
        </is>
      </c>
      <c r="C562" s="29" t="inlineStr">
        <is>
          <t>たたみがえし</t>
        </is>
      </c>
      <c r="D562" s="29" t="inlineStr">
        <is>
          <t>Tatamigaeshi</t>
        </is>
      </c>
      <c r="E562" s="29" t="inlineStr">
        <is>
          <t>Tatami-Schild</t>
        </is>
      </c>
      <c r="F562" s="29" t="inlineStr">
        <is>
          <t>Escudo Tatami</t>
        </is>
      </c>
      <c r="G562" s="29" t="inlineStr">
        <is>
          <t>Ribaltappeto</t>
        </is>
      </c>
      <c r="H562" s="29" t="inlineStr">
        <is>
          <t>마룻바닥세워막기</t>
        </is>
      </c>
      <c r="I562" s="29" t="inlineStr">
        <is>
          <t>掀榻榻米</t>
        </is>
      </c>
      <c r="J562" s="29">
        <f>I562</f>
        <v/>
      </c>
      <c r="K562" s="29">
        <f>F562</f>
        <v/>
      </c>
    </row>
    <row r="563">
      <c r="A563" s="29">
        <f>CONCATENATE("NAME_MOVE_", SUBSTITUTE(SUBSTITUTE(UPPER(B563), " ", ""), "-", ""))</f>
        <v/>
      </c>
      <c r="B563" s="29" t="inlineStr">
        <is>
          <t>Belch</t>
        </is>
      </c>
      <c r="C563" s="29" t="inlineStr">
        <is>
          <t>ゲップ</t>
        </is>
      </c>
      <c r="D563" s="29" t="inlineStr">
        <is>
          <t>Éructation</t>
        </is>
      </c>
      <c r="E563" s="29" t="inlineStr">
        <is>
          <t>Rülpser</t>
        </is>
      </c>
      <c r="F563" s="29" t="inlineStr">
        <is>
          <t>Eructo</t>
        </is>
      </c>
      <c r="G563" s="29" t="inlineStr">
        <is>
          <t>Rutto</t>
        </is>
      </c>
      <c r="H563" s="29" t="inlineStr">
        <is>
          <t>트림</t>
        </is>
      </c>
      <c r="I563" s="29" t="inlineStr">
        <is>
          <t>打嗝</t>
        </is>
      </c>
      <c r="J563" s="29">
        <f>I563</f>
        <v/>
      </c>
      <c r="K563" s="29">
        <f>F563</f>
        <v/>
      </c>
    </row>
    <row r="564">
      <c r="A564" s="29">
        <f>CONCATENATE("NAME_MOVE_", SUBSTITUTE(SUBSTITUTE(UPPER(B564), " ", ""), "-", ""))</f>
        <v/>
      </c>
      <c r="B564" s="29" t="inlineStr">
        <is>
          <t>Rototiller</t>
        </is>
      </c>
      <c r="C564" s="29" t="inlineStr">
        <is>
          <t>たがやす</t>
        </is>
      </c>
      <c r="D564" s="29" t="inlineStr">
        <is>
          <t>Fertilisation</t>
        </is>
      </c>
      <c r="E564" s="29" t="inlineStr">
        <is>
          <t>Pflüger</t>
        </is>
      </c>
      <c r="F564" s="29" t="inlineStr">
        <is>
          <t>Fertilizante</t>
        </is>
      </c>
      <c r="G564" s="29" t="inlineStr">
        <is>
          <t>Aracampo</t>
        </is>
      </c>
      <c r="H564" s="29" t="inlineStr">
        <is>
          <t>마룻바닥세워막기</t>
        </is>
      </c>
      <c r="I564" s="29" t="inlineStr">
        <is>
          <t>掀榻榻米</t>
        </is>
      </c>
      <c r="J564" s="29">
        <f>I564</f>
        <v/>
      </c>
      <c r="K564" s="29">
        <f>F564</f>
        <v/>
      </c>
    </row>
    <row r="565">
      <c r="A565" s="29">
        <f>CONCATENATE("NAME_MOVE_", SUBSTITUTE(SUBSTITUTE(UPPER(B565), " ", ""), "-", ""))</f>
        <v/>
      </c>
      <c r="B565" s="29" t="inlineStr">
        <is>
          <t>Sticky Web</t>
        </is>
      </c>
      <c r="C565" s="29" t="inlineStr">
        <is>
          <t>ねばねばネット</t>
        </is>
      </c>
      <c r="D565" s="29" t="inlineStr">
        <is>
          <t>Toile Gluante</t>
        </is>
      </c>
      <c r="E565" s="29" t="inlineStr">
        <is>
          <t>Klebenetz</t>
        </is>
      </c>
      <c r="F565" s="29" t="inlineStr">
        <is>
          <t>Red Viscosa</t>
        </is>
      </c>
      <c r="G565" s="29" t="inlineStr">
        <is>
          <t>Rete Vischiosa</t>
        </is>
      </c>
      <c r="H565" s="29" t="inlineStr">
        <is>
          <t>끈적끈적네트</t>
        </is>
      </c>
      <c r="I565" s="29">
        <f>IFERROR(__xludf.DUMMYFUNCTION("GOOGLETRANSLATE(J565,""zh_HANS"",""zh_HANT"")"),"黏網")</f>
        <v/>
      </c>
      <c r="J565" s="29" t="inlineStr">
        <is>
          <t>黏黏网</t>
        </is>
      </c>
      <c r="K565" s="29">
        <f>F565</f>
        <v/>
      </c>
    </row>
    <row r="566">
      <c r="A566" s="29">
        <f>CONCATENATE("NAME_MOVE_", SUBSTITUTE(SUBSTITUTE(UPPER(B566), " ", ""), "-", ""))</f>
        <v/>
      </c>
      <c r="B566" s="29" t="inlineStr">
        <is>
          <t>Fell Stinger</t>
        </is>
      </c>
      <c r="C566" s="29" t="inlineStr">
        <is>
          <t>とどめばり</t>
        </is>
      </c>
      <c r="D566" s="29" t="inlineStr">
        <is>
          <t>Dard Mortel</t>
        </is>
      </c>
      <c r="E566" s="29" t="inlineStr">
        <is>
          <t>Stachelfinale</t>
        </is>
      </c>
      <c r="F566" s="29" t="inlineStr">
        <is>
          <t>Aguijón Letal</t>
        </is>
      </c>
      <c r="G566" s="29" t="inlineStr">
        <is>
          <t>Pungiglione</t>
        </is>
      </c>
      <c r="H566" s="29" t="inlineStr">
        <is>
          <t>마지막일침</t>
        </is>
      </c>
      <c r="I566" s="29">
        <f>IFERROR(__xludf.DUMMYFUNCTION("GOOGLETRANSLATE(J566,""zh_HANS"",""zh_HANT"")"),"致命針刺")</f>
        <v/>
      </c>
      <c r="J566" s="29" t="inlineStr">
        <is>
          <t>致命针刺</t>
        </is>
      </c>
      <c r="K566" s="29">
        <f>F566</f>
        <v/>
      </c>
    </row>
    <row r="567">
      <c r="A567" s="29">
        <f>CONCATENATE("NAME_MOVE_", SUBSTITUTE(SUBSTITUTE(UPPER(B567), " ", ""), "-", ""))</f>
        <v/>
      </c>
      <c r="B567" s="29" t="inlineStr">
        <is>
          <t>Phantom Force</t>
        </is>
      </c>
      <c r="C567" s="29" t="inlineStr">
        <is>
          <t>ゴーストダイブ</t>
        </is>
      </c>
      <c r="D567" s="29" t="inlineStr">
        <is>
          <t>Hantise</t>
        </is>
      </c>
      <c r="E567" s="29" t="inlineStr">
        <is>
          <t>Phantomkraft</t>
        </is>
      </c>
      <c r="F567" s="29" t="inlineStr">
        <is>
          <t>Golpe Fantasma</t>
        </is>
      </c>
      <c r="G567" s="29" t="inlineStr">
        <is>
          <t>Spettrotuffo</t>
        </is>
      </c>
      <c r="H567" s="29" t="inlineStr">
        <is>
          <t>고스트다이브</t>
        </is>
      </c>
      <c r="I567" s="29">
        <f>IFERROR(__xludf.DUMMYFUNCTION("GOOGLETRANSLATE(J567,""zh_HANS"",""zh_HANT"")"),"潛靈奇襲")</f>
        <v/>
      </c>
      <c r="J567" s="29" t="inlineStr">
        <is>
          <t>潜灵奇袭</t>
        </is>
      </c>
      <c r="K567" s="29">
        <f>F567</f>
        <v/>
      </c>
    </row>
    <row r="568">
      <c r="A568" s="29">
        <f>CONCATENATE("NAME_MOVE_", SUBSTITUTE(SUBSTITUTE(UPPER(B568), " ", ""), "-", ""))</f>
        <v/>
      </c>
      <c r="B568" s="29" t="inlineStr">
        <is>
          <t>Trick-or-Treat</t>
        </is>
      </c>
      <c r="C568" s="29" t="inlineStr">
        <is>
          <t>ハロウィン</t>
        </is>
      </c>
      <c r="D568" s="29" t="inlineStr">
        <is>
          <t>Halloween</t>
        </is>
      </c>
      <c r="E568" s="29">
        <f>D568</f>
        <v/>
      </c>
      <c r="F568" s="29">
        <f>D568</f>
        <v/>
      </c>
      <c r="G568" s="29">
        <f>D568</f>
        <v/>
      </c>
      <c r="H568" s="29" t="inlineStr">
        <is>
          <t>핼러윈</t>
        </is>
      </c>
      <c r="I568" s="29">
        <f>IFERROR(__xludf.DUMMYFUNCTION("GOOGLETRANSLATE(J568,""zh_HANS"",""zh_HANT"")"),"萬聖夜")</f>
        <v/>
      </c>
      <c r="J568" s="29" t="inlineStr">
        <is>
          <t>万圣夜</t>
        </is>
      </c>
      <c r="K568" s="29">
        <f>F568</f>
        <v/>
      </c>
    </row>
    <row r="569">
      <c r="A569" s="29">
        <f>CONCATENATE("NAME_MOVE_", SUBSTITUTE(SUBSTITUTE(UPPER(B569), " ", ""), "-", ""))</f>
        <v/>
      </c>
      <c r="B569" s="29" t="inlineStr">
        <is>
          <t>Noble Roar</t>
        </is>
      </c>
      <c r="C569" s="29" t="inlineStr">
        <is>
          <t>おたけび</t>
        </is>
      </c>
      <c r="D569" s="29" t="inlineStr">
        <is>
          <t>Râle Mâle</t>
        </is>
      </c>
      <c r="E569" s="29" t="inlineStr">
        <is>
          <t>Kampfgebrüll</t>
        </is>
      </c>
      <c r="F569" s="29" t="inlineStr">
        <is>
          <t>Rugido de Guerra</t>
        </is>
      </c>
      <c r="G569" s="29" t="inlineStr">
        <is>
          <t>Urlo</t>
        </is>
      </c>
      <c r="H569" s="29" t="inlineStr">
        <is>
          <t>부르짖기</t>
        </is>
      </c>
      <c r="I569" s="29">
        <f>IFERROR(__xludf.DUMMYFUNCTION("GOOGLETRANSLATE(J569,""zh_HANS"",""zh_HANT"")"),"戰吼")</f>
        <v/>
      </c>
      <c r="J569" s="29" t="inlineStr">
        <is>
          <t>战吼</t>
        </is>
      </c>
      <c r="K569" s="29">
        <f>F569</f>
        <v/>
      </c>
    </row>
    <row r="570">
      <c r="A570" s="29">
        <f>CONCATENATE("NAME_MOVE_", SUBSTITUTE(SUBSTITUTE(UPPER(B570), " ", ""), "-", ""))</f>
        <v/>
      </c>
      <c r="B570" s="29" t="inlineStr">
        <is>
          <t>Ion Deluge</t>
        </is>
      </c>
      <c r="C570" s="29" t="inlineStr">
        <is>
          <t>プラズマシャワー</t>
        </is>
      </c>
      <c r="D570" s="29" t="inlineStr">
        <is>
          <t>Déluge Plasmique</t>
        </is>
      </c>
      <c r="E570" s="29" t="inlineStr">
        <is>
          <t>Plasmaschauer</t>
        </is>
      </c>
      <c r="F570" s="29" t="inlineStr">
        <is>
          <t>Cortina Plasma</t>
        </is>
      </c>
      <c r="G570" s="29" t="inlineStr">
        <is>
          <t>Pioggiaplasma</t>
        </is>
      </c>
      <c r="H570" s="29" t="inlineStr">
        <is>
          <t>플라스마샤워</t>
        </is>
      </c>
      <c r="I570" s="29">
        <f>IFERROR(__xludf.DUMMYFUNCTION("GOOGLETRANSLATE(J570,""zh_HANS"",""zh_HANT"")"),"等離子浴")</f>
        <v/>
      </c>
      <c r="J570" s="29" t="inlineStr">
        <is>
          <t>等离子浴</t>
        </is>
      </c>
      <c r="K570" s="29">
        <f>F570</f>
        <v/>
      </c>
    </row>
    <row r="571">
      <c r="A571" s="29">
        <f>CONCATENATE("NAME_MOVE_", SUBSTITUTE(SUBSTITUTE(UPPER(B571), " ", ""), "-", ""))</f>
        <v/>
      </c>
      <c r="B571" s="29" t="inlineStr">
        <is>
          <t>Parabolic Charge</t>
        </is>
      </c>
      <c r="C571" s="29" t="inlineStr">
        <is>
          <t>パラボラチャージ</t>
        </is>
      </c>
      <c r="D571" s="29" t="inlineStr">
        <is>
          <t>Parabocharge</t>
        </is>
      </c>
      <c r="E571" s="29" t="inlineStr">
        <is>
          <t>Parabolladung</t>
        </is>
      </c>
      <c r="F571" s="29" t="inlineStr">
        <is>
          <t>Carga Parábola</t>
        </is>
      </c>
      <c r="G571" s="29" t="inlineStr">
        <is>
          <t>Caricaparabola</t>
        </is>
      </c>
      <c r="H571" s="29" t="inlineStr">
        <is>
          <t>파라볼라차지</t>
        </is>
      </c>
      <c r="I571" s="29">
        <f>IFERROR(__xludf.DUMMYFUNCTION("GOOGLETRANSLATE(J571,""zh_HANS"",""zh_HANT"")"),"拋物面充電")</f>
        <v/>
      </c>
      <c r="J571" s="29" t="inlineStr">
        <is>
          <t>抛物面充电</t>
        </is>
      </c>
      <c r="K571" s="29">
        <f>F571</f>
        <v/>
      </c>
    </row>
    <row r="572">
      <c r="A572" s="29">
        <f>CONCATENATE("NAME_MOVE_", SUBSTITUTE(SUBSTITUTE(UPPER(B572), " ", ""), "-", ""))</f>
        <v/>
      </c>
      <c r="B572" s="29" t="inlineStr">
        <is>
          <t>Forest's Curse</t>
        </is>
      </c>
      <c r="C572" s="29" t="inlineStr">
        <is>
          <t>もりののろい</t>
        </is>
      </c>
      <c r="D572" s="29" t="inlineStr">
        <is>
          <t>Maléfice Sylvain</t>
        </is>
      </c>
      <c r="E572" s="29" t="inlineStr">
        <is>
          <t>Waldesfluch</t>
        </is>
      </c>
      <c r="F572" s="29" t="inlineStr">
        <is>
          <t>Condena Silvana</t>
        </is>
      </c>
      <c r="G572" s="29" t="inlineStr">
        <is>
          <t>Schiacciatuffo</t>
        </is>
      </c>
      <c r="H572" s="29" t="inlineStr">
        <is>
          <t>숲의저주</t>
        </is>
      </c>
      <c r="I572" s="29" t="inlineStr">
        <is>
          <t>森林詛咒</t>
        </is>
      </c>
      <c r="J572" s="29" t="inlineStr">
        <is>
          <t>森林咒术</t>
        </is>
      </c>
      <c r="K572" s="29">
        <f>F572</f>
        <v/>
      </c>
    </row>
    <row r="573">
      <c r="A573" s="29">
        <f>CONCATENATE("NAME_MOVE_", SUBSTITUTE(SUBSTITUTE(UPPER(B573), " ", ""), "-", ""))</f>
        <v/>
      </c>
      <c r="B573" s="29" t="inlineStr">
        <is>
          <t>Petal Blizzard</t>
        </is>
      </c>
      <c r="C573" s="29" t="inlineStr">
        <is>
          <t>はなふぶき</t>
        </is>
      </c>
      <c r="D573" s="29" t="inlineStr">
        <is>
          <t>Tempête Florale</t>
        </is>
      </c>
      <c r="E573" s="29" t="inlineStr">
        <is>
          <t>Blütenwirbel</t>
        </is>
      </c>
      <c r="F573" s="29" t="inlineStr">
        <is>
          <t>Tormenta Floral</t>
        </is>
      </c>
      <c r="G573" s="29" t="inlineStr">
        <is>
          <t>Fiortempesta</t>
        </is>
      </c>
      <c r="H573" s="29" t="inlineStr">
        <is>
          <t>꽃보라</t>
        </is>
      </c>
      <c r="I573" s="29">
        <f>IFERROR(__xludf.DUMMYFUNCTION("GOOGLETRANSLATE(J573,""zh_HANS"",""zh_HANT"")"),"落英繽紛")</f>
        <v/>
      </c>
      <c r="J573" s="29" t="inlineStr">
        <is>
          <t>落英缤纷</t>
        </is>
      </c>
      <c r="K573" s="29">
        <f>F573</f>
        <v/>
      </c>
    </row>
    <row r="574">
      <c r="A574" s="29">
        <f>CONCATENATE("NAME_MOVE_", SUBSTITUTE(SUBSTITUTE(UPPER(B574), " ", ""), "-", ""))</f>
        <v/>
      </c>
      <c r="B574" s="29" t="inlineStr">
        <is>
          <t>Freeze-Dry</t>
        </is>
      </c>
      <c r="C574" s="29" t="inlineStr">
        <is>
          <t>フリズドライ</t>
        </is>
      </c>
      <c r="D574" s="29" t="inlineStr">
        <is>
          <t>Lyophilisation</t>
        </is>
      </c>
      <c r="E574" s="29" t="inlineStr">
        <is>
          <t>Gefriertrockner</t>
        </is>
      </c>
      <c r="F574" s="29" t="inlineStr">
        <is>
          <t>Liofilización</t>
        </is>
      </c>
      <c r="G574" s="29" t="inlineStr">
        <is>
          <t>Liofilizzazione</t>
        </is>
      </c>
      <c r="H574" s="29" t="inlineStr">
        <is>
          <t>프리즈드라이</t>
        </is>
      </c>
      <c r="I574" s="29">
        <f>IFERROR(__xludf.DUMMYFUNCTION("GOOGLETRANSLATE(J574,""zh_HANS"",""zh_HANT"")"),"冷凍乾燥")</f>
        <v/>
      </c>
      <c r="J574" s="29" t="inlineStr">
        <is>
          <t>冷冻干燥</t>
        </is>
      </c>
      <c r="K574" s="29">
        <f>F574</f>
        <v/>
      </c>
    </row>
    <row r="575">
      <c r="A575" s="29">
        <f>CONCATENATE("NAME_MOVE_", SUBSTITUTE(SUBSTITUTE(UPPER(B575), " ", ""), "-", ""))</f>
        <v/>
      </c>
      <c r="B575" s="29" t="inlineStr">
        <is>
          <t>Disarming Voice</t>
        </is>
      </c>
      <c r="C575" s="29" t="inlineStr">
        <is>
          <t>チャームボイス</t>
        </is>
      </c>
      <c r="D575" s="29" t="inlineStr">
        <is>
          <t>Voix Enjôleuse</t>
        </is>
      </c>
      <c r="E575" s="29" t="inlineStr">
        <is>
          <t>Säuselstimme</t>
        </is>
      </c>
      <c r="F575" s="29" t="inlineStr">
        <is>
          <t>Voz Cautivadora</t>
        </is>
      </c>
      <c r="G575" s="29" t="inlineStr">
        <is>
          <t>Incantavoce</t>
        </is>
      </c>
      <c r="H575" s="29" t="inlineStr">
        <is>
          <t>차밍보이스</t>
        </is>
      </c>
      <c r="I575" s="29" t="inlineStr">
        <is>
          <t>魅惑之聲</t>
        </is>
      </c>
      <c r="J575" s="29">
        <f>IFERROR(__xludf.DUMMYFUNCTION("GOOGLETRANSLATE(I575,""zh_HANT"",""zh_HANS"")"),"魅惑之声")</f>
        <v/>
      </c>
      <c r="K575" s="29">
        <f>F575</f>
        <v/>
      </c>
    </row>
    <row r="576">
      <c r="A576" s="29">
        <f>CONCATENATE("NAME_MOVE_", SUBSTITUTE(SUBSTITUTE(UPPER(B576), " ", ""), "-", ""))</f>
        <v/>
      </c>
      <c r="B576" s="29" t="inlineStr">
        <is>
          <t>Parting Shot</t>
        </is>
      </c>
      <c r="C576" s="29" t="inlineStr">
        <is>
          <t>せてゼリフ</t>
        </is>
      </c>
      <c r="D576" s="29" t="inlineStr">
        <is>
          <t>Dernier Mot</t>
        </is>
      </c>
      <c r="E576" s="29" t="inlineStr">
        <is>
          <t>Abgangstirade</t>
        </is>
      </c>
      <c r="F576" s="29" t="inlineStr">
        <is>
          <t>Última Palabra</t>
        </is>
      </c>
      <c r="G576" s="29" t="inlineStr">
        <is>
          <t>Monito</t>
        </is>
      </c>
      <c r="H576" s="29" t="inlineStr">
        <is>
          <t>막말내뱉기</t>
        </is>
      </c>
      <c r="I576" s="29">
        <f>IFERROR(__xludf.DUMMYFUNCTION("GOOGLETRANSLATE(J576,""zh_HANS"",""zh_HANT"")"),"拋下狠話")</f>
        <v/>
      </c>
      <c r="J576" s="29" t="inlineStr">
        <is>
          <t>抛下狠话</t>
        </is>
      </c>
      <c r="K576" s="29">
        <f>F576</f>
        <v/>
      </c>
    </row>
    <row r="577">
      <c r="A577" s="29">
        <f>CONCATENATE("NAME_MOVE_", SUBSTITUTE(SUBSTITUTE(UPPER(B577), " ", ""), "-", ""))</f>
        <v/>
      </c>
      <c r="B577" s="29" t="inlineStr">
        <is>
          <t>Topsy-Turvy</t>
        </is>
      </c>
      <c r="C577" s="29" t="inlineStr">
        <is>
          <t>ひっくりかえす</t>
        </is>
      </c>
      <c r="D577" s="29" t="inlineStr">
        <is>
          <t>Renversement</t>
        </is>
      </c>
      <c r="E577" s="29" t="inlineStr">
        <is>
          <t>Invertigo</t>
        </is>
      </c>
      <c r="F577" s="29" t="inlineStr">
        <is>
          <t>Reversión</t>
        </is>
      </c>
      <c r="G577" s="29" t="inlineStr">
        <is>
          <t>Sottosopra</t>
        </is>
      </c>
      <c r="H577" s="29" t="inlineStr">
        <is>
          <t>뒤집어엎기</t>
        </is>
      </c>
      <c r="I577" s="29">
        <f>IFERROR(__xludf.DUMMYFUNCTION("GOOGLETRANSLATE(J577,""zh_HANS"",""zh_HANT"")"),"顛倒")</f>
        <v/>
      </c>
      <c r="J577" s="29" t="inlineStr">
        <is>
          <t>颠倒</t>
        </is>
      </c>
      <c r="K577" s="29">
        <f>F577</f>
        <v/>
      </c>
    </row>
    <row r="578">
      <c r="A578" s="29">
        <f>CONCATENATE("NAME_MOVE_", SUBSTITUTE(SUBSTITUTE(UPPER(B578), " ", ""), "-", ""))</f>
        <v/>
      </c>
      <c r="B578" s="29" t="inlineStr">
        <is>
          <t>Draining Kiss</t>
        </is>
      </c>
      <c r="C578" s="29" t="inlineStr">
        <is>
          <t>ドレインキッス</t>
        </is>
      </c>
      <c r="D578" s="29" t="inlineStr">
        <is>
          <t>Vampibaiser</t>
        </is>
      </c>
      <c r="E578" s="29" t="inlineStr">
        <is>
          <t>Diebeskuss</t>
        </is>
      </c>
      <c r="F578" s="29" t="inlineStr">
        <is>
          <t>Beso Drenaje</t>
        </is>
      </c>
      <c r="G578" s="29" t="inlineStr">
        <is>
          <t>Assorbibacio</t>
        </is>
      </c>
      <c r="H578" s="29" t="inlineStr">
        <is>
          <t>드게인키스</t>
        </is>
      </c>
      <c r="I578" s="29">
        <f>IFERROR(__xludf.DUMMYFUNCTION("GOOGLETRANSLATE(J578,""zh_HANS"",""zh_HANT"")"),"吸取之吻")</f>
        <v/>
      </c>
      <c r="J578" s="29" t="inlineStr">
        <is>
          <t>吸取之吻</t>
        </is>
      </c>
      <c r="K578" s="29">
        <f>F578</f>
        <v/>
      </c>
    </row>
    <row r="579">
      <c r="A579" s="29">
        <f>CONCATENATE("NAME_MOVE_", SUBSTITUTE(SUBSTITUTE(UPPER(B579), " ", ""), "-", ""))</f>
        <v/>
      </c>
      <c r="B579" s="29" t="inlineStr">
        <is>
          <t>Crafty Shield</t>
        </is>
      </c>
      <c r="C579" s="29" t="inlineStr">
        <is>
          <t>トリックガード</t>
        </is>
      </c>
      <c r="D579" s="29" t="inlineStr">
        <is>
          <t>Vigilance</t>
        </is>
      </c>
      <c r="E579" s="29" t="inlineStr">
        <is>
          <t>Trickschutz</t>
        </is>
      </c>
      <c r="F579" s="29" t="inlineStr">
        <is>
          <t>Truco Defensa</t>
        </is>
      </c>
      <c r="G579" s="29" t="inlineStr">
        <is>
          <t>Truccodifesa</t>
        </is>
      </c>
      <c r="H579" s="29" t="inlineStr">
        <is>
          <t>트릭가드</t>
        </is>
      </c>
      <c r="I579" s="29">
        <f>IFERROR(__xludf.DUMMYFUNCTION("GOOGLETRANSLATE(J579,""zh_HANS"",""zh_HANT"")"),"戲法防守")</f>
        <v/>
      </c>
      <c r="J579" s="29" t="inlineStr">
        <is>
          <t>戏法防守</t>
        </is>
      </c>
      <c r="K579" s="29">
        <f>F579</f>
        <v/>
      </c>
    </row>
    <row r="580">
      <c r="A580" s="29">
        <f>CONCATENATE("NAME_MOVE_", SUBSTITUTE(SUBSTITUTE(UPPER(B580), " ", ""), "-", ""))</f>
        <v/>
      </c>
      <c r="B580" s="29" t="inlineStr">
        <is>
          <t>Flower Shield</t>
        </is>
      </c>
      <c r="C580" s="29" t="inlineStr">
        <is>
          <t>フラワーガード</t>
        </is>
      </c>
      <c r="D580" s="29" t="inlineStr">
        <is>
          <t>Garde Florale</t>
        </is>
      </c>
      <c r="E580" s="29" t="inlineStr">
        <is>
          <t>Floraschutz</t>
        </is>
      </c>
      <c r="F580" s="29" t="inlineStr">
        <is>
          <t>Defensa Floral</t>
        </is>
      </c>
      <c r="G580" s="29" t="inlineStr">
        <is>
          <t>Fiordifesa</t>
        </is>
      </c>
      <c r="H580" s="29" t="inlineStr">
        <is>
          <t>플라워가드</t>
        </is>
      </c>
      <c r="I580" s="29">
        <f>IFERROR(__xludf.DUMMYFUNCTION("GOOGLETRANSLATE(J580,""zh_HANS"",""zh_HANT"")"),"花防守")</f>
        <v/>
      </c>
      <c r="J580" s="29" t="inlineStr">
        <is>
          <t>鲜花防守</t>
        </is>
      </c>
      <c r="K580" s="29">
        <f>F580</f>
        <v/>
      </c>
    </row>
    <row r="581">
      <c r="A581" s="29">
        <f>CONCATENATE("NAME_MOVE_", SUBSTITUTE(SUBSTITUTE(UPPER(B581), " ", ""), "-", ""))</f>
        <v/>
      </c>
      <c r="B581" s="29" t="inlineStr">
        <is>
          <t>Grassy Terrain</t>
        </is>
      </c>
      <c r="C581" s="29" t="inlineStr">
        <is>
          <t>グラスフィールド</t>
        </is>
      </c>
      <c r="D581" s="29" t="inlineStr">
        <is>
          <t>Champ Herbu</t>
        </is>
      </c>
      <c r="E581" s="29" t="inlineStr">
        <is>
          <t>Grasfeld</t>
        </is>
      </c>
      <c r="F581" s="29" t="inlineStr">
        <is>
          <t>Campo de hierba</t>
        </is>
      </c>
      <c r="G581" s="29" t="inlineStr">
        <is>
          <t>Campo Erboso</t>
        </is>
      </c>
      <c r="H581" s="29" t="inlineStr">
        <is>
          <t>그래스필드</t>
        </is>
      </c>
      <c r="I581" s="29" t="inlineStr">
        <is>
          <t>青草場地</t>
        </is>
      </c>
      <c r="J581" s="29">
        <f>IFERROR(__xludf.DUMMYFUNCTION("GOOGLETRANSLATE(I581,""zh_HANT"",""zh_HANS"")"),"青草场地")</f>
        <v/>
      </c>
      <c r="K581" s="29">
        <f>F581</f>
        <v/>
      </c>
    </row>
    <row r="582">
      <c r="A582" s="29">
        <f>CONCATENATE("NAME_MOVE_", SUBSTITUTE(SUBSTITUTE(UPPER(B582), " ", ""), "-", ""))</f>
        <v/>
      </c>
      <c r="B582" s="29" t="inlineStr">
        <is>
          <t>Misty Terrain</t>
        </is>
      </c>
      <c r="C582" s="29" t="inlineStr">
        <is>
          <t>ミストフィールド</t>
        </is>
      </c>
      <c r="D582" s="29" t="inlineStr">
        <is>
          <t>Champ Brumeux</t>
        </is>
      </c>
      <c r="E582" s="29" t="inlineStr">
        <is>
          <t>Nebelfeld</t>
        </is>
      </c>
      <c r="F582" s="29" t="inlineStr">
        <is>
          <t>Campo de niebla</t>
        </is>
      </c>
      <c r="G582" s="29" t="inlineStr">
        <is>
          <t>Campo Nebbioso</t>
        </is>
      </c>
      <c r="H582" s="29" t="inlineStr">
        <is>
          <t>미스트필드</t>
        </is>
      </c>
      <c r="I582" s="29" t="inlineStr">
        <is>
          <t>薄霧場地</t>
        </is>
      </c>
      <c r="J582" s="29">
        <f>IFERROR(__xludf.DUMMYFUNCTION("GOOGLETRANSLATE(I582,""zh_HANT"",""zh_HANS"")"),"薄雾场地")</f>
        <v/>
      </c>
      <c r="K582" s="29">
        <f>F582</f>
        <v/>
      </c>
    </row>
    <row r="583">
      <c r="A583" s="29">
        <f>CONCATENATE("NAME_MOVE_", SUBSTITUTE(SUBSTITUTE(UPPER(B583), " ", ""), "-", ""))</f>
        <v/>
      </c>
      <c r="B583" s="29" t="inlineStr">
        <is>
          <t>Electrify</t>
        </is>
      </c>
      <c r="C583" s="29" t="inlineStr">
        <is>
          <t>そうでん</t>
        </is>
      </c>
      <c r="D583" s="29" t="inlineStr">
        <is>
          <t>Électrisation</t>
        </is>
      </c>
      <c r="E583" s="29" t="inlineStr">
        <is>
          <t>Elektrifizierung</t>
        </is>
      </c>
      <c r="F583" s="29" t="inlineStr">
        <is>
          <t>Electrificación</t>
        </is>
      </c>
      <c r="G583" s="29" t="inlineStr">
        <is>
          <t>Elettrocontagio</t>
        </is>
      </c>
      <c r="H583" s="29" t="inlineStr">
        <is>
          <t>송전</t>
        </is>
      </c>
      <c r="I583" s="29">
        <f>IFERROR(__xludf.DUMMYFUNCTION("GOOGLETRANSLATE(J583,""zh_HANS"",""zh_HANT"")"),"輸電")</f>
        <v/>
      </c>
      <c r="J583" s="29" t="inlineStr">
        <is>
          <t>输电</t>
        </is>
      </c>
      <c r="K583" s="29">
        <f>F583</f>
        <v/>
      </c>
    </row>
    <row r="584">
      <c r="A584" s="29">
        <f>CONCATENATE("NAME_MOVE_", SUBSTITUTE(SUBSTITUTE(UPPER(B584), " ", ""), "-", ""))</f>
        <v/>
      </c>
      <c r="B584" s="29" t="inlineStr">
        <is>
          <t>Play Rough</t>
        </is>
      </c>
      <c r="C584" s="29" t="inlineStr">
        <is>
          <t>じゃれつく</t>
        </is>
      </c>
      <c r="D584" s="29" t="inlineStr">
        <is>
          <t>Câlinerie</t>
        </is>
      </c>
      <c r="E584" s="29" t="inlineStr">
        <is>
          <t>Knuddler</t>
        </is>
      </c>
      <c r="F584" s="29" t="inlineStr">
        <is>
          <t>Carantoña</t>
        </is>
      </c>
      <c r="G584" s="29" t="inlineStr">
        <is>
          <t>Carineria</t>
        </is>
      </c>
      <c r="H584" s="29" t="inlineStr">
        <is>
          <t>치근거리기</t>
        </is>
      </c>
      <c r="I584" s="29">
        <f>IFERROR(__xludf.DUMMYFUNCTION("GOOGLETRANSLATE(J584,""zh_HANS"",""zh_HANT"")"),"嬉鬧")</f>
        <v/>
      </c>
      <c r="J584" s="29" t="inlineStr">
        <is>
          <t>嬉闹</t>
        </is>
      </c>
      <c r="K584" s="29">
        <f>F584</f>
        <v/>
      </c>
    </row>
    <row r="585">
      <c r="A585" s="29">
        <f>CONCATENATE("NAME_MOVE_", SUBSTITUTE(SUBSTITUTE(UPPER(B585), " ", ""), "-", ""))</f>
        <v/>
      </c>
      <c r="B585" s="29" t="inlineStr">
        <is>
          <t>Fairy Wind</t>
        </is>
      </c>
      <c r="C585" s="29" t="inlineStr">
        <is>
          <t>ようせいのかぜ</t>
        </is>
      </c>
      <c r="D585" s="29" t="inlineStr">
        <is>
          <t>Vent Féérique</t>
        </is>
      </c>
      <c r="E585" s="29" t="inlineStr">
        <is>
          <t>Feenbrise</t>
        </is>
      </c>
      <c r="F585" s="29" t="inlineStr">
        <is>
          <t>Viento Feérico</t>
        </is>
      </c>
      <c r="G585" s="29" t="inlineStr">
        <is>
          <t>Vento di Fata</t>
        </is>
      </c>
      <c r="H585" s="29" t="inlineStr">
        <is>
          <t>요정의바람</t>
        </is>
      </c>
      <c r="I585" s="29">
        <f>IFERROR(__xludf.DUMMYFUNCTION("GOOGLETRANSLATE(J585,""zh_HANS"",""zh_HANT"")"),"妖精之風")</f>
        <v/>
      </c>
      <c r="J585" s="29" t="inlineStr">
        <is>
          <t>妖精之风</t>
        </is>
      </c>
      <c r="K585" s="29">
        <f>F585</f>
        <v/>
      </c>
    </row>
    <row r="586">
      <c r="A586" s="29">
        <f>CONCATENATE("NAME_MOVE_", SUBSTITUTE(SUBSTITUTE(UPPER(B586), " ", ""), "-", ""))</f>
        <v/>
      </c>
      <c r="B586" s="29" t="inlineStr">
        <is>
          <t>Moonblast</t>
        </is>
      </c>
      <c r="C586" s="29" t="inlineStr">
        <is>
          <t>ムーンフォース</t>
        </is>
      </c>
      <c r="D586" s="29" t="inlineStr">
        <is>
          <t>Pouvior Lunaire</t>
        </is>
      </c>
      <c r="E586" s="29" t="inlineStr">
        <is>
          <t>Mondgewalt</t>
        </is>
      </c>
      <c r="F586" s="29" t="inlineStr">
        <is>
          <t>Fuerza Lunar</t>
        </is>
      </c>
      <c r="G586" s="29" t="inlineStr">
        <is>
          <t>Forza Lunare</t>
        </is>
      </c>
      <c r="H586" s="29" t="inlineStr">
        <is>
          <t>문포스</t>
        </is>
      </c>
      <c r="I586" s="29">
        <f>IFERROR(__xludf.DUMMYFUNCTION("GOOGLETRANSLATE(J586,""zh_HANS"",""zh_HANT"")"),"月亮之力")</f>
        <v/>
      </c>
      <c r="J586" s="29" t="inlineStr">
        <is>
          <t>月亮之力</t>
        </is>
      </c>
      <c r="K586" s="29">
        <f>F586</f>
        <v/>
      </c>
    </row>
    <row r="587">
      <c r="A587" s="29">
        <f>CONCATENATE("NAME_MOVE_", SUBSTITUTE(SUBSTITUTE(UPPER(B587), " ", ""), "-", ""))</f>
        <v/>
      </c>
      <c r="B587" s="29" t="inlineStr">
        <is>
          <t>Boomburst</t>
        </is>
      </c>
      <c r="C587" s="29" t="inlineStr">
        <is>
          <t>ばくおんぱ</t>
        </is>
      </c>
      <c r="D587" s="29" t="inlineStr">
        <is>
          <t>Bang Sonique</t>
        </is>
      </c>
      <c r="E587" s="29" t="inlineStr">
        <is>
          <t>Überschallknall</t>
        </is>
      </c>
      <c r="F587" s="29" t="inlineStr">
        <is>
          <t>Estruendo</t>
        </is>
      </c>
      <c r="G587" s="29" t="inlineStr">
        <is>
          <t>Ondaboato</t>
        </is>
      </c>
      <c r="H587" s="29" t="inlineStr">
        <is>
          <t>폭음파</t>
        </is>
      </c>
      <c r="I587" s="29">
        <f>IFERROR(__xludf.DUMMYFUNCTION("GOOGLETRANSLATE(J587,""zh_HANS"",""zh_HANT"")"),"爆音波")</f>
        <v/>
      </c>
      <c r="J587" s="29" t="inlineStr">
        <is>
          <t>爆音波</t>
        </is>
      </c>
      <c r="K587" s="29">
        <f>F587</f>
        <v/>
      </c>
    </row>
    <row r="588">
      <c r="A588" s="29">
        <f>CONCATENATE("NAME_MOVE_", SUBSTITUTE(SUBSTITUTE(UPPER(B588), " ", ""), "-", ""))</f>
        <v/>
      </c>
      <c r="B588" s="29" t="inlineStr">
        <is>
          <t>Fairy Lock</t>
        </is>
      </c>
      <c r="C588" s="29" t="inlineStr">
        <is>
          <t>フェアリーロック</t>
        </is>
      </c>
      <c r="D588" s="29" t="inlineStr">
        <is>
          <t>Verrou Enchanté</t>
        </is>
      </c>
      <c r="E588" s="29" t="inlineStr">
        <is>
          <t>Feenschloss</t>
        </is>
      </c>
      <c r="F588" s="29" t="inlineStr">
        <is>
          <t>Cerrojo Feérico</t>
        </is>
      </c>
      <c r="G588" s="29" t="inlineStr">
        <is>
          <t>Blocco Fatato</t>
        </is>
      </c>
      <c r="H588" s="29" t="inlineStr">
        <is>
          <t>페어리록</t>
        </is>
      </c>
      <c r="I588" s="29">
        <f>IFERROR(__xludf.DUMMYFUNCTION("GOOGLETRANSLATE(J588,""zh_HANS"",""zh_HANT"")"),"妖精之鎖")</f>
        <v/>
      </c>
      <c r="J588" s="29" t="inlineStr">
        <is>
          <t>妖精之锁</t>
        </is>
      </c>
      <c r="K588" s="29">
        <f>F588</f>
        <v/>
      </c>
    </row>
    <row r="589">
      <c r="A589" s="29">
        <f>CONCATENATE("NAME_MOVE_", SUBSTITUTE(SUBSTITUTE(UPPER(B589), " ", ""), "-", ""))</f>
        <v/>
      </c>
      <c r="B589" s="29" t="inlineStr">
        <is>
          <t>King's Shield</t>
        </is>
      </c>
      <c r="C589" s="29" t="inlineStr">
        <is>
          <t>キングシールド</t>
        </is>
      </c>
      <c r="D589" s="29" t="inlineStr">
        <is>
          <t>Bouclier Royal</t>
        </is>
      </c>
      <c r="E589" s="29" t="inlineStr">
        <is>
          <t>Königsschild</t>
        </is>
      </c>
      <c r="F589" s="29" t="inlineStr">
        <is>
          <t>Escudo Real</t>
        </is>
      </c>
      <c r="G589" s="29" t="inlineStr">
        <is>
          <t>Scudo Reale</t>
        </is>
      </c>
      <c r="H589" s="29" t="inlineStr">
        <is>
          <t>킹실드</t>
        </is>
      </c>
      <c r="I589" s="29">
        <f>IFERROR(__xludf.DUMMYFUNCTION("GOOGLETRANSLATE(J589,""zh_HANS"",""zh_HANT"")"),"王者盾牌")</f>
        <v/>
      </c>
      <c r="J589" s="29" t="inlineStr">
        <is>
          <t>王者盾牌</t>
        </is>
      </c>
      <c r="K589" s="29">
        <f>F589</f>
        <v/>
      </c>
    </row>
    <row r="590">
      <c r="A590" s="29">
        <f>CONCATENATE("NAME_MOVE_", SUBSTITUTE(SUBSTITUTE(UPPER(B590), " ", ""), "-", ""))</f>
        <v/>
      </c>
      <c r="B590" s="29" t="inlineStr">
        <is>
          <t>Play Nice</t>
        </is>
      </c>
      <c r="C590" s="29" t="inlineStr">
        <is>
          <t>なかよくする</t>
        </is>
      </c>
      <c r="D590" s="29" t="inlineStr">
        <is>
          <t>Camaraderie</t>
        </is>
      </c>
      <c r="E590" s="29" t="inlineStr">
        <is>
          <t>Kameradschaft</t>
        </is>
      </c>
      <c r="F590" s="29" t="inlineStr">
        <is>
          <t>Camaradería</t>
        </is>
      </c>
      <c r="G590" s="29" t="inlineStr">
        <is>
          <t>Simpatia</t>
        </is>
      </c>
      <c r="H590" s="29" t="inlineStr">
        <is>
          <t>친해지기</t>
        </is>
      </c>
      <c r="I590" s="29">
        <f>IFERROR(__xludf.DUMMYFUNCTION("GOOGLETRANSLATE(J590,""zh_HANS"",""zh_HANT"")"),"和睦相處")</f>
        <v/>
      </c>
      <c r="J590" s="29" t="inlineStr">
        <is>
          <t>和睦相处</t>
        </is>
      </c>
      <c r="K590" s="29">
        <f>F590</f>
        <v/>
      </c>
    </row>
    <row r="591">
      <c r="A591" s="29">
        <f>CONCATENATE("NAME_MOVE_", SUBSTITUTE(SUBSTITUTE(UPPER(B591), " ", ""), "-", ""))</f>
        <v/>
      </c>
      <c r="B591" s="29" t="inlineStr">
        <is>
          <t>Confide</t>
        </is>
      </c>
      <c r="C591" s="29" t="inlineStr">
        <is>
          <t>ないしょばなし</t>
        </is>
      </c>
      <c r="D591" s="29" t="inlineStr">
        <is>
          <t>Confidence</t>
        </is>
      </c>
      <c r="E591" s="29" t="inlineStr">
        <is>
          <t>Vertrauenssache</t>
        </is>
      </c>
      <c r="F591" s="29" t="inlineStr">
        <is>
          <t>Confidencia</t>
        </is>
      </c>
      <c r="G591" s="29" t="inlineStr">
        <is>
          <t>Confidenza</t>
        </is>
      </c>
      <c r="H591" s="29" t="inlineStr">
        <is>
          <t>비밀이야기</t>
        </is>
      </c>
      <c r="I591" s="29">
        <f>IFERROR(__xludf.DUMMYFUNCTION("GOOGLETRANSLATE(J591,""zh_HANS"",""zh_HANT"")"),"密語")</f>
        <v/>
      </c>
      <c r="J591" s="29" t="inlineStr">
        <is>
          <t>密语</t>
        </is>
      </c>
      <c r="K591" s="29">
        <f>F591</f>
        <v/>
      </c>
    </row>
    <row r="592">
      <c r="A592" s="29">
        <f>CONCATENATE("NAME_MOVE_", SUBSTITUTE(SUBSTITUTE(UPPER(B592), " ", ""), "-", ""))</f>
        <v/>
      </c>
      <c r="B592" s="29" t="inlineStr">
        <is>
          <t>Diamond Storm</t>
        </is>
      </c>
      <c r="C592" s="29" t="inlineStr">
        <is>
          <t>ダイヤストーム</t>
        </is>
      </c>
      <c r="D592" s="29" t="inlineStr">
        <is>
          <t>Orage Adamantin</t>
        </is>
      </c>
      <c r="E592" s="29" t="inlineStr">
        <is>
          <t>Diamantsturm</t>
        </is>
      </c>
      <c r="F592" s="29" t="inlineStr">
        <is>
          <t>Torm. Diamantes</t>
        </is>
      </c>
      <c r="G592" s="29" t="inlineStr">
        <is>
          <t>Diamantempesta</t>
        </is>
      </c>
      <c r="H592" s="29" t="inlineStr">
        <is>
          <t>다이아스톰</t>
        </is>
      </c>
      <c r="I592" s="29">
        <f>IFERROR(__xludf.DUMMYFUNCTION("GOOGLETRANSLATE(J592,""zh_HANS"",""zh_HANT"")"),"鑽石風暴")</f>
        <v/>
      </c>
      <c r="J592" s="29" t="inlineStr">
        <is>
          <t>钻石风暴</t>
        </is>
      </c>
      <c r="K592" s="29">
        <f>F592</f>
        <v/>
      </c>
    </row>
    <row r="593">
      <c r="A593" s="29">
        <f>CONCATENATE("NAME_MOVE_", SUBSTITUTE(SUBSTITUTE(UPPER(B593), " ", ""), "-", ""))</f>
        <v/>
      </c>
      <c r="B593" s="29" t="inlineStr">
        <is>
          <t>Steam Eruption</t>
        </is>
      </c>
      <c r="C593" s="29" t="inlineStr">
        <is>
          <t>スチームバースト</t>
        </is>
      </c>
      <c r="D593" s="29" t="inlineStr">
        <is>
          <t>Jet de Vapeur</t>
        </is>
      </c>
      <c r="E593" s="29" t="inlineStr">
        <is>
          <t>Dampfschwall</t>
        </is>
      </c>
      <c r="F593" s="29" t="inlineStr">
        <is>
          <t>Chorro de Vapor</t>
        </is>
      </c>
      <c r="G593" s="29" t="inlineStr">
        <is>
          <t>Vaporscoppio</t>
        </is>
      </c>
      <c r="H593" s="29" t="inlineStr">
        <is>
          <t>스팀버스트</t>
        </is>
      </c>
      <c r="I593" s="29">
        <f>IFERROR(__xludf.DUMMYFUNCTION("GOOGLETRANSLATE(J593,""zh_HANS"",""zh_HANT"")"),"蒸氣爆炸")</f>
        <v/>
      </c>
      <c r="J593" s="29" t="inlineStr">
        <is>
          <t>蒸汽爆炸</t>
        </is>
      </c>
      <c r="K593" s="29">
        <f>F593</f>
        <v/>
      </c>
    </row>
    <row r="594">
      <c r="A594" s="29">
        <f>CONCATENATE("NAME_MOVE_", SUBSTITUTE(SUBSTITUTE(UPPER(B594), " ", ""), "-", ""))</f>
        <v/>
      </c>
      <c r="B594" s="29" t="inlineStr">
        <is>
          <t>Hyperspace Hole</t>
        </is>
      </c>
      <c r="C594" s="29" t="inlineStr">
        <is>
          <t>いじげんホール</t>
        </is>
      </c>
      <c r="D594" s="29" t="inlineStr">
        <is>
          <t>TrouDimensionnel</t>
        </is>
      </c>
      <c r="E594" s="29" t="inlineStr">
        <is>
          <t>Dimensionsloch</t>
        </is>
      </c>
      <c r="F594" s="29" t="inlineStr">
        <is>
          <t>Paso Dimensional</t>
        </is>
      </c>
      <c r="G594" s="29" t="inlineStr">
        <is>
          <t>Forodimensionale</t>
        </is>
      </c>
      <c r="H594" s="29" t="inlineStr">
        <is>
          <t>다른차원홀</t>
        </is>
      </c>
      <c r="I594" s="29">
        <f>IFERROR(__xludf.DUMMYFUNCTION("GOOGLETRANSLATE(J594,""zh_HANS"",""zh_HANT"")"),"異次元洞")</f>
        <v/>
      </c>
      <c r="J594" s="29" t="inlineStr">
        <is>
          <t>异次元洞</t>
        </is>
      </c>
      <c r="K594" s="29">
        <f>F594</f>
        <v/>
      </c>
    </row>
    <row r="595">
      <c r="A595" s="29">
        <f>CONCATENATE("NAME_MOVE_", SUBSTITUTE(SUBSTITUTE(UPPER(B595), " ", ""), "-", ""))</f>
        <v/>
      </c>
      <c r="B595" s="29" t="inlineStr">
        <is>
          <t>Water Shuriken</t>
        </is>
      </c>
      <c r="C595" s="29" t="inlineStr">
        <is>
          <t>みずしゅりけん</t>
        </is>
      </c>
      <c r="D595" s="29" t="inlineStr">
        <is>
          <t>Sheauriken</t>
        </is>
      </c>
      <c r="E595" s="29" t="inlineStr">
        <is>
          <t>Wasser-Shuriken</t>
        </is>
      </c>
      <c r="F595" s="29" t="inlineStr">
        <is>
          <t>Shuriken de Agua</t>
        </is>
      </c>
      <c r="G595" s="29" t="inlineStr">
        <is>
          <t>Acqualame</t>
        </is>
      </c>
      <c r="H595" s="29" t="inlineStr">
        <is>
          <t>물수리검</t>
        </is>
      </c>
      <c r="I595" s="29">
        <f>IFERROR(__xludf.DUMMYFUNCTION("GOOGLETRANSLATE(J595,""zh_HANS"",""zh_HANT"")"),"飛水手裡劍")</f>
        <v/>
      </c>
      <c r="J595" s="29" t="inlineStr">
        <is>
          <t>飞水手里剑</t>
        </is>
      </c>
      <c r="K595" s="29">
        <f>F595</f>
        <v/>
      </c>
    </row>
    <row r="596">
      <c r="A596" s="29">
        <f>CONCATENATE("NAME_MOVE_", SUBSTITUTE(SUBSTITUTE(UPPER(B596), " ", ""), "-", ""))</f>
        <v/>
      </c>
      <c r="B596" s="29" t="inlineStr">
        <is>
          <t>Mystical Fire</t>
        </is>
      </c>
      <c r="C596" s="29" t="inlineStr">
        <is>
          <t>マジカルフレイム</t>
        </is>
      </c>
      <c r="D596" s="29" t="inlineStr">
        <is>
          <t>Feu Ensorcelé</t>
        </is>
      </c>
      <c r="E596" s="29" t="inlineStr">
        <is>
          <t>Magieflamme</t>
        </is>
      </c>
      <c r="F596" s="29" t="inlineStr">
        <is>
          <t>Llama Embrujada</t>
        </is>
      </c>
      <c r="G596" s="29" t="inlineStr">
        <is>
          <t>Magifiamma</t>
        </is>
      </c>
      <c r="H596" s="29" t="inlineStr">
        <is>
          <t>매지컬플레임</t>
        </is>
      </c>
      <c r="I596" s="29">
        <f>IFERROR(__xludf.DUMMYFUNCTION("GOOGLETRANSLATE(J596,""zh_HANS"",""zh_HANT"")"),"魔法火焰")</f>
        <v/>
      </c>
      <c r="J596" s="29" t="inlineStr">
        <is>
          <t>魔法火焰</t>
        </is>
      </c>
      <c r="K596" s="29">
        <f>F596</f>
        <v/>
      </c>
    </row>
    <row r="597">
      <c r="A597" s="29">
        <f>CONCATENATE("NAME_MOVE_", SUBSTITUTE(SUBSTITUTE(UPPER(B597), " ", ""), "-", ""))</f>
        <v/>
      </c>
      <c r="B597" s="29" t="inlineStr">
        <is>
          <t>Spiky Shield</t>
        </is>
      </c>
      <c r="C597" s="29" t="inlineStr">
        <is>
          <t>ニードルガード</t>
        </is>
      </c>
      <c r="D597" s="29" t="inlineStr">
        <is>
          <t>Pico-Défense</t>
        </is>
      </c>
      <c r="E597" s="29" t="inlineStr">
        <is>
          <t>Schutzstacheln</t>
        </is>
      </c>
      <c r="F597" s="29" t="inlineStr">
        <is>
          <t>Barrera Espinosa</t>
        </is>
      </c>
      <c r="G597" s="29" t="inlineStr">
        <is>
          <t>Agodifesa</t>
        </is>
      </c>
      <c r="H597" s="29" t="inlineStr">
        <is>
          <t>니들가드</t>
        </is>
      </c>
      <c r="I597" s="29">
        <f>IFERROR(__xludf.DUMMYFUNCTION("GOOGLETRANSLATE(J597,""zh_HANS"",""zh_HANT"")"),"尖刺防守")</f>
        <v/>
      </c>
      <c r="J597" s="29" t="inlineStr">
        <is>
          <t>尖刺防守</t>
        </is>
      </c>
      <c r="K597" s="29">
        <f>F597</f>
        <v/>
      </c>
    </row>
    <row r="598">
      <c r="A598" s="29">
        <f>CONCATENATE("NAME_MOVE_", SUBSTITUTE(SUBSTITUTE(UPPER(B598), " ", ""), "-", ""))</f>
        <v/>
      </c>
      <c r="B598" s="29" t="inlineStr">
        <is>
          <t>Aromatic Mist</t>
        </is>
      </c>
      <c r="C598" s="29" t="inlineStr">
        <is>
          <t>アロマミスト</t>
        </is>
      </c>
      <c r="D598" s="29" t="inlineStr">
        <is>
          <t>Brume Capiteuse</t>
        </is>
      </c>
      <c r="E598" s="29" t="inlineStr">
        <is>
          <t>Duftwolke</t>
        </is>
      </c>
      <c r="F598" s="29" t="inlineStr">
        <is>
          <t>Niebla Aromática</t>
        </is>
      </c>
      <c r="G598" s="29" t="inlineStr">
        <is>
          <t>Nebularoma</t>
        </is>
      </c>
      <c r="H598" s="29" t="inlineStr">
        <is>
          <t>아로마미스트</t>
        </is>
      </c>
      <c r="I598" s="29">
        <f>IFERROR(__xludf.DUMMYFUNCTION("GOOGLETRANSLATE(J598,""zh_HANS"",""zh_HANT"")"),"芳香薄霧")</f>
        <v/>
      </c>
      <c r="J598" s="29" t="inlineStr">
        <is>
          <t>芳香薄雾</t>
        </is>
      </c>
      <c r="K598" s="29">
        <f>F598</f>
        <v/>
      </c>
    </row>
    <row r="599">
      <c r="A599" s="29">
        <f>CONCATENATE("NAME_MOVE_", SUBSTITUTE(SUBSTITUTE(UPPER(B599), " ", ""), "-", ""))</f>
        <v/>
      </c>
      <c r="B599" s="29" t="inlineStr">
        <is>
          <t>Eerie Impulse</t>
        </is>
      </c>
      <c r="C599" s="29" t="inlineStr">
        <is>
          <t>かいでんぱ</t>
        </is>
      </c>
      <c r="D599" s="29" t="inlineStr">
        <is>
          <t>Ondes Étranges</t>
        </is>
      </c>
      <c r="E599" s="29" t="inlineStr">
        <is>
          <t>Mystowellen</t>
        </is>
      </c>
      <c r="F599" s="29" t="inlineStr">
        <is>
          <t>Onda Anómala</t>
        </is>
      </c>
      <c r="G599" s="29" t="inlineStr">
        <is>
          <t>Elettromistero</t>
        </is>
      </c>
      <c r="H599" s="29" t="inlineStr">
        <is>
          <t>괴전파</t>
        </is>
      </c>
      <c r="I599" s="29">
        <f>IFERROR(__xludf.DUMMYFUNCTION("GOOGLETRANSLATE(J599,""zh_HANS"",""zh_HANT"")"),"怪異電波")</f>
        <v/>
      </c>
      <c r="J599" s="29" t="inlineStr">
        <is>
          <t>怪异电波</t>
        </is>
      </c>
      <c r="K599" s="29">
        <f>F599</f>
        <v/>
      </c>
    </row>
    <row r="600">
      <c r="A600" s="29">
        <f>CONCATENATE("NAME_MOVE_", SUBSTITUTE(SUBSTITUTE(UPPER(B600), " ", ""), "-", ""))</f>
        <v/>
      </c>
      <c r="B600" s="29" t="inlineStr">
        <is>
          <t>Venom Drench</t>
        </is>
      </c>
      <c r="C600" s="29" t="inlineStr">
        <is>
          <t>ベノムトラップ</t>
        </is>
      </c>
      <c r="D600" s="29" t="inlineStr">
        <is>
          <t>Piège de Venin</t>
        </is>
      </c>
      <c r="E600" s="29" t="inlineStr">
        <is>
          <t>Giftfalle</t>
        </is>
      </c>
      <c r="F600" s="29" t="inlineStr">
        <is>
          <t>Trampa Venenosa</t>
        </is>
      </c>
      <c r="G600" s="29" t="inlineStr">
        <is>
          <t>Velenotrappola</t>
        </is>
      </c>
      <c r="H600" s="4" t="inlineStr">
        <is>
          <t>베놈트랩</t>
        </is>
      </c>
      <c r="I600" s="29" t="inlineStr">
        <is>
          <t>毒液陷阱</t>
        </is>
      </c>
      <c r="J600" s="29">
        <f>I600</f>
        <v/>
      </c>
      <c r="K600" s="29">
        <f>F600</f>
        <v/>
      </c>
    </row>
    <row r="601">
      <c r="A601" s="29">
        <f>CONCATENATE("NAME_MOVE_", SUBSTITUTE(SUBSTITUTE(UPPER(B601), " ", ""), "-", ""))</f>
        <v/>
      </c>
      <c r="B601" s="29" t="inlineStr">
        <is>
          <t>Powder</t>
        </is>
      </c>
      <c r="C601" s="29" t="inlineStr">
        <is>
          <t>ふんじん</t>
        </is>
      </c>
      <c r="D601" s="29" t="inlineStr">
        <is>
          <t>Nuée de Poudre</t>
        </is>
      </c>
      <c r="E601" s="29" t="inlineStr">
        <is>
          <t>Pulverschleuder</t>
        </is>
      </c>
      <c r="F601" s="29" t="inlineStr">
        <is>
          <t>Polvo Explosivo</t>
        </is>
      </c>
      <c r="G601" s="29" t="inlineStr">
        <is>
          <t>Pulviscoppio</t>
        </is>
      </c>
      <c r="H601" s="29" t="inlineStr">
        <is>
          <t>분진</t>
        </is>
      </c>
      <c r="I601" s="29" t="inlineStr">
        <is>
          <t>粉塵</t>
        </is>
      </c>
      <c r="J601" s="29">
        <f>IFERROR(__xludf.DUMMYFUNCTION("GOOGLETRANSLATE(I601,""zh_HANT"",""zh_HANS"")"),"粉尘")</f>
        <v/>
      </c>
      <c r="K601" s="29">
        <f>F601</f>
        <v/>
      </c>
    </row>
    <row r="602">
      <c r="A602" s="29">
        <f>CONCATENATE("NAME_MOVE_", SUBSTITUTE(SUBSTITUTE(UPPER(B602), " ", ""), "-", ""))</f>
        <v/>
      </c>
      <c r="B602" s="29" t="inlineStr">
        <is>
          <t>Geomancy</t>
        </is>
      </c>
      <c r="C602" s="29" t="inlineStr">
        <is>
          <t>ジオコントロール</t>
        </is>
      </c>
      <c r="D602" s="29" t="inlineStr">
        <is>
          <t>Géo-Contrôle</t>
        </is>
      </c>
      <c r="E602" s="29" t="inlineStr">
        <is>
          <t>Geokontrolle</t>
        </is>
      </c>
      <c r="F602" s="29" t="inlineStr">
        <is>
          <t>Geocontrol</t>
        </is>
      </c>
      <c r="G602" s="29">
        <f>CONCATENATE(F602,"lo")</f>
        <v/>
      </c>
      <c r="H602" s="29" t="inlineStr">
        <is>
          <t>지오컨트롤</t>
        </is>
      </c>
      <c r="I602" s="29" t="inlineStr">
        <is>
          <t>大地掌控</t>
        </is>
      </c>
      <c r="J602" s="29">
        <f>I602</f>
        <v/>
      </c>
      <c r="K602" s="29">
        <f>F602</f>
        <v/>
      </c>
    </row>
    <row r="603">
      <c r="A603" s="29">
        <f>CONCATENATE("NAME_MOVE_", SUBSTITUTE(SUBSTITUTE(UPPER(B603), " ", ""), "-", ""))</f>
        <v/>
      </c>
      <c r="B603" s="29" t="inlineStr">
        <is>
          <t>Magnetic Flux</t>
        </is>
      </c>
      <c r="C603" s="29" t="inlineStr">
        <is>
          <t>じばそうさ</t>
        </is>
      </c>
      <c r="D603" s="29" t="inlineStr">
        <is>
          <t>Magné-Contrôle</t>
        </is>
      </c>
      <c r="E603" s="29" t="inlineStr">
        <is>
          <t>Magnetregler</t>
        </is>
      </c>
      <c r="F603" s="29" t="inlineStr">
        <is>
          <t>Aura Magnética</t>
        </is>
      </c>
      <c r="G603" s="29" t="inlineStr">
        <is>
          <t>Controllo Polare</t>
        </is>
      </c>
      <c r="H603" s="29" t="inlineStr">
        <is>
          <t>자기장조작</t>
        </is>
      </c>
      <c r="I603" s="29" t="inlineStr">
        <is>
          <t>磁場操控</t>
        </is>
      </c>
      <c r="J603" s="29">
        <f>IFERROR(__xludf.DUMMYFUNCTION("GOOGLETRANSLATE(I603,""zh_HANT"",""zh_HANS"")"),"磁场操控")</f>
        <v/>
      </c>
      <c r="K603" s="29">
        <f>F603</f>
        <v/>
      </c>
    </row>
    <row r="604">
      <c r="A604" s="29">
        <f>CONCATENATE("NAME_MOVE_", SUBSTITUTE(SUBSTITUTE(UPPER(B604), " ", ""), "-", ""))</f>
        <v/>
      </c>
      <c r="B604" s="29" t="inlineStr">
        <is>
          <t>Happy Hour</t>
        </is>
      </c>
      <c r="C604" s="29" t="inlineStr">
        <is>
          <t>ハッピータイム</t>
        </is>
      </c>
      <c r="D604" s="29" t="inlineStr">
        <is>
          <t>Étrennes</t>
        </is>
      </c>
      <c r="E604" s="29" t="inlineStr">
        <is>
          <t>Goldene Zeiten</t>
        </is>
      </c>
      <c r="F604" s="29" t="inlineStr">
        <is>
          <t>Paga Extra</t>
        </is>
      </c>
      <c r="G604" s="29" t="inlineStr">
        <is>
          <t>Cuccagna</t>
        </is>
      </c>
      <c r="H604" s="29" t="inlineStr">
        <is>
          <t>해피타임</t>
        </is>
      </c>
      <c r="I604" s="29" t="inlineStr">
        <is>
          <t>歡樂時光</t>
        </is>
      </c>
      <c r="J604" s="29">
        <f>IFERROR(__xludf.DUMMYFUNCTION("GOOGLETRANSLATE(I604,""zh_HANT"",""zh_HANS"")"),"欢乐时光")</f>
        <v/>
      </c>
      <c r="K604" s="29">
        <f>F604</f>
        <v/>
      </c>
    </row>
    <row r="605">
      <c r="A605" s="29">
        <f>CONCATENATE("NAME_MOVE_", SUBSTITUTE(SUBSTITUTE(UPPER(B605), " ", ""), "-", ""))</f>
        <v/>
      </c>
      <c r="B605" s="29" t="inlineStr">
        <is>
          <t>Electric Terrain</t>
        </is>
      </c>
      <c r="C605" s="29" t="inlineStr">
        <is>
          <t>エレキフィールド</t>
        </is>
      </c>
      <c r="D605" s="29" t="inlineStr">
        <is>
          <t>Champ Électrifié</t>
        </is>
      </c>
      <c r="E605" s="29" t="inlineStr">
        <is>
          <t>Elektrofeld</t>
        </is>
      </c>
      <c r="F605" s="29" t="inlineStr">
        <is>
          <t>Campo Eléctrico</t>
        </is>
      </c>
      <c r="G605" s="29" t="inlineStr">
        <is>
          <t>Campo Elettrico</t>
        </is>
      </c>
      <c r="H605" s="29" t="inlineStr">
        <is>
          <t>일렉트릭필드</t>
        </is>
      </c>
      <c r="I605" s="29" t="inlineStr">
        <is>
          <t>電氣場地</t>
        </is>
      </c>
      <c r="J605" s="29">
        <f>IFERROR(__xludf.DUMMYFUNCTION("GOOGLETRANSLATE(I605,""zh_HANT"",""zh_HANS"")"),"电气场地")</f>
        <v/>
      </c>
      <c r="K605" s="29">
        <f>F605</f>
        <v/>
      </c>
    </row>
    <row r="606">
      <c r="A606" s="29">
        <f>CONCATENATE("NAME_MOVE_", SUBSTITUTE(SUBSTITUTE(UPPER(B606), " ", ""), "-", ""))</f>
        <v/>
      </c>
      <c r="B606" s="29" t="inlineStr">
        <is>
          <t>Dazzling Gleam</t>
        </is>
      </c>
      <c r="C606" s="29" t="inlineStr">
        <is>
          <t>マジカルシャイン</t>
        </is>
      </c>
      <c r="D606" s="29" t="inlineStr">
        <is>
          <t>Éclat Magique</t>
        </is>
      </c>
      <c r="E606" s="29" t="inlineStr">
        <is>
          <t>Zauberschein</t>
        </is>
      </c>
      <c r="F606" s="29" t="inlineStr">
        <is>
          <t>Brillo Mágico</t>
        </is>
      </c>
      <c r="G606" s="29" t="inlineStr">
        <is>
          <t>Magibrillio</t>
        </is>
      </c>
      <c r="H606" s="29" t="inlineStr">
        <is>
          <t>매지컬샤인</t>
        </is>
      </c>
      <c r="I606" s="29">
        <f>IFERROR(__xludf.DUMMYFUNCTION("GOOGLETRANSLATE(J606,""zh_HANS"",""zh_HANT"")"),"魔法閃耀")</f>
        <v/>
      </c>
      <c r="J606" s="29" t="inlineStr">
        <is>
          <t>魔法闪耀</t>
        </is>
      </c>
      <c r="K606" s="29">
        <f>F606</f>
        <v/>
      </c>
    </row>
    <row r="607">
      <c r="A607" s="29">
        <f>CONCATENATE("NAME_MOVE_", SUBSTITUTE(SUBSTITUTE(UPPER(B607), " ", ""), "-", ""))</f>
        <v/>
      </c>
      <c r="B607" s="29" t="inlineStr">
        <is>
          <t>Celebrate</t>
        </is>
      </c>
      <c r="C607" s="29" t="inlineStr">
        <is>
          <t>おいわい</t>
        </is>
      </c>
      <c r="D607" s="29" t="inlineStr">
        <is>
          <t>Célébration</t>
        </is>
      </c>
      <c r="E607" s="29" t="inlineStr">
        <is>
          <t>Ehrentag</t>
        </is>
      </c>
      <c r="F607" s="29" t="inlineStr">
        <is>
          <t>Celebración</t>
        </is>
      </c>
      <c r="G607" s="29" t="inlineStr">
        <is>
          <t>Auguri</t>
        </is>
      </c>
      <c r="H607" s="29" t="inlineStr">
        <is>
          <t>축하</t>
        </is>
      </c>
      <c r="I607" s="29">
        <f>IFERROR(__xludf.DUMMYFUNCTION("GOOGLETRANSLATE(J607,""zh_HANS"",""zh_HANT"")"),"慶祝")</f>
        <v/>
      </c>
      <c r="J607" s="29" t="inlineStr">
        <is>
          <t>庆祝</t>
        </is>
      </c>
      <c r="K607" s="29">
        <f>F607</f>
        <v/>
      </c>
    </row>
    <row r="608">
      <c r="A608" s="29">
        <f>CONCATENATE("NAME_MOVE_", SUBSTITUTE(SUBSTITUTE(UPPER(B608), " ", ""), "-", ""))</f>
        <v/>
      </c>
      <c r="B608" s="29" t="inlineStr">
        <is>
          <t>Hold Hands</t>
        </is>
      </c>
      <c r="C608" s="29" t="inlineStr">
        <is>
          <t>てをつなぐ</t>
        </is>
      </c>
      <c r="D608" s="29" t="inlineStr">
        <is>
          <t>Mains Jointes</t>
        </is>
      </c>
      <c r="E608" s="29" t="inlineStr">
        <is>
          <t>Händchenhalten</t>
        </is>
      </c>
      <c r="F608" s="29" t="inlineStr">
        <is>
          <t>Manos Juntas</t>
        </is>
      </c>
      <c r="G608" s="29" t="inlineStr">
        <is>
          <t>Mano nella Mano</t>
        </is>
      </c>
      <c r="H608" s="29" t="inlineStr">
        <is>
          <t>손에손잡기</t>
        </is>
      </c>
      <c r="I608" s="29">
        <f>IFERROR(__xludf.DUMMYFUNCTION("GOOGLETRANSLATE(J608,""zh_HANS"",""zh_HANT"")"),"牽手")</f>
        <v/>
      </c>
      <c r="J608" s="29" t="inlineStr">
        <is>
          <t>牵手</t>
        </is>
      </c>
      <c r="K608" s="29">
        <f>F608</f>
        <v/>
      </c>
    </row>
    <row r="609">
      <c r="A609" s="29">
        <f>CONCATENATE("NAME_MOVE_", SUBSTITUTE(SUBSTITUTE(UPPER(B609), " ", ""), "-", ""))</f>
        <v/>
      </c>
      <c r="B609" s="29" t="inlineStr">
        <is>
          <t>Baby-Doll Eyes</t>
        </is>
      </c>
      <c r="C609" s="29" t="inlineStr">
        <is>
          <t>つぶらなひとみ</t>
        </is>
      </c>
      <c r="D609" s="29" t="inlineStr">
        <is>
          <t>Regard Touchant</t>
        </is>
      </c>
      <c r="E609" s="29" t="inlineStr">
        <is>
          <t>Kulleraugen</t>
        </is>
      </c>
      <c r="F609" s="29" t="inlineStr">
        <is>
          <t>Ojitos Tiernos</t>
        </is>
      </c>
      <c r="G609" s="29" t="inlineStr">
        <is>
          <t>Occhioni Teneri</t>
        </is>
      </c>
      <c r="H609" s="29" t="inlineStr">
        <is>
          <t>초롱초롱눈동자</t>
        </is>
      </c>
      <c r="I609" s="29">
        <f>IFERROR(__xludf.DUMMYFUNCTION("GOOGLETRANSLATE(J609,""zh_HANS"",""zh_HANT"")"),"圓瞳")</f>
        <v/>
      </c>
      <c r="J609" s="29" t="inlineStr">
        <is>
          <t>圆瞳</t>
        </is>
      </c>
      <c r="K609" s="29">
        <f>F609</f>
        <v/>
      </c>
    </row>
    <row r="610">
      <c r="A610" s="29">
        <f>CONCATENATE("NAME_MOVE_", SUBSTITUTE(SUBSTITUTE(UPPER(B610), " ", ""), "-", ""))</f>
        <v/>
      </c>
      <c r="B610" s="29" t="inlineStr">
        <is>
          <t>Nuzzle</t>
        </is>
      </c>
      <c r="C610" s="29" t="inlineStr">
        <is>
          <t>ほっぺすりすり</t>
        </is>
      </c>
      <c r="D610" s="29" t="inlineStr">
        <is>
          <t>Frotte-Frimousse</t>
        </is>
      </c>
      <c r="E610" s="29" t="inlineStr">
        <is>
          <t>Wangenrubbler</t>
        </is>
      </c>
      <c r="F610" s="29" t="inlineStr">
        <is>
          <t>Moflete Estático</t>
        </is>
      </c>
      <c r="G610" s="29" t="inlineStr">
        <is>
          <t>Elettrococcola</t>
        </is>
      </c>
      <c r="H610" s="29" t="inlineStr">
        <is>
          <t>볼부비부비</t>
        </is>
      </c>
      <c r="I610" s="29">
        <f>IFERROR(__xludf.DUMMYFUNCTION("GOOGLETRANSLATE(J610,""zh_HANS"",""zh_HANT"")"),"蹭蹭臉頰")</f>
        <v/>
      </c>
      <c r="J610" s="29" t="inlineStr">
        <is>
          <t>蹭蹭臉頰</t>
        </is>
      </c>
      <c r="K610" s="29">
        <f>F610</f>
        <v/>
      </c>
    </row>
    <row r="611">
      <c r="A611" s="29">
        <f>CONCATENATE("NAME_MOVE_", SUBSTITUTE(SUBSTITUTE(UPPER(B611), " ", ""), "-", ""))</f>
        <v/>
      </c>
      <c r="B611" s="29" t="inlineStr">
        <is>
          <t>Hold Back</t>
        </is>
      </c>
      <c r="C611" s="29" t="inlineStr">
        <is>
          <t>てかげん</t>
        </is>
      </c>
      <c r="D611" s="29" t="inlineStr">
        <is>
          <t>Retenue</t>
        </is>
      </c>
      <c r="E611" s="29" t="inlineStr">
        <is>
          <t>Zurückhaltung</t>
        </is>
      </c>
      <c r="F611" s="29" t="inlineStr">
        <is>
          <t>Clemencia</t>
        </is>
      </c>
      <c r="G611" s="29" t="inlineStr">
        <is>
          <t>Riguardo</t>
        </is>
      </c>
      <c r="H611" s="29" t="inlineStr">
        <is>
          <t>적당히손봐주기</t>
        </is>
      </c>
      <c r="I611" s="29">
        <f>IFERROR(__xludf.DUMMYFUNCTION("GOOGLETRANSLATE(J611,""zh_HANS"",""zh_HANT"")"),"手下留情")</f>
        <v/>
      </c>
      <c r="J611" s="29" t="inlineStr">
        <is>
          <t>手下留情</t>
        </is>
      </c>
      <c r="K611" s="29">
        <f>F611</f>
        <v/>
      </c>
    </row>
    <row r="612">
      <c r="A612" s="29">
        <f>CONCATENATE("NAME_MOVE_", SUBSTITUTE(SUBSTITUTE(UPPER(B612), " ", ""), "-", ""))</f>
        <v/>
      </c>
      <c r="B612" s="29" t="inlineStr">
        <is>
          <t>Infestation</t>
        </is>
      </c>
      <c r="C612" s="29" t="inlineStr">
        <is>
          <t>まとわりつく</t>
        </is>
      </c>
      <c r="D612" s="29" t="inlineStr">
        <is>
          <t>Harcèlement</t>
        </is>
      </c>
      <c r="E612" s="29" t="inlineStr">
        <is>
          <t>Plage</t>
        </is>
      </c>
      <c r="F612" s="29" t="inlineStr">
        <is>
          <t>Acoso</t>
        </is>
      </c>
      <c r="G612" s="29" t="inlineStr">
        <is>
          <t>Assillo</t>
        </is>
      </c>
      <c r="H612" s="29" t="inlineStr">
        <is>
          <t>엉겨붙기</t>
        </is>
      </c>
      <c r="I612" s="10" t="inlineStr">
        <is>
          <t>死纏爛打</t>
        </is>
      </c>
      <c r="J612" s="29" t="inlineStr">
        <is>
          <t>纠缠不休</t>
        </is>
      </c>
      <c r="K612" s="29">
        <f>F612</f>
        <v/>
      </c>
    </row>
    <row r="613">
      <c r="A613" s="29">
        <f>CONCATENATE("NAME_MOVE_", SUBSTITUTE(SUBSTITUTE(UPPER(B613), " ", ""), "-", ""))</f>
        <v/>
      </c>
      <c r="B613" s="29" t="inlineStr">
        <is>
          <t>Power-Up Punch</t>
        </is>
      </c>
      <c r="C613" s="29" t="inlineStr">
        <is>
          <t>グログパンチ</t>
        </is>
      </c>
      <c r="D613" s="29" t="inlineStr">
        <is>
          <t>Poing Boost</t>
        </is>
      </c>
      <c r="E613" s="29" t="inlineStr">
        <is>
          <t>Steigerungshieb</t>
        </is>
      </c>
      <c r="F613" s="29" t="inlineStr">
        <is>
          <t>Puño Incremento</t>
        </is>
      </c>
      <c r="G613" s="29" t="inlineStr">
        <is>
          <t>Crescipugno</t>
        </is>
      </c>
      <c r="H613" s="29" t="inlineStr">
        <is>
          <t>그로우펀치</t>
        </is>
      </c>
      <c r="I613" s="29">
        <f>IFERROR(__xludf.DUMMYFUNCTION("GOOGLETRANSLATE(J613,""zh_HANS"",""zh_HANT"")"),"增強拳")</f>
        <v/>
      </c>
      <c r="J613" s="29" t="inlineStr">
        <is>
          <t>增强拳</t>
        </is>
      </c>
      <c r="K613" s="29">
        <f>F613</f>
        <v/>
      </c>
    </row>
    <row r="614">
      <c r="A614" s="29">
        <f>CONCATENATE("NAME_MOVE_", SUBSTITUTE(SUBSTITUTE(UPPER(B614), " ", ""), "-", ""))</f>
        <v/>
      </c>
      <c r="B614" s="29" t="inlineStr">
        <is>
          <t>Oblivion Wing</t>
        </is>
      </c>
      <c r="C614" s="29" t="inlineStr">
        <is>
          <t>デスウイング</t>
        </is>
      </c>
      <c r="D614" s="29" t="inlineStr">
        <is>
          <t>Mort'Ailes</t>
        </is>
      </c>
      <c r="E614" s="29" t="inlineStr">
        <is>
          <t>Unheilsschwingen</t>
        </is>
      </c>
      <c r="F614" s="29" t="inlineStr">
        <is>
          <t>Ala Mortífera</t>
        </is>
      </c>
      <c r="G614" s="29" t="inlineStr">
        <is>
          <t>Ali del Fato</t>
        </is>
      </c>
      <c r="H614" s="29" t="inlineStr">
        <is>
          <t>데스윙</t>
        </is>
      </c>
      <c r="I614" s="29" t="inlineStr">
        <is>
          <t>死亡之翼</t>
        </is>
      </c>
      <c r="J614" s="29" t="inlineStr">
        <is>
          <t>归天之翼</t>
        </is>
      </c>
      <c r="K614" s="29">
        <f>F614</f>
        <v/>
      </c>
    </row>
    <row r="615">
      <c r="A615" s="29">
        <f>CONCATENATE("NAME_MOVE_", SUBSTITUTE(SUBSTITUTE(UPPER(B615), " ", ""), "-", ""))</f>
        <v/>
      </c>
      <c r="B615" s="29" t="inlineStr">
        <is>
          <t>Thousand Arrows</t>
        </is>
      </c>
      <c r="C615" s="29" t="inlineStr">
        <is>
          <t>サウサンドアロー</t>
        </is>
      </c>
      <c r="D615" s="29" t="inlineStr">
        <is>
          <t>Myria-Flèches</t>
        </is>
      </c>
      <c r="E615" s="29" t="inlineStr">
        <is>
          <t>Tausend Pfeile</t>
        </is>
      </c>
      <c r="F615" s="29" t="inlineStr">
        <is>
          <t>Mil Flechas</t>
        </is>
      </c>
      <c r="G615" s="29" t="inlineStr">
        <is>
          <t>Mille Frecce</t>
        </is>
      </c>
      <c r="H615" s="29" t="inlineStr">
        <is>
          <t>사우전드애로</t>
        </is>
      </c>
      <c r="I615" s="29">
        <f>IFERROR(__xludf.DUMMYFUNCTION("GOOGLETRANSLATE(J615,""zh_HANS"",""zh_HANT"")"),"千箭齊發")</f>
        <v/>
      </c>
      <c r="J615" s="29" t="inlineStr">
        <is>
          <t>千箭齊發</t>
        </is>
      </c>
      <c r="K615" s="29">
        <f>F615</f>
        <v/>
      </c>
    </row>
    <row r="616">
      <c r="A616" s="29">
        <f>CONCATENATE("NAME_MOVE_", SUBSTITUTE(SUBSTITUTE(UPPER(B616), " ", ""), "-", ""))</f>
        <v/>
      </c>
      <c r="B616" s="29" t="inlineStr">
        <is>
          <t>Thousand Waves</t>
        </is>
      </c>
      <c r="C616" s="29" t="inlineStr">
        <is>
          <t>サウサンドウァーブ</t>
        </is>
      </c>
      <c r="D616" s="29" t="inlineStr">
        <is>
          <t>Myria-Vagues</t>
        </is>
      </c>
      <c r="E616" s="29" t="inlineStr">
        <is>
          <t>Tausend Wellen</t>
        </is>
      </c>
      <c r="F616" s="29" t="inlineStr">
        <is>
          <t>Mil Temblores</t>
        </is>
      </c>
      <c r="G616" s="29" t="inlineStr">
        <is>
          <t>Mille Onde</t>
        </is>
      </c>
      <c r="H616" s="29" t="inlineStr">
        <is>
          <t>사우전드웨이브</t>
        </is>
      </c>
      <c r="I616" s="29">
        <f>IFERROR(__xludf.DUMMYFUNCTION("GOOGLETRANSLATE(J616,""zh_HANS"",""zh_HANT"")"),"千波激盪")</f>
        <v/>
      </c>
      <c r="J616" s="29" t="inlineStr">
        <is>
          <t>千波激盪</t>
        </is>
      </c>
      <c r="K616" s="29">
        <f>F616</f>
        <v/>
      </c>
    </row>
    <row r="617">
      <c r="A617" s="29">
        <f>CONCATENATE("NAME_MOVE_", SUBSTITUTE(SUBSTITUTE(UPPER(B617), " ", ""), "-", ""))</f>
        <v/>
      </c>
      <c r="B617" s="29" t="inlineStr">
        <is>
          <t>Land's Wrath</t>
        </is>
      </c>
      <c r="C617" s="29" t="inlineStr">
        <is>
          <t>グランドフォース</t>
        </is>
      </c>
      <c r="D617" s="29" t="inlineStr">
        <is>
          <t>Force Chtonienne</t>
        </is>
      </c>
      <c r="E617" s="29" t="inlineStr">
        <is>
          <t>Bodengewalt</t>
        </is>
      </c>
      <c r="F617" s="29" t="inlineStr">
        <is>
          <t>Fuerza Telúrica</t>
        </is>
      </c>
      <c r="G617" s="29" t="inlineStr">
        <is>
          <t>Forza Tellurica</t>
        </is>
      </c>
      <c r="H617" s="29" t="inlineStr">
        <is>
          <t>그라운드포스</t>
        </is>
      </c>
      <c r="I617" s="29">
        <f>IFERROR(__xludf.DUMMYFUNCTION("GOOGLETRANSLATE(J617,""zh_HANS"",""zh_HANT"")"),"大地神力")</f>
        <v/>
      </c>
      <c r="J617" s="29" t="inlineStr">
        <is>
          <t>大地神力</t>
        </is>
      </c>
      <c r="K617" s="29">
        <f>F617</f>
        <v/>
      </c>
    </row>
    <row r="618">
      <c r="A618" s="29">
        <f>CONCATENATE("NAME_MOVE_", SUBSTITUTE(SUBSTITUTE(UPPER(B618), " ", ""), "-", ""))</f>
        <v/>
      </c>
      <c r="B618" s="29" t="inlineStr">
        <is>
          <t>Light of Ruin</t>
        </is>
      </c>
      <c r="C618" s="29" t="inlineStr">
        <is>
          <t>はめつのひかり</t>
        </is>
      </c>
      <c r="D618" s="29" t="inlineStr">
        <is>
          <t>Lumière du Néant</t>
        </is>
      </c>
      <c r="E618" s="29" t="inlineStr">
        <is>
          <t>Lux Calamitatis</t>
        </is>
      </c>
      <c r="F618" s="29" t="inlineStr">
        <is>
          <t>Luz Aniquiladora</t>
        </is>
      </c>
      <c r="G618" s="29" t="inlineStr">
        <is>
          <t>Luce Nefasta</t>
        </is>
      </c>
      <c r="H618" s="29" t="inlineStr">
        <is>
          <t>파멸의빛</t>
        </is>
      </c>
      <c r="I618" s="29">
        <f>IFERROR(__xludf.DUMMYFUNCTION("GOOGLETRANSLATE(J618,""zh_HANS"",""zh_HANT"")"),"破滅之光")</f>
        <v/>
      </c>
      <c r="J618" s="29" t="inlineStr">
        <is>
          <t>破灭之光</t>
        </is>
      </c>
      <c r="K618" s="29">
        <f>F618</f>
        <v/>
      </c>
    </row>
    <row r="619">
      <c r="A619" s="29">
        <f>CONCATENATE("NAME_MOVE_", SUBSTITUTE(SUBSTITUTE(UPPER(B619), " ", ""), "-", ""))</f>
        <v/>
      </c>
      <c r="B619" s="29" t="inlineStr">
        <is>
          <t>Origin Pulse</t>
        </is>
      </c>
      <c r="C619" s="29" t="inlineStr">
        <is>
          <t>こんげんのはどう</t>
        </is>
      </c>
      <c r="D619" s="29" t="inlineStr">
        <is>
          <t>Onde Originelle</t>
        </is>
      </c>
      <c r="E619" s="29" t="inlineStr">
        <is>
          <t>Ursprungswoge</t>
        </is>
      </c>
      <c r="F619" s="29" t="inlineStr">
        <is>
          <t>Pulso Primigenio</t>
        </is>
      </c>
      <c r="G619" s="29" t="inlineStr">
        <is>
          <t>Primopulsar</t>
        </is>
      </c>
      <c r="H619" s="29" t="inlineStr">
        <is>
          <t>근원의파동</t>
        </is>
      </c>
      <c r="I619" s="29">
        <f>IFERROR(__xludf.DUMMYFUNCTION("GOOGLETRANSLATE(J619,""zh_HANS"",""zh_HANT"")"),"根源波動")</f>
        <v/>
      </c>
      <c r="J619" s="29" t="inlineStr">
        <is>
          <t>根源波动</t>
        </is>
      </c>
      <c r="K619" s="29">
        <f>F619</f>
        <v/>
      </c>
    </row>
    <row r="620">
      <c r="A620" s="29">
        <f>CONCATENATE("NAME_MOVE_", SUBSTITUTE(SUBSTITUTE(UPPER(B620), " ", ""), "-", ""))</f>
        <v/>
      </c>
      <c r="B620" s="29" t="inlineStr">
        <is>
          <t>Precipice Blades</t>
        </is>
      </c>
      <c r="C620" s="29" t="inlineStr">
        <is>
          <t>だんがいのつるぎ</t>
        </is>
      </c>
      <c r="D620" s="29" t="inlineStr">
        <is>
          <t>Lame Pangéenne</t>
        </is>
      </c>
      <c r="E620" s="29" t="inlineStr">
        <is>
          <t>Abgrundsklinge</t>
        </is>
      </c>
      <c r="F620" s="29" t="inlineStr">
        <is>
          <t>Filo del Abismo</t>
        </is>
      </c>
      <c r="G620" s="29" t="inlineStr">
        <is>
          <t>Spade Telluriche</t>
        </is>
      </c>
      <c r="H620" s="29" t="inlineStr">
        <is>
          <t>단애의칼</t>
        </is>
      </c>
      <c r="I620" s="29">
        <f>IFERROR(__xludf.DUMMYFUNCTION("GOOGLETRANSLATE(J620,""zh_HANS"",""zh_HANT"")"),"斷崖之劍")</f>
        <v/>
      </c>
      <c r="J620" s="29" t="inlineStr">
        <is>
          <t>断崖之剑</t>
        </is>
      </c>
      <c r="K620" s="29">
        <f>F620</f>
        <v/>
      </c>
    </row>
    <row r="621">
      <c r="A621" s="29">
        <f>CONCATENATE("NAME_MOVE_", SUBSTITUTE(SUBSTITUTE(UPPER(B621), " ", ""), "-", ""))</f>
        <v/>
      </c>
      <c r="B621" s="29" t="inlineStr">
        <is>
          <t>Dragon Ascent</t>
        </is>
      </c>
      <c r="C621" s="29" t="inlineStr">
        <is>
          <t>ガリョウテンセイ</t>
        </is>
      </c>
      <c r="D621" s="29" t="inlineStr">
        <is>
          <t>Draco-Ascension</t>
        </is>
      </c>
      <c r="E621" s="29" t="inlineStr">
        <is>
          <t>Zenitstürmer</t>
        </is>
      </c>
      <c r="F621" s="29" t="inlineStr">
        <is>
          <t>Ascenso Draco</t>
        </is>
      </c>
      <c r="G621" s="29" t="inlineStr">
        <is>
          <t>Ascesa del Drago</t>
        </is>
      </c>
      <c r="H621" s="29" t="inlineStr">
        <is>
          <t>화룡점정</t>
        </is>
      </c>
      <c r="I621" s="29">
        <f>IFERROR(__xludf.DUMMYFUNCTION("GOOGLETRANSLATE(J621,""zh_HANS"",""zh_HANT"")"),"畫龍點睛")</f>
        <v/>
      </c>
      <c r="J621" s="29" t="inlineStr">
        <is>
          <t>画龙点睛</t>
        </is>
      </c>
      <c r="K621" s="29">
        <f>F621</f>
        <v/>
      </c>
    </row>
    <row r="622">
      <c r="A622" s="29">
        <f>CONCATENATE("NAME_MOVE_", SUBSTITUTE(SUBSTITUTE(UPPER(B622), " ", ""), "-", ""))</f>
        <v/>
      </c>
      <c r="B622" s="29" t="inlineStr">
        <is>
          <t>Hyperspace Fury</t>
        </is>
      </c>
      <c r="C622" s="29" t="inlineStr">
        <is>
          <t>いじげんラッシュ</t>
        </is>
      </c>
      <c r="D622" s="29" t="inlineStr">
        <is>
          <t>Furie Dimension</t>
        </is>
      </c>
      <c r="E622" s="29" t="inlineStr">
        <is>
          <t>Dimensionswahn</t>
        </is>
      </c>
      <c r="F622" s="29" t="inlineStr">
        <is>
          <t>Cerco Dimensión</t>
        </is>
      </c>
      <c r="G622" s="29" t="inlineStr">
        <is>
          <t>Urtodimensionale</t>
        </is>
      </c>
      <c r="H622" s="29" t="inlineStr">
        <is>
          <t>다른차원러시</t>
        </is>
      </c>
      <c r="I622" s="29">
        <f>IFERROR(__xludf.DUMMYFUNCTION("GOOGLETRANSLATE(J622,""zh_HANS"",""zh_HANT"")"),"異次元猛攻")</f>
        <v/>
      </c>
      <c r="J622" s="29" t="inlineStr">
        <is>
          <t>异次元猛攻</t>
        </is>
      </c>
      <c r="K622" s="29">
        <f>F622</f>
        <v/>
      </c>
    </row>
    <row r="623">
      <c r="A623" s="29">
        <f>CONCATENATE("NAME_MOVE_", SUBSTITUTE(SUBSTITUTE(UPPER(B623), " ", ""), "-", ""))</f>
        <v/>
      </c>
      <c r="B623" s="29" t="inlineStr">
        <is>
          <t>Breakneck Blitz</t>
        </is>
      </c>
      <c r="C623" s="29" t="inlineStr">
        <is>
          <t>ウルトラダッシュアタック</t>
        </is>
      </c>
      <c r="D623" s="29" t="inlineStr">
        <is>
          <t>Turbo-Charge Bulldozer</t>
        </is>
      </c>
      <c r="E623" s="29" t="inlineStr">
        <is>
          <t>Hyper-Sprintangriff</t>
        </is>
      </c>
      <c r="F623" s="29" t="inlineStr">
        <is>
          <t>Carrera Arrolladora</t>
        </is>
      </c>
      <c r="G623" s="29" t="inlineStr">
        <is>
          <t>Carica Travolgente</t>
        </is>
      </c>
      <c r="H623" s="29" t="inlineStr">
        <is>
          <t>울트라대시어택</t>
        </is>
      </c>
      <c r="I623" s="29" t="inlineStr">
        <is>
          <t>究極無敵大衝撞</t>
        </is>
      </c>
      <c r="J623" s="29">
        <f>IFERROR(__xludf.DUMMYFUNCTION("GOOGLETRANSLATE(I623,""zh_HANT"",""zh_HANS"")"),"究极无敌大冲撞")</f>
        <v/>
      </c>
      <c r="K623" s="29">
        <f>F623</f>
        <v/>
      </c>
    </row>
    <row r="624">
      <c r="A624" s="29">
        <f>CONCATENATE("NAME_MOVE_", SUBSTITUTE(SUBSTITUTE(UPPER(B624), " ", ""), "-", ""))</f>
        <v/>
      </c>
      <c r="B624" s="29" t="inlineStr">
        <is>
          <t>All-Out Pummeling</t>
        </is>
      </c>
      <c r="C624" s="29" t="inlineStr">
        <is>
          <t>全力無双激烈拳</t>
        </is>
      </c>
      <c r="D624" s="29" t="inlineStr">
        <is>
          <t>Combo Hyper-Furie</t>
        </is>
      </c>
      <c r="E624" s="29" t="inlineStr">
        <is>
          <t>Fulminante Faustschläge</t>
        </is>
      </c>
      <c r="F624" s="29" t="inlineStr">
        <is>
          <t>Ráfaga Demoledora</t>
        </is>
      </c>
      <c r="G624" s="29" t="inlineStr">
        <is>
          <t>Iperscarica Furiosa</t>
        </is>
      </c>
      <c r="H624" s="29" t="inlineStr">
        <is>
          <t>전력무쌍격렬권</t>
        </is>
      </c>
      <c r="I624" s="29" t="inlineStr">
        <is>
          <t>全力無雙激烈拳</t>
        </is>
      </c>
      <c r="J624" s="29">
        <f>IFERROR(__xludf.DUMMYFUNCTION("GOOGLETRANSLATE(I624,""zh_HANT"",""zh_HANS"")"),"全力无双激烈拳")</f>
        <v/>
      </c>
      <c r="K624" s="29">
        <f>F624</f>
        <v/>
      </c>
    </row>
    <row r="625">
      <c r="A625" s="29">
        <f>CONCATENATE("NAME_MOVE_", SUBSTITUTE(SUBSTITUTE(UPPER(B625), " ", ""), "-", ""))</f>
        <v/>
      </c>
      <c r="B625" s="29" t="inlineStr">
        <is>
          <t>Supersonic Skystrike</t>
        </is>
      </c>
      <c r="C625" s="29" t="inlineStr">
        <is>
          <t>ファイナルダイブクラッシュ</t>
        </is>
      </c>
      <c r="D625" s="29" t="inlineStr">
        <is>
          <t>Piqué Supersonique</t>
        </is>
      </c>
      <c r="E625" s="29" t="inlineStr">
        <is>
          <t>Finaler Steilflug</t>
        </is>
      </c>
      <c r="F625" s="29" t="inlineStr">
        <is>
          <t>Picado Supersónico</t>
        </is>
      </c>
      <c r="G625" s="29" t="inlineStr">
        <is>
          <t>Picchiata Devastante</t>
        </is>
      </c>
      <c r="H625" s="29" t="inlineStr">
        <is>
          <t>파이널다이브클래시</t>
        </is>
      </c>
      <c r="I625" s="29" t="inlineStr">
        <is>
          <t>極速俯衝轟烈撞</t>
        </is>
      </c>
      <c r="J625" s="29">
        <f>IFERROR(__xludf.DUMMYFUNCTION("GOOGLETRANSLATE(I625,""zh_HANT"",""zh_HANS"")"),"极速俯冲轰烈撞")</f>
        <v/>
      </c>
      <c r="K625" s="29">
        <f>F625</f>
        <v/>
      </c>
    </row>
    <row r="626">
      <c r="A626" s="29">
        <f>CONCATENATE("NAME_MOVE_", SUBSTITUTE(SUBSTITUTE(UPPER(B626), " ", ""), "-", ""))</f>
        <v/>
      </c>
      <c r="B626" s="29" t="inlineStr">
        <is>
          <t>Acid Downpour</t>
        </is>
      </c>
      <c r="C626" s="29" t="inlineStr">
        <is>
          <t>アシッドポイズンヂリート</t>
        </is>
      </c>
      <c r="D626" s="29" t="inlineStr">
        <is>
          <t>Déluge Causti-Toxique</t>
        </is>
      </c>
      <c r="E626" s="29" t="inlineStr">
        <is>
          <t>Vernichtender Säureregen</t>
        </is>
      </c>
      <c r="F626" s="29" t="inlineStr">
        <is>
          <t>Diluvio Corrosivo</t>
        </is>
      </c>
      <c r="G626" s="29" t="inlineStr">
        <is>
          <t>Acidiluvio Corrosivo</t>
        </is>
      </c>
      <c r="H626" s="29" t="inlineStr">
        <is>
          <t>애시드포이즌딜리트</t>
        </is>
      </c>
      <c r="I626" s="29" t="inlineStr">
        <is>
          <t>強酸劇毒滅絕雨</t>
        </is>
      </c>
      <c r="J626" s="29">
        <f>IFERROR(__xludf.DUMMYFUNCTION("GOOGLETRANSLATE(I626,""zh_HANT"",""zh_HANS"")"),"强酸剧毒灭绝雨")</f>
        <v/>
      </c>
      <c r="K626" s="29">
        <f>F626</f>
        <v/>
      </c>
    </row>
    <row r="627">
      <c r="A627" s="29">
        <f>CONCATENATE("NAME_MOVE_", SUBSTITUTE(SUBSTITUTE(UPPER(B627), " ", ""), "-", ""))</f>
        <v/>
      </c>
      <c r="B627" s="29" t="inlineStr">
        <is>
          <t>Tectonic Rage</t>
        </is>
      </c>
      <c r="C627" s="29" t="inlineStr">
        <is>
          <t>ライジングランドオーバー</t>
        </is>
      </c>
      <c r="D627" s="29" t="inlineStr">
        <is>
          <t>Éruption Géo-Sismique</t>
        </is>
      </c>
      <c r="E627" s="29" t="inlineStr">
        <is>
          <t>Seismische Eruption</t>
        </is>
      </c>
      <c r="F627" s="29" t="inlineStr">
        <is>
          <t>Barrena Telúrica</t>
        </is>
      </c>
      <c r="G627" s="29" t="inlineStr">
        <is>
          <t>Furore della Terra</t>
        </is>
      </c>
      <c r="H627" s="29" t="inlineStr">
        <is>
          <t>라이징랜드오버</t>
        </is>
      </c>
      <c r="I627" s="29" t="inlineStr">
        <is>
          <t>地隆嘯天大終結</t>
        </is>
      </c>
      <c r="J627" s="29">
        <f>IFERROR(__xludf.DUMMYFUNCTION("GOOGLETRANSLATE(I627,""zh_HANT"",""zh_HANS"")"),"地隆啸天大终结")</f>
        <v/>
      </c>
      <c r="K627" s="29">
        <f>F627</f>
        <v/>
      </c>
    </row>
    <row r="628">
      <c r="A628" s="29">
        <f>CONCATENATE("NAME_MOVE_", SUBSTITUTE(SUBSTITUTE(UPPER(B628), " ", ""), "-", ""))</f>
        <v/>
      </c>
      <c r="B628" s="29" t="inlineStr">
        <is>
          <t>Continental Crush</t>
        </is>
      </c>
      <c r="C628" s="29" t="inlineStr">
        <is>
          <t>ワールドエンドフォール</t>
        </is>
      </c>
      <c r="D628" s="29" t="inlineStr">
        <is>
          <t>Apocalypse Gigalithique</t>
        </is>
      </c>
      <c r="E628" s="29" t="inlineStr">
        <is>
          <t>Apokalyptische Steinpresse</t>
        </is>
      </c>
      <c r="F628" s="29" t="inlineStr">
        <is>
          <t>Aplast. Gigalítico</t>
        </is>
      </c>
      <c r="G628" s="29" t="inlineStr">
        <is>
          <t>Gigamacigno Polverizzante</t>
        </is>
      </c>
      <c r="H628" s="29" t="inlineStr">
        <is>
          <t>월즈엔드폴</t>
        </is>
      </c>
      <c r="I628" s="29" t="inlineStr">
        <is>
          <t>毀天滅地巨岩墜</t>
        </is>
      </c>
      <c r="J628" s="29">
        <f>IFERROR(__xludf.DUMMYFUNCTION("GOOGLETRANSLATE(I628,""zh_HANT"",""zh_HANS"")"),"毁天灭地巨岩坠")</f>
        <v/>
      </c>
      <c r="K628" s="29">
        <f>F628</f>
        <v/>
      </c>
    </row>
    <row r="629">
      <c r="A629" s="29">
        <f>CONCATENATE("NAME_MOVE_", SUBSTITUTE(SUBSTITUTE(UPPER(B629), " ", ""), "-", ""))</f>
        <v/>
      </c>
      <c r="B629" s="29" t="inlineStr">
        <is>
          <t>Savage Spin-Out</t>
        </is>
      </c>
      <c r="C629" s="29" t="inlineStr">
        <is>
          <t>絶対捕食回転斬</t>
        </is>
      </c>
      <c r="D629" s="29" t="inlineStr">
        <is>
          <t>Cocon Fatal</t>
        </is>
      </c>
      <c r="E629" s="29" t="inlineStr">
        <is>
          <t>Wirbelnder Insektenhieb</t>
        </is>
      </c>
      <c r="F629" s="29" t="inlineStr">
        <is>
          <t>Guadaña Sedosa</t>
        </is>
      </c>
      <c r="G629" s="29" t="inlineStr">
        <is>
          <t>Bozzolo Fatale</t>
        </is>
      </c>
      <c r="H629" s="29" t="inlineStr">
        <is>
          <t>절대포식회전참</t>
        </is>
      </c>
      <c r="I629" s="29" t="inlineStr">
        <is>
          <t>絕對捕食迴旋斬</t>
        </is>
      </c>
      <c r="J629" s="29">
        <f>IFERROR(__xludf.DUMMYFUNCTION("GOOGLETRANSLATE(I629,""zh_HANT"",""zh_HANS"")"),"绝对捕食回旋斩")</f>
        <v/>
      </c>
      <c r="K629" s="29">
        <f>F629</f>
        <v/>
      </c>
    </row>
    <row r="630">
      <c r="A630" s="29">
        <f>CONCATENATE("NAME_MOVE_", SUBSTITUTE(SUBSTITUTE(UPPER(B630), " ", ""), "-", ""))</f>
        <v/>
      </c>
      <c r="B630" s="29" t="inlineStr">
        <is>
          <t>Never-Ending Nightmare</t>
        </is>
      </c>
      <c r="C630" s="29" t="inlineStr">
        <is>
          <t>無限暗夜への誘い</t>
        </is>
      </c>
      <c r="D630" s="29" t="inlineStr">
        <is>
          <t>Appel des Ombres Éternelles</t>
        </is>
      </c>
      <c r="E630" s="29" t="inlineStr">
        <is>
          <t>Ewige Nacht</t>
        </is>
      </c>
      <c r="F630" s="29" t="inlineStr">
        <is>
          <t>Presa Espectral</t>
        </is>
      </c>
      <c r="G630" s="29" t="inlineStr">
        <is>
          <t>Abbraccio Spettrale</t>
        </is>
      </c>
      <c r="H630" s="29" t="inlineStr">
        <is>
          <t>무한암야로의유인</t>
        </is>
      </c>
      <c r="I630" s="29" t="inlineStr">
        <is>
          <t>無盡暗夜之誘惑</t>
        </is>
      </c>
      <c r="J630" s="29">
        <f>IFERROR(__xludf.DUMMYFUNCTION("GOOGLETRANSLATE(I630,""zh_HANT"",""zh_HANS"")"),"无尽暗夜之诱惑")</f>
        <v/>
      </c>
      <c r="K630" s="29">
        <f>F630</f>
        <v/>
      </c>
    </row>
    <row r="631">
      <c r="A631" s="29">
        <f>CONCATENATE("NAME_MOVE_", SUBSTITUTE(SUBSTITUTE(UPPER(B631), " ", ""), "-", ""))</f>
        <v/>
      </c>
      <c r="B631" s="29" t="inlineStr">
        <is>
          <t>Corkscrew Crash</t>
        </is>
      </c>
      <c r="C631" s="29" t="inlineStr">
        <is>
          <t>超絶螺旋連撃</t>
        </is>
      </c>
      <c r="D631" s="29" t="inlineStr">
        <is>
          <t>Vrille Maximum</t>
        </is>
      </c>
      <c r="E631" s="29" t="inlineStr">
        <is>
          <t>Turbo-Spiralkombo</t>
        </is>
      </c>
      <c r="F631" s="29" t="inlineStr">
        <is>
          <t>Hélice Trepanadora</t>
        </is>
      </c>
      <c r="G631" s="29" t="inlineStr">
        <is>
          <t>Spirale Perforante</t>
        </is>
      </c>
      <c r="H631" s="29" t="inlineStr">
        <is>
          <t>초월나선연격</t>
        </is>
      </c>
      <c r="I631" s="29" t="inlineStr">
        <is>
          <t>超絕螺旋連擊</t>
        </is>
      </c>
      <c r="J631" s="29">
        <f>IFERROR(__xludf.DUMMYFUNCTION("GOOGLETRANSLATE(I631,""zh_HANT"",""zh_HANS"")"),"超绝螺旋连击")</f>
        <v/>
      </c>
      <c r="K631" s="29">
        <f>F631</f>
        <v/>
      </c>
    </row>
    <row r="632">
      <c r="A632" s="29">
        <f>CONCATENATE("NAME_MOVE_", SUBSTITUTE(SUBSTITUTE(UPPER(B632), " ", ""), "-", ""))</f>
        <v/>
      </c>
      <c r="B632" s="29" t="inlineStr">
        <is>
          <t>Inferno Overdrive</t>
        </is>
      </c>
      <c r="C632" s="29" t="inlineStr">
        <is>
          <t>ダイナミックフルフレイム</t>
        </is>
      </c>
      <c r="D632" s="29" t="inlineStr">
        <is>
          <t>Pyro-Explosion Cataclysmique</t>
        </is>
      </c>
      <c r="E632" s="29" t="inlineStr">
        <is>
          <t>Dynamische Maxiflamme</t>
        </is>
      </c>
      <c r="F632" s="29" t="inlineStr">
        <is>
          <t>Hecatombe Pírica</t>
        </is>
      </c>
      <c r="G632" s="29" t="inlineStr">
        <is>
          <t>Fiammobomba Detonante</t>
        </is>
      </c>
      <c r="H632" s="29" t="inlineStr">
        <is>
          <t>다이내믹풀플레임</t>
        </is>
      </c>
      <c r="I632" s="29" t="inlineStr">
        <is>
          <t>超強極限爆焰彈</t>
        </is>
      </c>
      <c r="J632" s="29">
        <f>IFERROR(__xludf.DUMMYFUNCTION("GOOGLETRANSLATE(I632,""zh_HANT"",""zh_HANS"")"),"超强极限爆焰弹")</f>
        <v/>
      </c>
      <c r="K632" s="29">
        <f>F632</f>
        <v/>
      </c>
    </row>
    <row r="633">
      <c r="A633" s="29">
        <f>CONCATENATE("NAME_MOVE_", SUBSTITUTE(SUBSTITUTE(UPPER(B633), " ", ""), "-", ""))</f>
        <v/>
      </c>
      <c r="B633" s="29" t="inlineStr">
        <is>
          <t>Hydro Vortex</t>
        </is>
      </c>
      <c r="C633" s="29" t="inlineStr">
        <is>
          <t>スーパーアクアトスネード</t>
        </is>
      </c>
      <c r="D633" s="29" t="inlineStr">
        <is>
          <t>Super Tourbillon Abyssal</t>
        </is>
      </c>
      <c r="E633" s="29" t="inlineStr">
        <is>
          <t>Super-Wassertornado</t>
        </is>
      </c>
      <c r="F633" s="29" t="inlineStr">
        <is>
          <t>Hidrovórtice Abisal</t>
        </is>
      </c>
      <c r="G633" s="29" t="inlineStr">
        <is>
          <t>Idrovortice Abissale</t>
        </is>
      </c>
      <c r="H633" s="29" t="inlineStr">
        <is>
          <t>슈퍼아쿠아토네이도</t>
        </is>
      </c>
      <c r="I633" s="29" t="inlineStr">
        <is>
          <t>超級水流大漩渦</t>
        </is>
      </c>
      <c r="J633" s="29">
        <f>IFERROR(__xludf.DUMMYFUNCTION("GOOGLETRANSLATE(I633,""zh_HANT"",""zh_HANS"")"),"超级水流大漩涡")</f>
        <v/>
      </c>
      <c r="K633" s="29">
        <f>F633</f>
        <v/>
      </c>
    </row>
    <row r="634">
      <c r="A634" s="29">
        <f>CONCATENATE("NAME_MOVE_", SUBSTITUTE(SUBSTITUTE(UPPER(B634), " ", ""), "-", ""))</f>
        <v/>
      </c>
      <c r="B634" s="29" t="inlineStr">
        <is>
          <t>Bloom Doom</t>
        </is>
      </c>
      <c r="C634" s="29" t="inlineStr">
        <is>
          <t>ブルームシャインエクストラ</t>
        </is>
      </c>
      <c r="D634" s="29" t="inlineStr">
        <is>
          <t>Pétalexplosion Éblouissante</t>
        </is>
      </c>
      <c r="E634" s="29" t="inlineStr">
        <is>
          <t>Brillante Blütenpracht</t>
        </is>
      </c>
      <c r="F634" s="29" t="inlineStr">
        <is>
          <t>Megatón Floral</t>
        </is>
      </c>
      <c r="G634" s="29" t="inlineStr">
        <is>
          <t>Floriscoppio Sfolgorante</t>
        </is>
      </c>
      <c r="H634" s="29" t="inlineStr">
        <is>
          <t>블룸샤인엑스트라</t>
        </is>
      </c>
      <c r="I634" s="29" t="inlineStr">
        <is>
          <t>絢爛繽紛花怒放</t>
        </is>
      </c>
      <c r="J634" s="29">
        <f>IFERROR(__xludf.DUMMYFUNCTION("GOOGLETRANSLATE(I634,""zh_HANT"",""zh_HANS"")"),"绚烂缤纷花怒放")</f>
        <v/>
      </c>
      <c r="K634" s="29">
        <f>F634</f>
        <v/>
      </c>
    </row>
    <row r="635">
      <c r="A635" s="29">
        <f>CONCATENATE("NAME_MOVE_", SUBSTITUTE(SUBSTITUTE(UPPER(B635), " ", ""), "-", ""))</f>
        <v/>
      </c>
      <c r="B635" s="29" t="inlineStr">
        <is>
          <t>Gigavolt Havoc</t>
        </is>
      </c>
      <c r="C635" s="29" t="inlineStr">
        <is>
          <t>スパーキングギガボルト</t>
        </is>
      </c>
      <c r="D635" s="29" t="inlineStr">
        <is>
          <t>Fulguro-Lance Gigavolt</t>
        </is>
      </c>
      <c r="E635" s="29" t="inlineStr">
        <is>
          <t>Gigavolt-Funkensalve</t>
        </is>
      </c>
      <c r="F635" s="29" t="inlineStr">
        <is>
          <t>Gigavoltio Destructor</t>
        </is>
      </c>
      <c r="G635" s="29" t="inlineStr">
        <is>
          <t>Gigascarica Folgorante</t>
        </is>
      </c>
      <c r="H635" s="29" t="inlineStr">
        <is>
          <t>스파킹기가볼트</t>
        </is>
      </c>
      <c r="I635" s="29" t="inlineStr">
        <is>
          <t>終極伏特狂雷閃</t>
        </is>
      </c>
      <c r="J635" s="29">
        <f>IFERROR(__xludf.DUMMYFUNCTION("GOOGLETRANSLATE(I635,""zh_HANT"",""zh_HANS"")"),"终极伏特狂雷闪")</f>
        <v/>
      </c>
      <c r="K635" s="29">
        <f>F635</f>
        <v/>
      </c>
    </row>
    <row r="636">
      <c r="A636" s="29">
        <f>CONCATENATE("NAME_MOVE_", SUBSTITUTE(SUBSTITUTE(UPPER(B636), " ", ""), "-", ""))</f>
        <v/>
      </c>
      <c r="B636" s="29" t="inlineStr">
        <is>
          <t>Shattered Psyche</t>
        </is>
      </c>
      <c r="C636" s="29" t="inlineStr">
        <is>
          <t>マキシマムサイブレイカー</t>
        </is>
      </c>
      <c r="D636" s="29" t="inlineStr">
        <is>
          <t>Psycho-Pulvérisation EX</t>
        </is>
      </c>
      <c r="E636" s="29" t="inlineStr">
        <is>
          <t>Psycho-Schmetterschlag</t>
        </is>
      </c>
      <c r="F636" s="29" t="inlineStr">
        <is>
          <t>Disruptor Psíquico</t>
        </is>
      </c>
      <c r="G636" s="29" t="inlineStr">
        <is>
          <t>Impatto Psicocinetico</t>
        </is>
      </c>
      <c r="H636" s="29" t="inlineStr">
        <is>
          <t>맥시멈사이브레이커</t>
        </is>
      </c>
      <c r="I636" s="29" t="inlineStr">
        <is>
          <t>至高精神破壞波</t>
        </is>
      </c>
      <c r="J636" s="29">
        <f>IFERROR(__xludf.DUMMYFUNCTION("GOOGLETRANSLATE(I636,""zh_HANT"",""zh_HANS"")"),"至高精神破坏波")</f>
        <v/>
      </c>
      <c r="K636" s="29">
        <f>F636</f>
        <v/>
      </c>
    </row>
    <row r="637">
      <c r="A637" s="29">
        <f>CONCATENATE("NAME_MOVE_", SUBSTITUTE(SUBSTITUTE(UPPER(B637), " ", ""), "-", ""))</f>
        <v/>
      </c>
      <c r="B637" s="29" t="inlineStr">
        <is>
          <t>Subzero Slammer</t>
        </is>
      </c>
      <c r="C637" s="29" t="inlineStr">
        <is>
          <t>レイジングジオフリーズ</t>
        </is>
      </c>
      <c r="D637" s="29" t="inlineStr">
        <is>
          <t>Laser Cryogénique</t>
        </is>
      </c>
      <c r="E637" s="29" t="inlineStr">
        <is>
          <t>Tobender Geofrost</t>
        </is>
      </c>
      <c r="F637" s="29" t="inlineStr">
        <is>
          <t>Crioaliento Despiadado</t>
        </is>
      </c>
      <c r="G637" s="29" t="inlineStr">
        <is>
          <t>Criodistruzione Polare</t>
        </is>
      </c>
      <c r="H637" s="29" t="inlineStr">
        <is>
          <t>레이징지오프리즈</t>
        </is>
      </c>
      <c r="I637" s="29" t="inlineStr">
        <is>
          <t>激狂大地萬里冰</t>
        </is>
      </c>
      <c r="J637" s="29">
        <f>IFERROR(__xludf.DUMMYFUNCTION("GOOGLETRANSLATE(I637,""zh_HANT"",""zh_HANS"")"),"激狂大地万里冰")</f>
        <v/>
      </c>
      <c r="K637" s="29">
        <f>F637</f>
        <v/>
      </c>
    </row>
    <row r="638">
      <c r="A638" s="29">
        <f>CONCATENATE("NAME_MOVE_", SUBSTITUTE(SUBSTITUTE(UPPER(B638), " ", ""), "-", ""))</f>
        <v/>
      </c>
      <c r="B638" s="29" t="inlineStr">
        <is>
          <t>Devastating Drake</t>
        </is>
      </c>
      <c r="C638" s="29" t="inlineStr">
        <is>
          <t>アルチィメットドラゴンバーン</t>
        </is>
      </c>
      <c r="D638" s="29" t="inlineStr">
        <is>
          <t>Chaos Draconique</t>
        </is>
      </c>
      <c r="E638" s="29" t="inlineStr">
        <is>
          <t>Drastisches Drachendröhnen</t>
        </is>
      </c>
      <c r="F638" s="29" t="inlineStr">
        <is>
          <t>Dracoaliento Devastador</t>
        </is>
      </c>
      <c r="G638" s="29" t="inlineStr">
        <is>
          <t>Dragoschianto Finale</t>
        </is>
      </c>
      <c r="H638" s="29" t="inlineStr">
        <is>
          <t>얼티메이트드래곤번</t>
        </is>
      </c>
      <c r="I638" s="29" t="inlineStr">
        <is>
          <t>究極巨龍震天地</t>
        </is>
      </c>
      <c r="J638" s="29">
        <f>IFERROR(__xludf.DUMMYFUNCTION("GOOGLETRANSLATE(I638,""zh_HANT"",""zh_HANS"")"),"究极巨龙震天地")</f>
        <v/>
      </c>
      <c r="K638" s="29">
        <f>F638</f>
        <v/>
      </c>
    </row>
    <row r="639">
      <c r="A639" s="29">
        <f>CONCATENATE("NAME_MOVE_", SUBSTITUTE(SUBSTITUTE(UPPER(B639), " ", ""), "-", ""))</f>
        <v/>
      </c>
      <c r="B639" s="29" t="inlineStr">
        <is>
          <t>Black Hole Eclipse</t>
        </is>
      </c>
      <c r="C639" s="29" t="inlineStr">
        <is>
          <t>ブラックホールイクリプス</t>
        </is>
      </c>
      <c r="D639" s="29" t="inlineStr">
        <is>
          <t>Trou Noir des Ombres</t>
        </is>
      </c>
      <c r="E639" s="29" t="inlineStr">
        <is>
          <t>Trou Noir des Ombres</t>
        </is>
      </c>
      <c r="F639" s="29" t="inlineStr">
        <is>
          <t>Agujero Negro Aniquilador</t>
        </is>
      </c>
      <c r="G639" s="29" t="inlineStr">
        <is>
          <t>Buco Nero del Non Ritorno</t>
        </is>
      </c>
      <c r="H639" s="29" t="inlineStr">
        <is>
          <t>블랙홀이클립스</t>
        </is>
      </c>
      <c r="I639" s="29" t="inlineStr">
        <is>
          <t>黑洞吞噬萬物滅</t>
        </is>
      </c>
      <c r="J639" s="29">
        <f>IFERROR(__xludf.DUMMYFUNCTION("GOOGLETRANSLATE(I639,""zh_HANT"",""zh_HANS"")"),"黑洞吞噬万物灭")</f>
        <v/>
      </c>
      <c r="K639" s="29">
        <f>F639</f>
        <v/>
      </c>
    </row>
    <row r="640">
      <c r="A640" s="29">
        <f>CONCATENATE("NAME_MOVE_", SUBSTITUTE(SUBSTITUTE(UPPER(B640), " ", ""), "-", ""))</f>
        <v/>
      </c>
      <c r="B640" s="29" t="inlineStr">
        <is>
          <t>Twinkle Tackle</t>
        </is>
      </c>
      <c r="C640" s="29" t="inlineStr">
        <is>
          <t>ラブリースターインパクト</t>
        </is>
      </c>
      <c r="D640" s="29" t="inlineStr">
        <is>
          <t>Impact Choupinova</t>
        </is>
      </c>
      <c r="E640" s="29" t="inlineStr">
        <is>
          <t>Entzückender Sternenstoß</t>
        </is>
      </c>
      <c r="F640" s="29" t="inlineStr">
        <is>
          <t>Arrumaco Sideral</t>
        </is>
      </c>
      <c r="G640" s="29" t="inlineStr">
        <is>
          <t>Astroimpatto Fatato</t>
        </is>
      </c>
      <c r="H640" s="29" t="inlineStr">
        <is>
          <t>러블리스타임팩트</t>
        </is>
      </c>
      <c r="I640" s="29" t="inlineStr">
        <is>
          <t>可愛星星飛天撞</t>
        </is>
      </c>
      <c r="J640" s="29">
        <f>IFERROR(__xludf.DUMMYFUNCTION("GOOGLETRANSLATE(I640,""zh_HANT"",""zh_HANS"")"),"可爱星星飞天撞")</f>
        <v/>
      </c>
      <c r="K640" s="29">
        <f>F640</f>
        <v/>
      </c>
    </row>
    <row r="641">
      <c r="A641" s="29">
        <f>CONCATENATE("NAME_MOVE_", SUBSTITUTE(SUBSTITUTE(UPPER(B641), " ", ""), "-", ""))</f>
        <v/>
      </c>
      <c r="B641" s="29" t="inlineStr">
        <is>
          <t>Catastropika</t>
        </is>
      </c>
      <c r="C641" s="29" t="inlineStr">
        <is>
          <t>ひっさつのピカチュート</t>
        </is>
      </c>
      <c r="D641" s="29" t="inlineStr">
        <is>
          <t>Pikachute Foudroyante</t>
        </is>
      </c>
      <c r="E641" s="29" t="inlineStr">
        <is>
          <t>Perfektes Pika-Projektil</t>
        </is>
      </c>
      <c r="F641" s="29" t="inlineStr">
        <is>
          <t>Pikavoltio Letal</t>
        </is>
      </c>
      <c r="G641" s="29" t="inlineStr">
        <is>
          <t>Super Pikaboom</t>
        </is>
      </c>
      <c r="H641" s="29" t="inlineStr">
        <is>
          <t>필살피카슛</t>
        </is>
      </c>
      <c r="I641" s="29" t="inlineStr">
        <is>
          <t>皮卡皮卡必殺擊</t>
        </is>
      </c>
      <c r="J641" s="29">
        <f>IFERROR(__xludf.DUMMYFUNCTION("GOOGLETRANSLATE(I641,""zh_HANT"",""zh_HANS"")"),"皮卡皮卡必杀击")</f>
        <v/>
      </c>
      <c r="K641" s="29">
        <f>F641</f>
        <v/>
      </c>
    </row>
    <row r="642">
      <c r="A642" s="29">
        <f>CONCATENATE("NAME_MOVE_", SUBSTITUTE(SUBSTITUTE(UPPER(B642), " ", ""), "-", ""))</f>
        <v/>
      </c>
      <c r="B642" s="29" t="inlineStr">
        <is>
          <t>Shore Up</t>
        </is>
      </c>
      <c r="C642" s="29" t="inlineStr">
        <is>
          <t>すなあつめ</t>
        </is>
      </c>
      <c r="D642" s="29" t="inlineStr">
        <is>
          <t>Amass'Sable</t>
        </is>
      </c>
      <c r="E642" s="29" t="inlineStr">
        <is>
          <t>Sandsammler</t>
        </is>
      </c>
      <c r="F642" s="29" t="inlineStr">
        <is>
          <t>Recogearena</t>
        </is>
      </c>
      <c r="G642" s="29" t="inlineStr">
        <is>
          <t>Sabbiaccumulo</t>
        </is>
      </c>
      <c r="H642" s="29" t="inlineStr">
        <is>
          <t>모래모으기</t>
        </is>
      </c>
      <c r="I642" s="29">
        <f>IFERROR(__xludf.DUMMYFUNCTION("GOOGLETRANSLATE(J642,""zh_HANS"",""zh_HANT"")"),"集沙")</f>
        <v/>
      </c>
      <c r="J642" s="29" t="inlineStr">
        <is>
          <t>集沙</t>
        </is>
      </c>
      <c r="K642" s="29">
        <f>F642</f>
        <v/>
      </c>
    </row>
    <row r="643">
      <c r="A643" s="29">
        <f>CONCATENATE("NAME_MOVE_", SUBSTITUTE(SUBSTITUTE(UPPER(B643), " ", ""), "-", ""))</f>
        <v/>
      </c>
      <c r="B643" s="29" t="inlineStr">
        <is>
          <t>First Impression</t>
        </is>
      </c>
      <c r="C643" s="29" t="inlineStr">
        <is>
          <t>であいがしら</t>
        </is>
      </c>
      <c r="D643" s="29" t="inlineStr">
        <is>
          <t>Escarmouche</t>
        </is>
      </c>
      <c r="E643" s="29" t="inlineStr">
        <is>
          <t>Überrumpler</t>
        </is>
      </c>
      <c r="F643" s="29" t="inlineStr">
        <is>
          <t>Escaramuza</t>
        </is>
      </c>
      <c r="G643" s="29" t="inlineStr">
        <is>
          <t>Schermaglia</t>
        </is>
      </c>
      <c r="H643" s="29" t="inlineStr">
        <is>
          <t>만나자마자</t>
        </is>
      </c>
      <c r="I643" s="29">
        <f>IFERROR(__xludf.DUMMYFUNCTION("GOOGLETRANSLATE(J643,""zh_HANS"",""zh_HANT"")"),"迎頭一擊")</f>
        <v/>
      </c>
      <c r="J643" s="29" t="inlineStr">
        <is>
          <t>迎头一击</t>
        </is>
      </c>
      <c r="K643" s="29">
        <f>F643</f>
        <v/>
      </c>
    </row>
    <row r="644">
      <c r="A644" s="29">
        <f>CONCATENATE("NAME_MOVE_", SUBSTITUTE(SUBSTITUTE(UPPER(B644), " ", ""), "-", ""))</f>
        <v/>
      </c>
      <c r="B644" s="29" t="inlineStr">
        <is>
          <t>Baneful Bunker</t>
        </is>
      </c>
      <c r="C644" s="29" t="inlineStr">
        <is>
          <t>トーチカ</t>
        </is>
      </c>
      <c r="D644" s="29" t="inlineStr">
        <is>
          <t>Blockhaus</t>
        </is>
      </c>
      <c r="E644" s="29" t="inlineStr">
        <is>
          <t>Bunker</t>
        </is>
      </c>
      <c r="F644" s="29" t="inlineStr">
        <is>
          <t>Búnker</t>
        </is>
      </c>
      <c r="G644" s="29" t="inlineStr">
        <is>
          <t>Fortino</t>
        </is>
      </c>
      <c r="H644" s="29" t="inlineStr">
        <is>
          <t>토치카</t>
        </is>
      </c>
      <c r="I644" s="29">
        <f>IFERROR(__xludf.DUMMYFUNCTION("GOOGLETRANSLATE(J644,""zh_HANS"",""zh_HANT"")"),"碉堡")</f>
        <v/>
      </c>
      <c r="J644" s="29" t="inlineStr">
        <is>
          <t>碉堡</t>
        </is>
      </c>
      <c r="K644" s="29">
        <f>F644</f>
        <v/>
      </c>
    </row>
    <row r="645">
      <c r="A645" s="29">
        <f>CONCATENATE("NAME_MOVE_", SUBSTITUTE(SUBSTITUTE(UPPER(B645), " ", ""), "-", ""))</f>
        <v/>
      </c>
      <c r="B645" s="29" t="inlineStr">
        <is>
          <t>Spirit Shackle</t>
        </is>
      </c>
      <c r="C645" s="29" t="inlineStr">
        <is>
          <t>かげぬい</t>
        </is>
      </c>
      <c r="D645" s="29" t="inlineStr">
        <is>
          <t>Tisse Ombre</t>
        </is>
      </c>
      <c r="E645" s="29" t="inlineStr">
        <is>
          <t>Schattenfessel</t>
        </is>
      </c>
      <c r="F645" s="29" t="inlineStr">
        <is>
          <t>Puntada Sombría</t>
        </is>
      </c>
      <c r="G645" s="29" t="inlineStr">
        <is>
          <t>Cucitura d'Ombra</t>
        </is>
      </c>
      <c r="H645" s="29" t="inlineStr">
        <is>
          <t>그림자꿰매기</t>
        </is>
      </c>
      <c r="I645" s="29">
        <f>IFERROR(__xludf.DUMMYFUNCTION("GOOGLETRANSLATE(J645,""zh_HANS"",""zh_HANT"")"),"縫影")</f>
        <v/>
      </c>
      <c r="J645" s="29" t="inlineStr">
        <is>
          <t>缝影</t>
        </is>
      </c>
      <c r="K645" s="29">
        <f>F645</f>
        <v/>
      </c>
    </row>
    <row r="646">
      <c r="A646" s="29">
        <f>CONCATENATE("NAME_MOVE_", SUBSTITUTE(SUBSTITUTE(UPPER(B646), " ", ""), "-", ""))</f>
        <v/>
      </c>
      <c r="B646" s="29" t="inlineStr">
        <is>
          <t>Darkest Lariat</t>
        </is>
      </c>
      <c r="C646" s="29" t="inlineStr">
        <is>
          <t>ＤＤラリアット</t>
        </is>
      </c>
      <c r="D646" s="29" t="inlineStr">
        <is>
          <t>Dark Lariat</t>
        </is>
      </c>
      <c r="E646" s="29">
        <f>D646</f>
        <v/>
      </c>
      <c r="F646" s="29" t="inlineStr">
        <is>
          <t>Lariat Oscuro</t>
        </is>
      </c>
      <c r="G646" s="29" t="inlineStr">
        <is>
          <t>Braccioteso</t>
        </is>
      </c>
      <c r="H646" s="29" t="inlineStr">
        <is>
          <t>ＤＤ래리어트</t>
        </is>
      </c>
      <c r="I646" s="29">
        <f>IFERROR(__xludf.DUMMYFUNCTION("GOOGLETRANSLATE(J646,""zh_HANS"",""zh_HANT"")"),"ＤＤ金勾臂")</f>
        <v/>
      </c>
      <c r="J646" s="29" t="inlineStr">
        <is>
          <t>ＤＤ金勾臂</t>
        </is>
      </c>
      <c r="K646" s="29">
        <f>F646</f>
        <v/>
      </c>
    </row>
    <row r="647">
      <c r="A647" s="29">
        <f>CONCATENATE("NAME_MOVE_", SUBSTITUTE(SUBSTITUTE(UPPER(B647), " ", ""), "-", ""))</f>
        <v/>
      </c>
      <c r="B647" s="29" t="inlineStr">
        <is>
          <t>Sparkling Aria</t>
        </is>
      </c>
      <c r="C647" s="29" t="inlineStr">
        <is>
          <t>うたかたのアリア</t>
        </is>
      </c>
      <c r="D647" s="29" t="inlineStr">
        <is>
          <t>Aria de l'Écume</t>
        </is>
      </c>
      <c r="E647" s="29" t="inlineStr">
        <is>
          <t>Schaumserenade</t>
        </is>
      </c>
      <c r="F647" s="29" t="inlineStr">
        <is>
          <t>Aria Burbuja</t>
        </is>
      </c>
      <c r="G647" s="29" t="inlineStr">
        <is>
          <t>Canto Effimero</t>
        </is>
      </c>
      <c r="H647" s="29" t="inlineStr">
        <is>
          <t>물거품아리아</t>
        </is>
      </c>
      <c r="I647" s="29">
        <f>IFERROR(__xludf.DUMMYFUNCTION("GOOGLETRANSLATE(J647,""zh_HANS"",""zh_HANT"")"),"泡影的詠嘆調")</f>
        <v/>
      </c>
      <c r="J647" s="29" t="inlineStr">
        <is>
          <t>泡影的咏叹调</t>
        </is>
      </c>
      <c r="K647" s="29">
        <f>F647</f>
        <v/>
      </c>
    </row>
    <row r="648">
      <c r="A648" s="29">
        <f>CONCATENATE("NAME_MOVE_", SUBSTITUTE(SUBSTITUTE(UPPER(B648), " ", ""), "-", ""))</f>
        <v/>
      </c>
      <c r="B648" s="29" t="inlineStr">
        <is>
          <t>Ice Hammer</t>
        </is>
      </c>
      <c r="C648" s="29" t="inlineStr">
        <is>
          <t>アイスハンマー</t>
        </is>
      </c>
      <c r="D648" s="29" t="inlineStr">
        <is>
          <t>Marteau de Glace</t>
        </is>
      </c>
      <c r="E648" s="29" t="inlineStr">
        <is>
          <t>Eishammer</t>
        </is>
      </c>
      <c r="F648" s="29" t="inlineStr">
        <is>
          <t>Martillo Hielo</t>
        </is>
      </c>
      <c r="G648" s="29" t="inlineStr">
        <is>
          <t>Martelgelo</t>
        </is>
      </c>
      <c r="H648" s="29" t="inlineStr">
        <is>
          <t>아이스해머</t>
        </is>
      </c>
      <c r="I648" s="29">
        <f>IFERROR(__xludf.DUMMYFUNCTION("GOOGLETRANSLATE(J648,""zh_HANS"",""zh_HANT"")"),"冰錘")</f>
        <v/>
      </c>
      <c r="J648" s="29" t="inlineStr">
        <is>
          <t>冰锤</t>
        </is>
      </c>
      <c r="K648" s="29">
        <f>F648</f>
        <v/>
      </c>
    </row>
    <row r="649">
      <c r="A649" s="29">
        <f>CONCATENATE("NAME_MOVE_", SUBSTITUTE(SUBSTITUTE(UPPER(B649), " ", ""), "-", ""))</f>
        <v/>
      </c>
      <c r="B649" s="29" t="inlineStr">
        <is>
          <t>Floral Healing</t>
        </is>
      </c>
      <c r="C649" s="29" t="inlineStr">
        <is>
          <t>フラワーヒール</t>
        </is>
      </c>
      <c r="D649" s="29" t="inlineStr">
        <is>
          <t>Soin Floral</t>
        </is>
      </c>
      <c r="E649" s="29" t="inlineStr">
        <is>
          <t>Florakur</t>
        </is>
      </c>
      <c r="F649" s="29" t="inlineStr">
        <is>
          <t>Cura Floral</t>
        </is>
      </c>
      <c r="G649" s="29" t="inlineStr">
        <is>
          <t>Cure Floreale</t>
        </is>
      </c>
      <c r="H649" s="29" t="inlineStr">
        <is>
          <t>플라워힐</t>
        </is>
      </c>
      <c r="I649" s="29">
        <f>IFERROR(__xludf.DUMMYFUNCTION("GOOGLETRANSLATE(J649,""zh_HANS"",""zh_HANT"")"),"花療")</f>
        <v/>
      </c>
      <c r="J649" s="29" t="inlineStr">
        <is>
          <t>花疗</t>
        </is>
      </c>
      <c r="K649" s="29">
        <f>F649</f>
        <v/>
      </c>
    </row>
    <row r="650">
      <c r="A650" s="29">
        <f>CONCATENATE("NAME_MOVE_", SUBSTITUTE(SUBSTITUTE(UPPER(B650), " ", ""), "-", ""))</f>
        <v/>
      </c>
      <c r="B650" s="29" t="inlineStr">
        <is>
          <t>High Horsepower</t>
        </is>
      </c>
      <c r="C650" s="29" t="inlineStr">
        <is>
          <t>１０まんばりき</t>
        </is>
      </c>
      <c r="D650" s="29" t="inlineStr">
        <is>
          <t>Cavalerie Lourde</t>
        </is>
      </c>
      <c r="E650" s="29" t="inlineStr">
        <is>
          <t>Pferdestärke</t>
        </is>
      </c>
      <c r="F650" s="29" t="inlineStr">
        <is>
          <t>Fuerza Equina</t>
        </is>
      </c>
      <c r="G650" s="29" t="inlineStr">
        <is>
          <t>Forza Equina</t>
        </is>
      </c>
      <c r="H650" s="29" t="inlineStr">
        <is>
          <t>１０만마력</t>
        </is>
      </c>
      <c r="I650" s="6" t="inlineStr">
        <is>
          <t>十萬馬力</t>
        </is>
      </c>
      <c r="J650" s="29">
        <f>IFERROR(__xludf.DUMMYFUNCTION("GOOGLETRANSLATE(I650,""zh_HANT"",""zh_HANS"")"),"十万马力")</f>
        <v/>
      </c>
      <c r="K650" s="29">
        <f>F650</f>
        <v/>
      </c>
    </row>
    <row r="651">
      <c r="A651" s="29">
        <f>CONCATENATE("NAME_MOVE_", SUBSTITUTE(SUBSTITUTE(UPPER(B651), " ", ""), "-", ""))</f>
        <v/>
      </c>
      <c r="B651" s="29" t="inlineStr">
        <is>
          <t>Strength Sap</t>
        </is>
      </c>
      <c r="C651" s="29" t="inlineStr">
        <is>
          <t>ちからをすいとる</t>
        </is>
      </c>
      <c r="D651" s="29" t="inlineStr">
        <is>
          <t>Vole-Force</t>
        </is>
      </c>
      <c r="E651" s="29" t="inlineStr">
        <is>
          <t>Kraftabsorber</t>
        </is>
      </c>
      <c r="F651" s="29" t="inlineStr">
        <is>
          <t>Absorbefuerza</t>
        </is>
      </c>
      <c r="G651" s="29" t="inlineStr">
        <is>
          <t>Assorbiforza</t>
        </is>
      </c>
      <c r="H651" s="29" t="inlineStr">
        <is>
          <t>힘흡수</t>
        </is>
      </c>
      <c r="I651" s="29">
        <f>IFERROR(__xludf.DUMMYFUNCTION("GOOGLETRANSLATE(J651,""zh_HANS"",""zh_HANT"")"),"吸收力量")</f>
        <v/>
      </c>
      <c r="J651" s="29" t="inlineStr">
        <is>
          <t>吸取力量</t>
        </is>
      </c>
      <c r="K651" s="29">
        <f>F651</f>
        <v/>
      </c>
    </row>
    <row r="652">
      <c r="A652" s="29">
        <f>CONCATENATE("NAME_MOVE_", SUBSTITUTE(SUBSTITUTE(UPPER(B652), " ", ""), "-", ""))</f>
        <v/>
      </c>
      <c r="B652" s="29" t="inlineStr">
        <is>
          <t>Solar Blade</t>
        </is>
      </c>
      <c r="C652" s="29" t="inlineStr">
        <is>
          <t>ソーラーブレード</t>
        </is>
      </c>
      <c r="D652" s="29" t="inlineStr">
        <is>
          <t>Lame Solaire</t>
        </is>
      </c>
      <c r="E652" s="29" t="inlineStr">
        <is>
          <t>Solarklinge</t>
        </is>
      </c>
      <c r="F652" s="29" t="inlineStr">
        <is>
          <t>Cuchilla Solar</t>
        </is>
      </c>
      <c r="G652" s="29" t="inlineStr">
        <is>
          <t>Lama Solare</t>
        </is>
      </c>
      <c r="H652" s="29" t="inlineStr">
        <is>
          <t>솔라블레이드</t>
        </is>
      </c>
      <c r="I652" s="29">
        <f>IFERROR(__xludf.DUMMYFUNCTION("GOOGLETRANSLATE(J652,""zh_HANS"",""zh_HANT"")"),"日光刃")</f>
        <v/>
      </c>
      <c r="J652" s="29" t="inlineStr">
        <is>
          <t>日光刃</t>
        </is>
      </c>
      <c r="K652" s="29">
        <f>F652</f>
        <v/>
      </c>
    </row>
    <row r="653">
      <c r="A653" s="29">
        <f>CONCATENATE("NAME_MOVE_", SUBSTITUTE(SUBSTITUTE(UPPER(B653), " ", ""), "-", ""))</f>
        <v/>
      </c>
      <c r="B653" s="29" t="inlineStr">
        <is>
          <t>Leafage</t>
        </is>
      </c>
      <c r="C653" s="29" t="inlineStr">
        <is>
          <t>このは</t>
        </is>
      </c>
      <c r="D653" s="29" t="inlineStr">
        <is>
          <t>Feuillage</t>
        </is>
      </c>
      <c r="E653" s="29" t="inlineStr">
        <is>
          <t>Blattwerk</t>
        </is>
      </c>
      <c r="F653" s="29" t="inlineStr">
        <is>
          <t>Follaje</t>
        </is>
      </c>
      <c r="G653" s="29" t="inlineStr">
        <is>
          <t>Fogliame</t>
        </is>
      </c>
      <c r="H653" s="29" t="inlineStr">
        <is>
          <t>나뭇잎</t>
        </is>
      </c>
      <c r="I653" s="29">
        <f>IFERROR(__xludf.DUMMYFUNCTION("GOOGLETRANSLATE(J653,""zh_HANS"",""zh_HANT"")"),"樹葉")</f>
        <v/>
      </c>
      <c r="J653" s="29" t="inlineStr">
        <is>
          <t>树叶</t>
        </is>
      </c>
      <c r="K653" s="29">
        <f>F653</f>
        <v/>
      </c>
    </row>
    <row r="654">
      <c r="A654" s="29">
        <f>CONCATENATE("NAME_MOVE_", SUBSTITUTE(SUBSTITUTE(UPPER(B654), " ", ""), "-", ""))</f>
        <v/>
      </c>
      <c r="B654" s="29" t="inlineStr">
        <is>
          <t>Spotlight</t>
        </is>
      </c>
      <c r="C654" s="29" t="inlineStr">
        <is>
          <t>スポットライト</t>
        </is>
      </c>
      <c r="D654" s="29" t="inlineStr">
        <is>
          <t>Projecteur</t>
        </is>
      </c>
      <c r="E654" s="29" t="inlineStr">
        <is>
          <t>Rampenlicht</t>
        </is>
      </c>
      <c r="F654" s="29" t="inlineStr">
        <is>
          <t>Foco</t>
        </is>
      </c>
      <c r="G654" s="29" t="inlineStr">
        <is>
          <t>Riflettore</t>
        </is>
      </c>
      <c r="H654" s="29" t="inlineStr">
        <is>
          <t>스포트라이트</t>
        </is>
      </c>
      <c r="I654" s="29">
        <f>IFERROR(__xludf.DUMMYFUNCTION("GOOGLETRANSLATE(J654,""zh_HANS"",""zh_HANT"")"),"聚光燈")</f>
        <v/>
      </c>
      <c r="J654" s="29" t="inlineStr">
        <is>
          <t>聚光灯</t>
        </is>
      </c>
      <c r="K654" s="29">
        <f>F654</f>
        <v/>
      </c>
    </row>
    <row r="655">
      <c r="A655" s="29">
        <f>CONCATENATE("NAME_MOVE_", SUBSTITUTE(SUBSTITUTE(UPPER(B655), " ", ""), "-", ""))</f>
        <v/>
      </c>
      <c r="B655" s="29" t="inlineStr">
        <is>
          <t>Toxic Thread</t>
        </is>
      </c>
      <c r="C655" s="29" t="inlineStr">
        <is>
          <t>どくのいと</t>
        </is>
      </c>
      <c r="D655" s="29" t="inlineStr">
        <is>
          <t>Fil Toxique</t>
        </is>
      </c>
      <c r="E655" s="29" t="inlineStr">
        <is>
          <t>Giftfaden</t>
        </is>
      </c>
      <c r="F655" s="29" t="inlineStr">
        <is>
          <t>Hilo Venenoso</t>
        </is>
      </c>
      <c r="G655" s="29" t="inlineStr">
        <is>
          <t>Velenotela</t>
        </is>
      </c>
      <c r="H655" s="29" t="inlineStr">
        <is>
          <t>독실</t>
        </is>
      </c>
      <c r="I655" s="29">
        <f>IFERROR(__xludf.DUMMYFUNCTION("GOOGLETRANSLATE(J655,""zh_HANS"",""zh_HANT"")"),"毒絲")</f>
        <v/>
      </c>
      <c r="J655" s="29" t="inlineStr">
        <is>
          <t>毒丝</t>
        </is>
      </c>
      <c r="K655" s="29">
        <f>F655</f>
        <v/>
      </c>
    </row>
    <row r="656">
      <c r="A656" s="29">
        <f>CONCATENATE("NAME_MOVE_", SUBSTITUTE(SUBSTITUTE(UPPER(B656), " ", ""), "-", ""))</f>
        <v/>
      </c>
      <c r="B656" s="29" t="inlineStr">
        <is>
          <t>Laser Focus</t>
        </is>
      </c>
      <c r="C656" s="29" t="inlineStr">
        <is>
          <t>とぎすます</t>
        </is>
      </c>
      <c r="D656" s="29" t="inlineStr">
        <is>
          <t>Affilage</t>
        </is>
      </c>
      <c r="E656" s="29" t="inlineStr">
        <is>
          <t>Konzentration</t>
        </is>
      </c>
      <c r="F656" s="29" t="inlineStr">
        <is>
          <t>Aguzar</t>
        </is>
      </c>
      <c r="G656" s="29" t="inlineStr">
        <is>
          <t>Concentrazione</t>
        </is>
      </c>
      <c r="H656" s="29" t="inlineStr">
        <is>
          <t>예민해지기</t>
        </is>
      </c>
      <c r="I656" s="29">
        <f>IFERROR(__xludf.DUMMYFUNCTION("GOOGLETRANSLATE(J656,""zh_HANS"",""zh_HANT"")"),"磨礪")</f>
        <v/>
      </c>
      <c r="J656" s="29" t="inlineStr">
        <is>
          <t>磨砺</t>
        </is>
      </c>
      <c r="K656" s="29">
        <f>F656</f>
        <v/>
      </c>
    </row>
    <row r="657">
      <c r="A657" s="29">
        <f>CONCATENATE("NAME_MOVE_", SUBSTITUTE(SUBSTITUTE(UPPER(B657), " ", ""), "-", ""))</f>
        <v/>
      </c>
      <c r="B657" s="29" t="inlineStr">
        <is>
          <t>Gear Up</t>
        </is>
      </c>
      <c r="C657" s="29" t="inlineStr">
        <is>
          <t>アシストギア</t>
        </is>
      </c>
      <c r="D657" s="29" t="inlineStr">
        <is>
          <t>Engrenage</t>
        </is>
      </c>
      <c r="E657" s="29" t="inlineStr">
        <is>
          <t>Hilfsmechanik</t>
        </is>
      </c>
      <c r="F657" s="29" t="inlineStr">
        <is>
          <t>Piñón Auxiliar</t>
        </is>
      </c>
      <c r="G657" s="29" t="inlineStr">
        <is>
          <t>Marciainpiù</t>
        </is>
      </c>
      <c r="H657" s="29" t="inlineStr">
        <is>
          <t>어시스트기어</t>
        </is>
      </c>
      <c r="I657" s="29">
        <f>IFERROR(__xludf.DUMMYFUNCTION("GOOGLETRANSLATE(J657,""zh_HANS"",""zh_HANT"")"),"輔助齒輪")</f>
        <v/>
      </c>
      <c r="J657" s="29" t="inlineStr">
        <is>
          <t>辅助齿轮</t>
        </is>
      </c>
      <c r="K657" s="29">
        <f>F657</f>
        <v/>
      </c>
    </row>
    <row r="658">
      <c r="A658" s="29">
        <f>CONCATENATE("NAME_MOVE_", SUBSTITUTE(SUBSTITUTE(UPPER(B658), " ", ""), "-", ""))</f>
        <v/>
      </c>
      <c r="B658" s="29" t="inlineStr">
        <is>
          <t>Throat Chop</t>
        </is>
      </c>
      <c r="C658" s="29" t="inlineStr">
        <is>
          <t>じごくづき</t>
        </is>
      </c>
      <c r="D658" s="29" t="inlineStr">
        <is>
          <t>Exécu-Son</t>
        </is>
      </c>
      <c r="E658" s="29" t="inlineStr">
        <is>
          <t>Neck Strike</t>
        </is>
      </c>
      <c r="F658" s="29" t="inlineStr">
        <is>
          <t>Golpe Mordaza</t>
        </is>
      </c>
      <c r="G658" s="29" t="inlineStr">
        <is>
          <t>Colpo Infernale</t>
        </is>
      </c>
      <c r="H658" s="29" t="inlineStr">
        <is>
          <t>지옥찌르기</t>
        </is>
      </c>
      <c r="I658" s="10" t="inlineStr">
        <is>
          <t>地獄突刺</t>
        </is>
      </c>
      <c r="J658" s="29" t="inlineStr">
        <is>
          <t>深渊突刺</t>
        </is>
      </c>
      <c r="K658" s="29">
        <f>F658</f>
        <v/>
      </c>
    </row>
    <row r="659">
      <c r="A659" s="29">
        <f>CONCATENATE("NAME_MOVE_", SUBSTITUTE(SUBSTITUTE(UPPER(B659), " ", ""), "-", ""))</f>
        <v/>
      </c>
      <c r="B659" s="29" t="inlineStr">
        <is>
          <t>Pollen Puff</t>
        </is>
      </c>
      <c r="C659" s="29" t="inlineStr">
        <is>
          <t>かふんだんご</t>
        </is>
      </c>
      <c r="D659" s="29" t="inlineStr">
        <is>
          <t>Boule Pollen</t>
        </is>
      </c>
      <c r="E659" s="29" t="inlineStr">
        <is>
          <t>Pollenknödel</t>
        </is>
      </c>
      <c r="F659" s="29" t="inlineStr">
        <is>
          <t>Bola de Polen</t>
        </is>
      </c>
      <c r="G659" s="29" t="inlineStr">
        <is>
          <t>Sferapolline</t>
        </is>
      </c>
      <c r="H659" s="29" t="inlineStr">
        <is>
          <t>꽃가루경단</t>
        </is>
      </c>
      <c r="I659" s="29">
        <f>IFERROR(__xludf.DUMMYFUNCTION("GOOGLETRANSLATE(J659,""zh_HANS"",""zh_HANT"")"),"花粉團")</f>
        <v/>
      </c>
      <c r="J659" s="29" t="inlineStr">
        <is>
          <t>花粉团</t>
        </is>
      </c>
      <c r="K659" s="29">
        <f>F659</f>
        <v/>
      </c>
    </row>
    <row r="660">
      <c r="A660" s="29">
        <f>CONCATENATE("NAME_MOVE_", SUBSTITUTE(SUBSTITUTE(UPPER(B660), " ", ""), "-", ""))</f>
        <v/>
      </c>
      <c r="B660" s="29" t="inlineStr">
        <is>
          <t>Anchor Shot</t>
        </is>
      </c>
      <c r="C660" s="29" t="inlineStr">
        <is>
          <t>アンカーショット</t>
        </is>
      </c>
      <c r="D660" s="29" t="inlineStr">
        <is>
          <t>Ancrage</t>
        </is>
      </c>
      <c r="E660" s="29" t="inlineStr">
        <is>
          <t>Ankerschuss</t>
        </is>
      </c>
      <c r="F660" s="29" t="inlineStr">
        <is>
          <t>Anclaje</t>
        </is>
      </c>
      <c r="G660" s="29" t="inlineStr">
        <is>
          <t>Colpo d'Ancora</t>
        </is>
      </c>
      <c r="H660" s="29" t="inlineStr">
        <is>
          <t>앵커숏</t>
        </is>
      </c>
      <c r="I660" s="29">
        <f>IFERROR(__xludf.DUMMYFUNCTION("GOOGLETRANSLATE(J660,""zh_HANS"",""zh_HANT"")"),"擲錨")</f>
        <v/>
      </c>
      <c r="J660" s="29" t="inlineStr">
        <is>
          <t>掷锚</t>
        </is>
      </c>
      <c r="K660" s="29">
        <f>F660</f>
        <v/>
      </c>
    </row>
    <row r="661">
      <c r="A661" s="29">
        <f>CONCATENATE("NAME_MOVE_", SUBSTITUTE(SUBSTITUTE(UPPER(B661), " ", ""), "-", ""))</f>
        <v/>
      </c>
      <c r="B661" s="29" t="inlineStr">
        <is>
          <t>Psychic Terrain</t>
        </is>
      </c>
      <c r="C661" s="29" t="inlineStr">
        <is>
          <t>サイコフィールド</t>
        </is>
      </c>
      <c r="D661" s="29" t="inlineStr">
        <is>
          <t>Champ Psychique</t>
        </is>
      </c>
      <c r="E661" s="29" t="inlineStr">
        <is>
          <t>Psychofeld</t>
        </is>
      </c>
      <c r="F661" s="29" t="inlineStr">
        <is>
          <t>Campo Psíquico</t>
        </is>
      </c>
      <c r="G661" s="29" t="inlineStr">
        <is>
          <t>Campo Psichico</t>
        </is>
      </c>
      <c r="H661" s="29" t="inlineStr">
        <is>
          <t>사이코필드</t>
        </is>
      </c>
      <c r="I661" s="29" t="inlineStr">
        <is>
          <t>精神場地</t>
        </is>
      </c>
      <c r="J661" s="29">
        <f>IFERROR(__xludf.DUMMYFUNCTION("GOOGLETRANSLATE(I661,""zh_HANT"",""zh_HANS"")"),"精神场地")</f>
        <v/>
      </c>
      <c r="K661" s="29">
        <f>F661</f>
        <v/>
      </c>
    </row>
    <row r="662">
      <c r="A662" s="29">
        <f>CONCATENATE("NAME_MOVE_", SUBSTITUTE(SUBSTITUTE(UPPER(B662), " ", ""), "-", ""))</f>
        <v/>
      </c>
      <c r="B662" s="29" t="inlineStr">
        <is>
          <t>Lunge</t>
        </is>
      </c>
      <c r="C662" s="29" t="inlineStr">
        <is>
          <t>とびかかる</t>
        </is>
      </c>
      <c r="D662" s="29" t="inlineStr">
        <is>
          <t>Furie-Bond</t>
        </is>
      </c>
      <c r="E662" s="29" t="inlineStr">
        <is>
          <t>Anfallen</t>
        </is>
      </c>
      <c r="F662" s="29" t="inlineStr">
        <is>
          <t>Plancha</t>
        </is>
      </c>
      <c r="G662" s="29" t="inlineStr">
        <is>
          <t>Assalto</t>
        </is>
      </c>
      <c r="H662" s="29" t="inlineStr">
        <is>
          <t>덤벼들기</t>
        </is>
      </c>
      <c r="I662" s="29">
        <f>IFERROR(__xludf.DUMMYFUNCTION("GOOGLETRANSLATE(J662,""zh_HANS"",""zh_HANT"")"),"猛撲")</f>
        <v/>
      </c>
      <c r="J662" s="29" t="inlineStr">
        <is>
          <t>猛扑</t>
        </is>
      </c>
      <c r="K662" s="29">
        <f>F662</f>
        <v/>
      </c>
    </row>
    <row r="663">
      <c r="A663" s="29">
        <f>CONCATENATE("NAME_MOVE_", SUBSTITUTE(SUBSTITUTE(UPPER(B663), " ", ""), "-", ""))</f>
        <v/>
      </c>
      <c r="B663" s="29" t="inlineStr">
        <is>
          <t>Fire Lash</t>
        </is>
      </c>
      <c r="C663" s="29" t="inlineStr">
        <is>
          <t>ほのおのムチ</t>
        </is>
      </c>
      <c r="D663" s="29" t="inlineStr">
        <is>
          <t>Fouet de Feu</t>
        </is>
      </c>
      <c r="E663" s="29" t="inlineStr">
        <is>
          <t>Feuerpeitsche</t>
        </is>
      </c>
      <c r="F663" s="29" t="inlineStr">
        <is>
          <t>Látigo Ígneo</t>
        </is>
      </c>
      <c r="G663" s="29" t="inlineStr">
        <is>
          <t>Frusta di Fuoco</t>
        </is>
      </c>
      <c r="H663" s="29" t="inlineStr">
        <is>
          <t>불꽃채찍</t>
        </is>
      </c>
      <c r="I663" s="29">
        <f>IFERROR(__xludf.DUMMYFUNCTION("GOOGLETRANSLATE(J663,""zh_HANS"",""zh_HANT"")"),"火焰鞭")</f>
        <v/>
      </c>
      <c r="J663" s="29" t="inlineStr">
        <is>
          <t>火焰鞭</t>
        </is>
      </c>
      <c r="K663" s="29">
        <f>F663</f>
        <v/>
      </c>
    </row>
    <row r="664">
      <c r="A664" s="29">
        <f>CONCATENATE("NAME_MOVE_", SUBSTITUTE(SUBSTITUTE(UPPER(B664), " ", ""), "-", ""))</f>
        <v/>
      </c>
      <c r="B664" s="29" t="inlineStr">
        <is>
          <t>Power Trip</t>
        </is>
      </c>
      <c r="C664" s="29" t="inlineStr">
        <is>
          <t>つけあがる</t>
        </is>
      </c>
      <c r="D664" s="29" t="inlineStr">
        <is>
          <t>Arrogance</t>
        </is>
      </c>
      <c r="E664" s="29" t="inlineStr">
        <is>
          <t>Überheblichkeit</t>
        </is>
      </c>
      <c r="F664" s="29" t="inlineStr">
        <is>
          <t>Chulería</t>
        </is>
      </c>
      <c r="G664" s="29" t="inlineStr">
        <is>
          <t>Tracotanza</t>
        </is>
      </c>
      <c r="H664" s="29" t="inlineStr">
        <is>
          <t>기어오르기</t>
        </is>
      </c>
      <c r="I664" s="29">
        <f>IFERROR(__xludf.DUMMYFUNCTION("GOOGLETRANSLATE(J664,""zh_HANS"",""zh_HANT"")"),"囂張")</f>
        <v/>
      </c>
      <c r="J664" s="29" t="inlineStr">
        <is>
          <t>嚣张</t>
        </is>
      </c>
      <c r="K664" s="29">
        <f>F664</f>
        <v/>
      </c>
    </row>
    <row r="665">
      <c r="A665" s="29">
        <f>CONCATENATE("NAME_MOVE_", SUBSTITUTE(SUBSTITUTE(UPPER(B665), " ", ""), "-", ""))</f>
        <v/>
      </c>
      <c r="B665" s="29" t="inlineStr">
        <is>
          <t>Burn Up</t>
        </is>
      </c>
      <c r="C665" s="29" t="inlineStr">
        <is>
          <t>もえつきる</t>
        </is>
      </c>
      <c r="D665" s="29" t="inlineStr">
        <is>
          <t>Flamme Ultime</t>
        </is>
      </c>
      <c r="E665" s="29" t="inlineStr">
        <is>
          <t>Ausbrennen</t>
        </is>
      </c>
      <c r="F665" s="29" t="inlineStr">
        <is>
          <t>Llama Final</t>
        </is>
      </c>
      <c r="G665" s="29" t="inlineStr">
        <is>
          <t>Ultima Fiamma</t>
        </is>
      </c>
      <c r="H665" s="29" t="inlineStr">
        <is>
          <t>불사르기</t>
        </is>
      </c>
      <c r="I665" s="29">
        <f>IFERROR(__xludf.DUMMYFUNCTION("GOOGLETRANSLATE(J665,""zh_HANS"",""zh_HANT"")"),"燃盡")</f>
        <v/>
      </c>
      <c r="J665" s="29" t="inlineStr">
        <is>
          <t>燃尽</t>
        </is>
      </c>
      <c r="K665" s="29">
        <f>F665</f>
        <v/>
      </c>
    </row>
    <row r="666">
      <c r="A666" s="29">
        <f>CONCATENATE("NAME_MOVE_", SUBSTITUTE(SUBSTITUTE(UPPER(B666), " ", ""), "-", ""))</f>
        <v/>
      </c>
      <c r="B666" s="29" t="inlineStr">
        <is>
          <t>Speed Swap</t>
        </is>
      </c>
      <c r="C666" s="29" t="inlineStr">
        <is>
          <t>スピードスワップ</t>
        </is>
      </c>
      <c r="D666" s="29" t="inlineStr">
        <is>
          <t>Permuvitesse</t>
        </is>
      </c>
      <c r="E666" s="29" t="inlineStr">
        <is>
          <t>Initiativetausch</t>
        </is>
      </c>
      <c r="F666" s="29" t="inlineStr">
        <is>
          <t>Cambiavelocidad</t>
        </is>
      </c>
      <c r="G666" s="29" t="inlineStr">
        <is>
          <t>Velociscambio</t>
        </is>
      </c>
      <c r="H666" s="29" t="inlineStr">
        <is>
          <t>스피드스웹</t>
        </is>
      </c>
      <c r="I666" s="29">
        <f>IFERROR(__xludf.DUMMYFUNCTION("GOOGLETRANSLATE(J666,""zh_HANS"",""zh_HANT"")"),"速度互換")</f>
        <v/>
      </c>
      <c r="J666" s="29" t="inlineStr">
        <is>
          <t>速度互换</t>
        </is>
      </c>
      <c r="K666" s="29">
        <f>F666</f>
        <v/>
      </c>
    </row>
    <row r="667">
      <c r="A667" s="29">
        <f>CONCATENATE("NAME_MOVE_", SUBSTITUTE(SUBSTITUTE(UPPER(B667), " ", ""), "-", ""))</f>
        <v/>
      </c>
      <c r="B667" s="29" t="inlineStr">
        <is>
          <t>Smart Strike</t>
        </is>
      </c>
      <c r="C667" s="29" t="inlineStr">
        <is>
          <t>スマートホーン</t>
        </is>
      </c>
      <c r="D667" s="29" t="inlineStr">
        <is>
          <t>Estocorne</t>
        </is>
      </c>
      <c r="E667" s="29" t="inlineStr">
        <is>
          <t>Schmalhorn</t>
        </is>
      </c>
      <c r="F667" s="29" t="inlineStr">
        <is>
          <t>Cuerno Certero</t>
        </is>
      </c>
      <c r="G667" s="29" t="inlineStr">
        <is>
          <t>Sottilcorno</t>
        </is>
      </c>
      <c r="H667" s="29" t="inlineStr">
        <is>
          <t>스마트호른</t>
        </is>
      </c>
      <c r="I667" s="29">
        <f>IFERROR(__xludf.DUMMYFUNCTION("GOOGLETRANSLATE(J667,""zh_HANS"",""zh_HANT"")"),"修長之角")</f>
        <v/>
      </c>
      <c r="J667" s="29" t="inlineStr">
        <is>
          <t>修长之角</t>
        </is>
      </c>
      <c r="K667" s="29">
        <f>F667</f>
        <v/>
      </c>
    </row>
    <row r="668">
      <c r="A668" s="29">
        <f>CONCATENATE("NAME_MOVE_", SUBSTITUTE(SUBSTITUTE(UPPER(B668), " ", ""), "-", ""))</f>
        <v/>
      </c>
      <c r="B668" s="29" t="inlineStr">
        <is>
          <t>Purify</t>
        </is>
      </c>
      <c r="C668" s="29" t="inlineStr">
        <is>
          <t>じょうか</t>
        </is>
      </c>
      <c r="D668" s="29" t="inlineStr">
        <is>
          <t>Purification</t>
        </is>
      </c>
      <c r="E668" s="29" t="inlineStr">
        <is>
          <t>Läuterung</t>
        </is>
      </c>
      <c r="F668" s="29" t="inlineStr">
        <is>
          <t>Purificación</t>
        </is>
      </c>
      <c r="G668" s="29" t="inlineStr">
        <is>
          <t>Purificazione</t>
        </is>
      </c>
      <c r="H668" s="29" t="inlineStr">
        <is>
          <t>정화</t>
        </is>
      </c>
      <c r="I668" s="29">
        <f>IFERROR(__xludf.DUMMYFUNCTION("GOOGLETRANSLATE(J668,""zh_HANS"",""zh_HANT"")"),"淨化")</f>
        <v/>
      </c>
      <c r="J668" s="29" t="inlineStr">
        <is>
          <t>净化</t>
        </is>
      </c>
      <c r="K668" s="29">
        <f>F668</f>
        <v/>
      </c>
    </row>
    <row r="669">
      <c r="A669" s="29">
        <f>CONCATENATE("NAME_MOVE_", SUBSTITUTE(SUBSTITUTE(UPPER(B669), " ", ""), "-", ""))</f>
        <v/>
      </c>
      <c r="B669" s="29" t="inlineStr">
        <is>
          <t>Revelation Dance</t>
        </is>
      </c>
      <c r="C669" s="29" t="inlineStr">
        <is>
          <t>めざめるダンス</t>
        </is>
      </c>
      <c r="D669" s="29" t="inlineStr">
        <is>
          <t>Danse Éveil</t>
        </is>
      </c>
      <c r="E669" s="29" t="inlineStr">
        <is>
          <t>Wecktanz</t>
        </is>
      </c>
      <c r="F669" s="29" t="inlineStr">
        <is>
          <t>Danza Despertar</t>
        </is>
      </c>
      <c r="G669" s="29" t="inlineStr">
        <is>
          <t>Mutadanza</t>
        </is>
      </c>
      <c r="H669" s="29" t="inlineStr">
        <is>
          <t>잠재댄스</t>
        </is>
      </c>
      <c r="I669" s="29">
        <f>IFERROR(__xludf.DUMMYFUNCTION("GOOGLETRANSLATE(J669,""zh_HANS"",""zh_HANT"")"),"覺醒之舞")</f>
        <v/>
      </c>
      <c r="J669" s="29" t="inlineStr">
        <is>
          <t>觉醒之舞</t>
        </is>
      </c>
      <c r="K669" s="29">
        <f>F669</f>
        <v/>
      </c>
    </row>
    <row r="670">
      <c r="A670" s="29">
        <f>CONCATENATE("NAME_MOVE_", SUBSTITUTE(SUBSTITUTE(UPPER(B670), " ", ""), "-", ""))</f>
        <v/>
      </c>
      <c r="B670" s="29" t="inlineStr">
        <is>
          <t>Core Enforcer</t>
        </is>
      </c>
      <c r="C670" s="29" t="inlineStr">
        <is>
          <t>コアパニッシャー</t>
        </is>
      </c>
      <c r="D670" s="29" t="inlineStr">
        <is>
          <t>Sanction Suprême</t>
        </is>
      </c>
      <c r="E670" s="29" t="inlineStr">
        <is>
          <t>Sanktionskern</t>
        </is>
      </c>
      <c r="F670" s="29" t="inlineStr">
        <is>
          <t>Núcleo Castigo</t>
        </is>
      </c>
      <c r="G670" s="29" t="inlineStr">
        <is>
          <t>Nucleocastigo</t>
        </is>
      </c>
      <c r="H670" s="29" t="inlineStr">
        <is>
          <t>코어퍼니셔</t>
        </is>
      </c>
      <c r="I670" s="29">
        <f>IFERROR(__xludf.DUMMYFUNCTION("GOOGLETRANSLATE(J670,""zh_HANS"",""zh_HANT"")"),"核心懲罰者")</f>
        <v/>
      </c>
      <c r="J670" s="29" t="inlineStr">
        <is>
          <t>核心惩罚者</t>
        </is>
      </c>
      <c r="K670" s="29">
        <f>F670</f>
        <v/>
      </c>
    </row>
    <row r="671">
      <c r="A671" s="29">
        <f>CONCATENATE("NAME_MOVE_", SUBSTITUTE(SUBSTITUTE(UPPER(B671), " ", ""), "-", ""))</f>
        <v/>
      </c>
      <c r="B671" s="29" t="inlineStr">
        <is>
          <t>Trop Kick</t>
        </is>
      </c>
      <c r="C671" s="29" t="inlineStr">
        <is>
          <t>トロピカルキック</t>
        </is>
      </c>
      <c r="D671" s="29" t="inlineStr">
        <is>
          <t>Botte Sucrette</t>
        </is>
      </c>
      <c r="E671" s="29" t="inlineStr">
        <is>
          <t>Tropenkick</t>
        </is>
      </c>
      <c r="F671" s="29" t="inlineStr">
        <is>
          <t>Patada Tropical</t>
        </is>
      </c>
      <c r="G671" s="29" t="inlineStr">
        <is>
          <t>Tropicalcio</t>
        </is>
      </c>
      <c r="H671" s="29" t="inlineStr">
        <is>
          <t>트로피컬킥</t>
        </is>
      </c>
      <c r="I671" s="29">
        <f>IFERROR(__xludf.DUMMYFUNCTION("GOOGLETRANSLATE(J671,""zh_HANS"",""zh_HANT"")"),"熱帶踢")</f>
        <v/>
      </c>
      <c r="J671" s="29" t="inlineStr">
        <is>
          <t>热带踢</t>
        </is>
      </c>
      <c r="K671" s="29">
        <f>F671</f>
        <v/>
      </c>
    </row>
    <row r="672">
      <c r="A672" s="29">
        <f>CONCATENATE("NAME_MOVE_", SUBSTITUTE(SUBSTITUTE(UPPER(B672), " ", ""), "-", ""))</f>
        <v/>
      </c>
      <c r="B672" s="29" t="inlineStr">
        <is>
          <t>Instruct</t>
        </is>
      </c>
      <c r="C672" s="29" t="inlineStr">
        <is>
          <t>さいはい</t>
        </is>
      </c>
      <c r="D672" s="29" t="inlineStr">
        <is>
          <t>Sommation</t>
        </is>
      </c>
      <c r="E672" s="29" t="inlineStr">
        <is>
          <t>Kommando</t>
        </is>
      </c>
      <c r="F672" s="29" t="inlineStr">
        <is>
          <t>Mandato</t>
        </is>
      </c>
      <c r="G672" s="29" t="inlineStr">
        <is>
          <t>Imposizione</t>
        </is>
      </c>
      <c r="H672" s="29" t="inlineStr">
        <is>
          <t>지휘</t>
        </is>
      </c>
      <c r="I672" s="29">
        <f>IFERROR(__xludf.DUMMYFUNCTION("GOOGLETRANSLATE(J672,""zh_HANS"",""zh_HANT"")"),"號令")</f>
        <v/>
      </c>
      <c r="J672" s="29" t="inlineStr">
        <is>
          <t>号令</t>
        </is>
      </c>
      <c r="K672" s="29">
        <f>F672</f>
        <v/>
      </c>
    </row>
    <row r="673">
      <c r="A673" s="29">
        <f>CONCATENATE("NAME_MOVE_", SUBSTITUTE(SUBSTITUTE(UPPER(B673), " ", ""), "-", ""))</f>
        <v/>
      </c>
      <c r="B673" s="29" t="inlineStr">
        <is>
          <t>Beak Blast</t>
        </is>
      </c>
      <c r="C673" s="29" t="inlineStr">
        <is>
          <t>くちばしキャノン</t>
        </is>
      </c>
      <c r="D673" s="29" t="inlineStr">
        <is>
          <t>Bec-Canon</t>
        </is>
      </c>
      <c r="E673" s="29" t="inlineStr">
        <is>
          <t>Schnabelkanone</t>
        </is>
      </c>
      <c r="F673" s="29" t="inlineStr">
        <is>
          <t>Pico Cañón</t>
        </is>
      </c>
      <c r="G673" s="29" t="inlineStr">
        <is>
          <t>Cannonbecco</t>
        </is>
      </c>
      <c r="H673" s="29" t="inlineStr">
        <is>
          <t>부리캐논</t>
        </is>
      </c>
      <c r="I673" s="29">
        <f>IFERROR(__xludf.DUMMYFUNCTION("GOOGLETRANSLATE(J673,""zh_HANS"",""zh_HANT"")"),"鳥嘴加農炮")</f>
        <v/>
      </c>
      <c r="J673" s="29" t="inlineStr">
        <is>
          <t>鸟嘴加农炮</t>
        </is>
      </c>
      <c r="K673" s="29">
        <f>F673</f>
        <v/>
      </c>
    </row>
    <row r="674">
      <c r="A674" s="29">
        <f>CONCATENATE("NAME_MOVE_", SUBSTITUTE(SUBSTITUTE(UPPER(B674), " ", ""), "-", ""))</f>
        <v/>
      </c>
      <c r="B674" s="29" t="inlineStr">
        <is>
          <t>Clanging Scales</t>
        </is>
      </c>
      <c r="C674" s="29" t="inlineStr">
        <is>
          <t>スケイルノイズ</t>
        </is>
      </c>
      <c r="D674" s="29" t="inlineStr">
        <is>
          <t>Vibrécaille</t>
        </is>
      </c>
      <c r="E674" s="29" t="inlineStr">
        <is>
          <t>Schuppenrasseln</t>
        </is>
      </c>
      <c r="F674" s="29" t="inlineStr">
        <is>
          <t>Fregor Escamas</t>
        </is>
      </c>
      <c r="G674" s="29" t="inlineStr">
        <is>
          <t>Clamorsquame</t>
        </is>
      </c>
      <c r="H674" s="29" t="inlineStr">
        <is>
          <t>스케일노이즈</t>
        </is>
      </c>
      <c r="I674" s="29">
        <f>IFERROR(__xludf.DUMMYFUNCTION("GOOGLETRANSLATE(J674,""zh_HANS"",""zh_HANT"")"),"鱗片噪音")</f>
        <v/>
      </c>
      <c r="J674" s="29" t="inlineStr">
        <is>
          <t>鳞片噪音</t>
        </is>
      </c>
      <c r="K674" s="29">
        <f>F674</f>
        <v/>
      </c>
    </row>
    <row r="675">
      <c r="A675" s="29">
        <f>CONCATENATE("NAME_MOVE_", SUBSTITUTE(SUBSTITUTE(UPPER(B675), " ", ""), "-", ""))</f>
        <v/>
      </c>
      <c r="B675" s="29" t="inlineStr">
        <is>
          <t>Dragon Hammer</t>
        </is>
      </c>
      <c r="C675" s="29" t="inlineStr">
        <is>
          <t>ドラゴンハンマー</t>
        </is>
      </c>
      <c r="D675" s="29" t="inlineStr">
        <is>
          <t>Draco-Marteau</t>
        </is>
      </c>
      <c r="E675" s="29" t="inlineStr">
        <is>
          <t>Drachenhammer</t>
        </is>
      </c>
      <c r="F675" s="29" t="inlineStr">
        <is>
          <t>Martillo Dragón</t>
        </is>
      </c>
      <c r="G675" s="29" t="inlineStr">
        <is>
          <t>Marteldrago</t>
        </is>
      </c>
      <c r="H675" s="29" t="inlineStr">
        <is>
          <t>드래곤해머</t>
        </is>
      </c>
      <c r="I675" s="29" t="inlineStr">
        <is>
          <t>龍錘</t>
        </is>
      </c>
      <c r="J675" s="29">
        <f>IFERROR(__xludf.DUMMYFUNCTION("GOOGLETRANSLATE(I675,""zh_HANT"",""zh_HANS"")"),"龙锤")</f>
        <v/>
      </c>
      <c r="K675" s="29">
        <f>F675</f>
        <v/>
      </c>
    </row>
    <row r="676">
      <c r="A676" s="29">
        <f>CONCATENATE("NAME_MOVE_", SUBSTITUTE(SUBSTITUTE(UPPER(B676), " ", ""), "-", ""))</f>
        <v/>
      </c>
      <c r="B676" s="29" t="inlineStr">
        <is>
          <t>Brutal Swing</t>
        </is>
      </c>
      <c r="C676" s="29" t="inlineStr">
        <is>
          <t>ぶんまわす</t>
        </is>
      </c>
      <c r="D676" s="29" t="inlineStr">
        <is>
          <t>Centrifugifle</t>
        </is>
      </c>
      <c r="E676" s="29" t="inlineStr">
        <is>
          <t>Wirbler</t>
        </is>
      </c>
      <c r="F676" s="29" t="inlineStr">
        <is>
          <t>Giro Vil</t>
        </is>
      </c>
      <c r="G676" s="29" t="inlineStr">
        <is>
          <t>Vorticolpo</t>
        </is>
      </c>
      <c r="H676" s="29" t="inlineStr">
        <is>
          <t>세차게휘두르기</t>
        </is>
      </c>
      <c r="I676" s="29" t="inlineStr">
        <is>
          <t>狂舞揮打</t>
        </is>
      </c>
      <c r="J676" s="29">
        <f>IFERROR(__xludf.DUMMYFUNCTION("GOOGLETRANSLATE(I676,""zh_HANT"",""zh_HANS"")"),"狂舞挥打")</f>
        <v/>
      </c>
      <c r="K676" s="29">
        <f>F676</f>
        <v/>
      </c>
    </row>
    <row r="677">
      <c r="A677" s="29">
        <f>CONCATENATE("NAME_MOVE_", SUBSTITUTE(SUBSTITUTE(UPPER(B677), " ", ""), "-", ""))</f>
        <v/>
      </c>
      <c r="B677" s="29" t="inlineStr">
        <is>
          <t>Aurora Veil</t>
        </is>
      </c>
      <c r="C677" s="29" t="inlineStr">
        <is>
          <t>オーロラベール</t>
        </is>
      </c>
      <c r="D677" s="29" t="inlineStr">
        <is>
          <t>Voile Aurore</t>
        </is>
      </c>
      <c r="E677" s="29" t="inlineStr">
        <is>
          <t>Auroraschleier</t>
        </is>
      </c>
      <c r="F677" s="29" t="inlineStr">
        <is>
          <t>Velo Aurora</t>
        </is>
      </c>
      <c r="G677" s="29" t="inlineStr">
        <is>
          <t>Velaurora</t>
        </is>
      </c>
      <c r="H677" s="29" t="inlineStr">
        <is>
          <t>오로라베일</t>
        </is>
      </c>
      <c r="I677" s="29" t="inlineStr">
        <is>
          <t>極光幕</t>
        </is>
      </c>
      <c r="J677" s="29">
        <f>IFERROR(__xludf.DUMMYFUNCTION("GOOGLETRANSLATE(I677,""zh_HANT"",""zh_HANS"")"),"极光幕")</f>
        <v/>
      </c>
      <c r="K677" s="29">
        <f>F677</f>
        <v/>
      </c>
    </row>
    <row r="678">
      <c r="A678" s="29">
        <f>CONCATENATE("NAME_MOVE_", SUBSTITUTE(SUBSTITUTE(UPPER(B678), " ", ""), "-", ""))</f>
        <v/>
      </c>
      <c r="B678" s="29" t="inlineStr">
        <is>
          <t>Sinister Arrow Raid</t>
        </is>
      </c>
      <c r="C678" s="29" t="inlineStr">
        <is>
          <t>シャドーアローズストライク</t>
        </is>
      </c>
      <c r="D678" s="29" t="inlineStr">
        <is>
          <t>Fureur des Plumes Spectrales</t>
        </is>
      </c>
      <c r="E678" s="29" t="inlineStr">
        <is>
          <t>Schatten-Pfeilregen</t>
        </is>
      </c>
      <c r="F678" s="29" t="inlineStr">
        <is>
          <t>Aluvión de Flechas sombrías</t>
        </is>
      </c>
      <c r="G678" s="29" t="inlineStr">
        <is>
          <t>Dardoassalto Spettrale</t>
        </is>
      </c>
      <c r="H678" s="29" t="inlineStr">
        <is>
          <t>섀도애로우즈스트라이크</t>
        </is>
      </c>
      <c r="I678" s="29" t="inlineStr">
        <is>
          <t>遮天蔽日暗影箭</t>
        </is>
      </c>
      <c r="J678" s="29">
        <f>I678</f>
        <v/>
      </c>
      <c r="K678" s="29">
        <f>F678</f>
        <v/>
      </c>
    </row>
    <row r="679">
      <c r="A679" s="29">
        <f>CONCATENATE("NAME_MOVE_", SUBSTITUTE(SUBSTITUTE(UPPER(B679), " ", ""), "-", ""))</f>
        <v/>
      </c>
      <c r="B679" s="29" t="inlineStr">
        <is>
          <t>Malicious Moonsault</t>
        </is>
      </c>
      <c r="C679" s="29" t="inlineStr">
        <is>
          <t>ハイパーダーククラッシャー</t>
        </is>
      </c>
      <c r="D679" s="29" t="inlineStr">
        <is>
          <t>Dark Body Press</t>
        </is>
      </c>
      <c r="E679" s="29" t="inlineStr">
        <is>
          <t>Hyper Dark Crusher</t>
        </is>
      </c>
      <c r="F679" s="29" t="inlineStr">
        <is>
          <t>Hiperplancha Oscura</t>
        </is>
      </c>
      <c r="G679" s="29" t="inlineStr">
        <is>
          <t>Iperschianto delle Tenebre</t>
        </is>
      </c>
      <c r="H679" s="29" t="inlineStr">
        <is>
          <t>하이퍼다크크러셔</t>
        </is>
      </c>
      <c r="I679" s="29" t="inlineStr">
        <is>
          <t>極惡飛躍粉碎擊</t>
        </is>
      </c>
      <c r="J679" s="29">
        <f>IFERROR(__xludf.DUMMYFUNCTION("GOOGLETRANSLATE(I679,""zh_HANT"",""zh_HANS"")"),"极恶飞跃粉碎击")</f>
        <v/>
      </c>
      <c r="K679" s="29">
        <f>F679</f>
        <v/>
      </c>
    </row>
    <row r="680">
      <c r="A680" s="29">
        <f>CONCATENATE("NAME_MOVE_", SUBSTITUTE(SUBSTITUTE(UPPER(B680), " ", ""), "-", ""))</f>
        <v/>
      </c>
      <c r="B680" s="29" t="inlineStr">
        <is>
          <t>Oceanic Operetta</t>
        </is>
      </c>
      <c r="C680" s="29" t="inlineStr">
        <is>
          <t>わだつみのシンフォニア</t>
        </is>
      </c>
      <c r="D680" s="29" t="inlineStr">
        <is>
          <t>Symphonie des Ondines</t>
        </is>
      </c>
      <c r="E680" s="29" t="inlineStr">
        <is>
          <t>Grandiose Meeressymphonie</t>
        </is>
      </c>
      <c r="F680" s="29" t="inlineStr">
        <is>
          <t>Sinfonía de la Diva Marina</t>
        </is>
      </c>
      <c r="G680" s="29" t="inlineStr">
        <is>
          <t>Sinfonia del Mare</t>
        </is>
      </c>
      <c r="H680" s="29" t="inlineStr">
        <is>
          <t>바다의심포니</t>
        </is>
      </c>
      <c r="I680" s="29" t="inlineStr">
        <is>
          <t>海神莊嚴交響樂</t>
        </is>
      </c>
      <c r="J680" s="29">
        <f>IFERROR(__xludf.DUMMYFUNCTION("GOOGLETRANSLATE(I680,""zh_HANT"",""zh_HANS"")"),"海神庄严交响乐")</f>
        <v/>
      </c>
      <c r="K680" s="29">
        <f>F680</f>
        <v/>
      </c>
    </row>
    <row r="681">
      <c r="A681" s="29">
        <f>CONCATENATE("NAME_MOVE_", SUBSTITUTE(SUBSTITUTE(UPPER(B681), " ", ""), "-", ""))</f>
        <v/>
      </c>
      <c r="B681" s="29" t="inlineStr">
        <is>
          <t>Guardian of Alola</t>
        </is>
      </c>
      <c r="C681" s="29" t="inlineStr">
        <is>
          <t>ガーヂィアン・ヂ・アローラ</t>
        </is>
      </c>
      <c r="D681" s="29" t="inlineStr">
        <is>
          <t>Colère du Gardien d'Alola</t>
        </is>
      </c>
      <c r="E681" s="29" t="inlineStr">
        <is>
          <t>Alolas Wächter</t>
        </is>
      </c>
      <c r="F681" s="29" t="inlineStr">
        <is>
          <t>Cólera del Guardián</t>
        </is>
      </c>
      <c r="G681" s="29" t="inlineStr">
        <is>
          <t>Collera del Guardiano</t>
        </is>
      </c>
      <c r="H681" s="29" t="inlineStr">
        <is>
          <t>알로라의수호자</t>
        </is>
      </c>
      <c r="I681" s="29" t="inlineStr">
        <is>
          <t>巨人衛士・阿羅拉</t>
        </is>
      </c>
      <c r="J681" s="29">
        <f>IFERROR(__xludf.DUMMYFUNCTION("GOOGLETRANSLATE(I681,""zh_HANT"",""zh_HANS"")"),"巨人卫士・阿罗拉")</f>
        <v/>
      </c>
      <c r="K681" s="29">
        <f>F681</f>
        <v/>
      </c>
    </row>
    <row r="682">
      <c r="A682" s="29">
        <f>CONCATENATE("NAME_MOVE_", SUBSTITUTE(SUBSTITUTE(UPPER(B682), " ", ""), "-", ""))</f>
        <v/>
      </c>
      <c r="B682" s="29" t="inlineStr">
        <is>
          <t>Soul-Stealing 7-Star Strike</t>
        </is>
      </c>
      <c r="C682" s="29" t="inlineStr">
        <is>
          <t>七星奪魂腿</t>
        </is>
      </c>
      <c r="D682" s="29" t="inlineStr">
        <is>
          <t>Fauche-Âme des Sept Étoiles</t>
        </is>
      </c>
      <c r="E682" s="29" t="inlineStr">
        <is>
          <t>Sternbild des Seelenraubes</t>
        </is>
      </c>
      <c r="F682" s="29" t="inlineStr">
        <is>
          <t>Constelación Robaalmas</t>
        </is>
      </c>
      <c r="G682" s="29" t="inlineStr">
        <is>
          <t>Colpo Eptastellare Rubanima</t>
        </is>
      </c>
      <c r="H682" s="29" t="inlineStr">
        <is>
          <t>칠성탈혼퇴</t>
        </is>
      </c>
      <c r="I682" s="29" t="inlineStr">
        <is>
          <t>七星奪魂腿</t>
        </is>
      </c>
      <c r="J682" s="29">
        <f>IFERROR(__xludf.DUMMYFUNCTION("GOOGLETRANSLATE(I682,""zh_HANT"",""zh_HANS"")"),"七星夺魂腿")</f>
        <v/>
      </c>
      <c r="K682" s="29">
        <f>F682</f>
        <v/>
      </c>
    </row>
    <row r="683">
      <c r="A683" s="29">
        <f>CONCATENATE("NAME_MOVE_", SUBSTITUTE(SUBSTITUTE(UPPER(B683), " ", ""), "-", ""))</f>
        <v/>
      </c>
      <c r="B683" s="29" t="inlineStr">
        <is>
          <t>Stoked Sparksurfer</t>
        </is>
      </c>
      <c r="C683" s="29" t="inlineStr">
        <is>
          <t>ライトニングサーフライド</t>
        </is>
      </c>
      <c r="D683" s="29" t="inlineStr">
        <is>
          <t>Électro-Surf Survolté</t>
        </is>
      </c>
      <c r="E683" s="29" t="inlineStr">
        <is>
          <t>Blitz-Wellenritt</t>
        </is>
      </c>
      <c r="F683" s="29" t="inlineStr">
        <is>
          <t>Surfeo Galvánico</t>
        </is>
      </c>
      <c r="G683" s="29" t="inlineStr">
        <is>
          <t>Elettrosurf Folgorante</t>
        </is>
      </c>
      <c r="H683" s="29" t="inlineStr">
        <is>
          <t>라이트닝 서프라이드</t>
        </is>
      </c>
      <c r="I683" s="29" t="inlineStr">
        <is>
          <t>駕雷馭電戲衝浪</t>
        </is>
      </c>
      <c r="J683" s="29">
        <f>IFERROR(__xludf.DUMMYFUNCTION("GOOGLETRANSLATE(I683,""zh_HANT"",""zh_HANS"")"),"驾雷驭电戏冲浪")</f>
        <v/>
      </c>
      <c r="K683" s="29">
        <f>F683</f>
        <v/>
      </c>
    </row>
    <row r="684">
      <c r="A684" s="29">
        <f>CONCATENATE("NAME_MOVE_", SUBSTITUTE(SUBSTITUTE(UPPER(B684), " ", ""), "-", ""))</f>
        <v/>
      </c>
      <c r="B684" s="29" t="inlineStr">
        <is>
          <t>Pulverizing Pancake</t>
        </is>
      </c>
      <c r="C684" s="29" t="inlineStr">
        <is>
          <t>ほんきをだすこうげき</t>
        </is>
      </c>
      <c r="D684" s="29" t="inlineStr">
        <is>
          <t>Gare au Ronflex</t>
        </is>
      </c>
      <c r="E684" s="29" t="inlineStr">
        <is>
          <t>Schluss mit lustig</t>
        </is>
      </c>
      <c r="F684" s="29" t="inlineStr">
        <is>
          <t>Arrojo Intempestido</t>
        </is>
      </c>
      <c r="G684" s="29" t="inlineStr">
        <is>
          <t>Adesso Faccio sul Serio</t>
        </is>
      </c>
      <c r="H684" s="29" t="inlineStr">
        <is>
          <t>진심의공격</t>
        </is>
      </c>
      <c r="I684" s="29" t="inlineStr">
        <is>
          <t>認真起來大爆擊</t>
        </is>
      </c>
      <c r="J684" s="29">
        <f>IFERROR(__xludf.DUMMYFUNCTION("GOOGLETRANSLATE(I684,""zh_HANT"",""zh_HANS"")"),"认真起来大爆击")</f>
        <v/>
      </c>
      <c r="K684" s="29">
        <f>F684</f>
        <v/>
      </c>
    </row>
    <row r="685">
      <c r="A685" s="29">
        <f>CONCATENATE("NAME_MOVE_", SUBSTITUTE(SUBSTITUTE(UPPER(B685), " ", ""), "-", ""))</f>
        <v/>
      </c>
      <c r="B685" s="29" t="inlineStr">
        <is>
          <t>Extreme Evoboost</t>
        </is>
      </c>
      <c r="C685" s="29" t="inlineStr">
        <is>
          <t>ナインエボルブースト</t>
        </is>
      </c>
      <c r="D685" s="29" t="inlineStr">
        <is>
          <t>Neuf pour Un</t>
        </is>
      </c>
      <c r="E685" s="29" t="inlineStr">
        <is>
          <t>Macht der Neun</t>
        </is>
      </c>
      <c r="F685" s="29" t="inlineStr">
        <is>
          <t>Novena Potencia</t>
        </is>
      </c>
      <c r="G685" s="29" t="inlineStr">
        <is>
          <t>Potenziamento Eevolutivo</t>
        </is>
      </c>
      <c r="H685" s="29" t="inlineStr">
        <is>
          <t>나인이볼부스트</t>
        </is>
      </c>
      <c r="I685" s="29" t="inlineStr">
        <is>
          <t>九彩昇華齊聚頂</t>
        </is>
      </c>
      <c r="J685" s="29">
        <f>IFERROR(__xludf.DUMMYFUNCTION("GOOGLETRANSLATE(I685,""zh_HANT"",""zh_HANS"")"),"九彩升华齐聚顶")</f>
        <v/>
      </c>
      <c r="K685" s="29">
        <f>F685</f>
        <v/>
      </c>
    </row>
    <row r="686">
      <c r="A686" s="29">
        <f>CONCATENATE("NAME_MOVE_", SUBSTITUTE(SUBSTITUTE(UPPER(B686), " ", ""), "-", ""))</f>
        <v/>
      </c>
      <c r="B686" s="29" t="inlineStr">
        <is>
          <t>Genesis Supernova</t>
        </is>
      </c>
      <c r="C686" s="29" t="inlineStr">
        <is>
          <t>オリジンズスーパーノヴァ</t>
        </is>
      </c>
      <c r="D686" s="29" t="inlineStr">
        <is>
          <t>Supernova Originelle</t>
        </is>
      </c>
      <c r="E686" s="29" t="inlineStr">
        <is>
          <t>Supernova des Ursprungs</t>
        </is>
      </c>
      <c r="F686" s="29" t="inlineStr">
        <is>
          <t>Supernova Original</t>
        </is>
      </c>
      <c r="G686" s="29" t="inlineStr">
        <is>
          <t>Supernova delle Origini</t>
        </is>
      </c>
      <c r="H686" s="29" t="inlineStr">
        <is>
          <t>오리진즈슈퍼노바</t>
        </is>
      </c>
      <c r="I686" s="29" t="inlineStr">
        <is>
          <t>起源超新星大爆炸</t>
        </is>
      </c>
      <c r="J686" s="29">
        <f>I686</f>
        <v/>
      </c>
      <c r="K686" s="29">
        <f>F686</f>
        <v/>
      </c>
    </row>
    <row r="687">
      <c r="A687" s="29">
        <f>CONCATENATE("NAME_MOVE_", SUBSTITUTE(SUBSTITUTE(UPPER(B687), " ", ""), "-", ""))</f>
        <v/>
      </c>
      <c r="B687" s="29" t="inlineStr">
        <is>
          <t>Shell Trap</t>
        </is>
      </c>
      <c r="C687" s="29" t="inlineStr">
        <is>
          <t>トラップシェル</t>
        </is>
      </c>
      <c r="D687" s="29" t="inlineStr">
        <is>
          <t>Carapiège</t>
        </is>
      </c>
      <c r="E687" s="29" t="inlineStr">
        <is>
          <t>Panzerfalle</t>
        </is>
      </c>
      <c r="F687" s="29" t="inlineStr">
        <is>
          <t>Coraza Trampa</t>
        </is>
      </c>
      <c r="G687" s="29" t="inlineStr">
        <is>
          <t>Gusciotrappola</t>
        </is>
      </c>
      <c r="H687" s="29" t="inlineStr">
        <is>
          <t>트랩셸</t>
        </is>
      </c>
      <c r="I687" s="29">
        <f>IFERROR(__xludf.DUMMYFUNCTION("GOOGLETRANSLATE(J687,""zh_HANS"",""zh_HANT"")"),"陷阱甲殼")</f>
        <v/>
      </c>
      <c r="J687" s="29" t="inlineStr">
        <is>
          <t>陷阱甲壳</t>
        </is>
      </c>
      <c r="K687" s="29">
        <f>F687</f>
        <v/>
      </c>
    </row>
    <row r="688">
      <c r="A688" s="29">
        <f>CONCATENATE("NAME_MOVE_", SUBSTITUTE(SUBSTITUTE(UPPER(B688), " ", ""), "-", ""))</f>
        <v/>
      </c>
      <c r="B688" s="29" t="inlineStr">
        <is>
          <t>Fleur Cannon</t>
        </is>
      </c>
      <c r="C688" s="29" t="inlineStr">
        <is>
          <t>フルールカノン</t>
        </is>
      </c>
      <c r="D688" s="29" t="inlineStr">
        <is>
          <t>Canon Floral</t>
        </is>
      </c>
      <c r="E688" s="29" t="inlineStr">
        <is>
          <t>Kanonenbouquet</t>
        </is>
      </c>
      <c r="F688" s="29" t="inlineStr">
        <is>
          <t>Cañón Floral</t>
        </is>
      </c>
      <c r="G688" s="29" t="inlineStr">
        <is>
          <t>Cannonfiore</t>
        </is>
      </c>
      <c r="H688" s="29" t="inlineStr">
        <is>
          <t>플뢰르캐논</t>
        </is>
      </c>
      <c r="I688" s="29">
        <f>IFERROR(__xludf.DUMMYFUNCTION("GOOGLETRANSLATE(J688,""zh_HANS"",""zh_HANT"")"),"花朵加農炮")</f>
        <v/>
      </c>
      <c r="J688" s="29" t="inlineStr">
        <is>
          <t>花朵加农炮</t>
        </is>
      </c>
      <c r="K688" s="29">
        <f>F688</f>
        <v/>
      </c>
    </row>
    <row r="689">
      <c r="A689" s="29">
        <f>CONCATENATE("NAME_MOVE_", SUBSTITUTE(SUBSTITUTE(UPPER(B689), " ", ""), "-", ""))</f>
        <v/>
      </c>
      <c r="B689" s="29" t="inlineStr">
        <is>
          <t>Psychic Fangs</t>
        </is>
      </c>
      <c r="C689" s="29" t="inlineStr">
        <is>
          <t>サイコファング</t>
        </is>
      </c>
      <c r="D689" s="29" t="inlineStr">
        <is>
          <t>Psycho-Croc</t>
        </is>
      </c>
      <c r="E689" s="29" t="inlineStr">
        <is>
          <t>Psychobeißer</t>
        </is>
      </c>
      <c r="F689" s="29" t="inlineStr">
        <is>
          <t>Psicocolmillo</t>
        </is>
      </c>
      <c r="G689" s="29" t="inlineStr">
        <is>
          <t>Psicozanna</t>
        </is>
      </c>
      <c r="H689" s="29" t="inlineStr">
        <is>
          <t>사이코팽</t>
        </is>
      </c>
      <c r="I689" s="29">
        <f>IFERROR(__xludf.DUMMYFUNCTION("GOOGLETRANSLATE(J689,""zh_HANS"",""zh_HANT"")"),"精神之牙")</f>
        <v/>
      </c>
      <c r="J689" s="29" t="inlineStr">
        <is>
          <t>精神之牙</t>
        </is>
      </c>
      <c r="K689" s="29">
        <f>F689</f>
        <v/>
      </c>
    </row>
    <row r="690">
      <c r="A690" s="29">
        <f>CONCATENATE("NAME_MOVE_", SUBSTITUTE(SUBSTITUTE(UPPER(B690), " ", ""), "-", ""))</f>
        <v/>
      </c>
      <c r="B690" s="29" t="inlineStr">
        <is>
          <t>Stomping Tantrum</t>
        </is>
      </c>
      <c r="C690" s="29" t="inlineStr">
        <is>
          <t>じだんだ</t>
        </is>
      </c>
      <c r="D690" s="29" t="inlineStr">
        <is>
          <t>Trépignement</t>
        </is>
      </c>
      <c r="E690" s="29" t="inlineStr">
        <is>
          <t>Fruststampfer</t>
        </is>
      </c>
      <c r="F690" s="29" t="inlineStr">
        <is>
          <t>Pataleta</t>
        </is>
      </c>
      <c r="G690" s="29" t="inlineStr">
        <is>
          <t>Battipiedi</t>
        </is>
      </c>
      <c r="H690" s="29" t="inlineStr">
        <is>
          <t>분함의발구르기</t>
        </is>
      </c>
      <c r="I690" s="29">
        <f>IFERROR(__xludf.DUMMYFUNCTION("GOOGLETRANSLATE(J690,""zh_HANS"",""zh_HANT"")"),"跺腳")</f>
        <v/>
      </c>
      <c r="J690" s="29" t="inlineStr">
        <is>
          <t>跺脚</t>
        </is>
      </c>
      <c r="K690" s="29">
        <f>F690</f>
        <v/>
      </c>
    </row>
    <row r="691">
      <c r="A691" s="29">
        <f>CONCATENATE("NAME_MOVE_", SUBSTITUTE(SUBSTITUTE(UPPER(B691), " ", ""), "-", ""))</f>
        <v/>
      </c>
      <c r="B691" s="29" t="inlineStr">
        <is>
          <t>Shadow Bone</t>
        </is>
      </c>
      <c r="C691" s="29" t="inlineStr">
        <is>
          <t>シャドーボール</t>
        </is>
      </c>
      <c r="D691" s="29" t="inlineStr">
        <is>
          <t>Os Ombre</t>
        </is>
      </c>
      <c r="E691" s="29" t="inlineStr">
        <is>
          <t>Schattenknochen</t>
        </is>
      </c>
      <c r="F691" s="29" t="inlineStr">
        <is>
          <t>Hueso Sombrío</t>
        </is>
      </c>
      <c r="G691" s="29" t="inlineStr">
        <is>
          <t>Ossotetro</t>
        </is>
      </c>
      <c r="H691" s="29" t="inlineStr">
        <is>
          <t>섀도본</t>
        </is>
      </c>
      <c r="I691" s="29">
        <f>IFERROR(__xludf.DUMMYFUNCTION("GOOGLETRANSLATE(J691,""zh_HANS"",""zh_HANT"")"),"暗影之骨")</f>
        <v/>
      </c>
      <c r="J691" s="29" t="inlineStr">
        <is>
          <t>暗影之骨</t>
        </is>
      </c>
      <c r="K691" s="29">
        <f>F691</f>
        <v/>
      </c>
    </row>
    <row r="692">
      <c r="A692" s="29">
        <f>CONCATENATE("NAME_MOVE_", SUBSTITUTE(SUBSTITUTE(UPPER(B692), " ", ""), "-", ""))</f>
        <v/>
      </c>
      <c r="B692" s="29" t="inlineStr">
        <is>
          <t>Accelerock</t>
        </is>
      </c>
      <c r="C692" s="29" t="inlineStr">
        <is>
          <t>アクセルロック</t>
        </is>
      </c>
      <c r="D692" s="29" t="inlineStr">
        <is>
          <t>Vif Roc</t>
        </is>
      </c>
      <c r="E692" s="29" t="inlineStr">
        <is>
          <t>Turbofelsen</t>
        </is>
      </c>
      <c r="F692" s="29" t="inlineStr">
        <is>
          <t>Roca Veloz</t>
        </is>
      </c>
      <c r="G692" s="29" t="inlineStr">
        <is>
          <t>Rocciarapida</t>
        </is>
      </c>
      <c r="H692" s="29" t="inlineStr">
        <is>
          <t>액셀록</t>
        </is>
      </c>
      <c r="I692" s="29">
        <f>IFERROR(__xludf.DUMMYFUNCTION("GOOGLETRANSLATE(J692,""zh_HANS"",""zh_HANT"")"),"衝岩")</f>
        <v/>
      </c>
      <c r="J692" s="29" t="inlineStr">
        <is>
          <t>冲岩</t>
        </is>
      </c>
      <c r="K692" s="29">
        <f>F692</f>
        <v/>
      </c>
    </row>
    <row r="693">
      <c r="A693" s="29">
        <f>CONCATENATE("NAME_MOVE_", SUBSTITUTE(SUBSTITUTE(UPPER(B693), " ", ""), "-", ""))</f>
        <v/>
      </c>
      <c r="B693" s="29" t="inlineStr">
        <is>
          <t>Liquidation</t>
        </is>
      </c>
      <c r="C693" s="29" t="inlineStr">
        <is>
          <t>アクアブレイク</t>
        </is>
      </c>
      <c r="D693" s="29" t="inlineStr">
        <is>
          <t>Aqua-Brèche</t>
        </is>
      </c>
      <c r="E693" s="29" t="inlineStr">
        <is>
          <t>Aquadurchstoß</t>
        </is>
      </c>
      <c r="F693" s="29" t="inlineStr">
        <is>
          <t>Hidroariete</t>
        </is>
      </c>
      <c r="G693" s="29" t="inlineStr">
        <is>
          <t>Idrobreccia</t>
        </is>
      </c>
      <c r="H693" s="29" t="inlineStr">
        <is>
          <t>아쿠아브레이크</t>
        </is>
      </c>
      <c r="I693" s="29">
        <f>IFERROR(__xludf.DUMMYFUNCTION("GOOGLETRANSLATE(J693,""zh_HANS"",""zh_HANT"")"),"水流裂破")</f>
        <v/>
      </c>
      <c r="J693" s="29" t="inlineStr">
        <is>
          <t>水流裂破</t>
        </is>
      </c>
      <c r="K693" s="29">
        <f>F693</f>
        <v/>
      </c>
    </row>
    <row r="694">
      <c r="A694" s="29">
        <f>CONCATENATE("NAME_MOVE_", SUBSTITUTE(SUBSTITUTE(UPPER(B694), " ", ""), "-", ""))</f>
        <v/>
      </c>
      <c r="B694" s="29" t="inlineStr">
        <is>
          <t>Prismatic Laser</t>
        </is>
      </c>
      <c r="C694" s="29" t="inlineStr">
        <is>
          <t>プリズムレーザー</t>
        </is>
      </c>
      <c r="D694" s="29" t="inlineStr">
        <is>
          <t>Laser Prisme</t>
        </is>
      </c>
      <c r="E694" s="29" t="inlineStr">
        <is>
          <t>Prisma-Laser</t>
        </is>
      </c>
      <c r="F694" s="29" t="inlineStr">
        <is>
          <t>Láser Prisma</t>
        </is>
      </c>
      <c r="G694" s="29" t="inlineStr">
        <is>
          <t>Prismalaser</t>
        </is>
      </c>
      <c r="H694" s="29" t="inlineStr">
        <is>
          <t>프리즘레이저</t>
        </is>
      </c>
      <c r="I694" s="29">
        <f>IFERROR(__xludf.DUMMYFUNCTION("GOOGLETRANSLATE(J694,""zh_HANS"",""zh_HANT"")"),"棱鏡鐳射")</f>
        <v/>
      </c>
      <c r="J694" s="29" t="inlineStr">
        <is>
          <t>棱镜镭射</t>
        </is>
      </c>
      <c r="K694" s="29">
        <f>F694</f>
        <v/>
      </c>
    </row>
    <row r="695">
      <c r="A695" s="29">
        <f>CONCATENATE("NAME_MOVE_", SUBSTITUTE(SUBSTITUTE(UPPER(B695), " ", ""), "-", ""))</f>
        <v/>
      </c>
      <c r="B695" s="29" t="inlineStr">
        <is>
          <t>Spectral Thief</t>
        </is>
      </c>
      <c r="C695" s="29" t="inlineStr">
        <is>
          <t>シャドースチール</t>
        </is>
      </c>
      <c r="D695" s="29" t="inlineStr">
        <is>
          <t>Clepto-Mânes</t>
        </is>
      </c>
      <c r="E695" s="29" t="inlineStr">
        <is>
          <t>Diebesschatten</t>
        </is>
      </c>
      <c r="F695" s="29" t="inlineStr">
        <is>
          <t>Robasombra</t>
        </is>
      </c>
      <c r="G695" s="29" t="inlineStr">
        <is>
          <t>Ombrafurto</t>
        </is>
      </c>
      <c r="H695" s="29" t="inlineStr">
        <is>
          <t>섀도스틸</t>
        </is>
      </c>
      <c r="I695" s="29">
        <f>IFERROR(__xludf.DUMMYFUNCTION("GOOGLETRANSLATE(J695,""zh_HANS"",""zh_HANT"")"),"暗影偷竊")</f>
        <v/>
      </c>
      <c r="J695" s="29" t="inlineStr">
        <is>
          <t>暗影偷盗</t>
        </is>
      </c>
      <c r="K695" s="29">
        <f>F695</f>
        <v/>
      </c>
    </row>
    <row r="696">
      <c r="A696" s="29">
        <f>CONCATENATE("NAME_MOVE_", SUBSTITUTE(SUBSTITUTE(UPPER(B696), " ", ""), "-", ""))</f>
        <v/>
      </c>
      <c r="B696" s="29" t="inlineStr">
        <is>
          <t>Sunsteel Strike</t>
        </is>
      </c>
      <c r="C696" s="29" t="inlineStr">
        <is>
          <t>メテオドライブ</t>
        </is>
      </c>
      <c r="D696" s="29" t="inlineStr">
        <is>
          <t>Choc Météore</t>
        </is>
      </c>
      <c r="E696" s="29" t="inlineStr">
        <is>
          <t>Stahlgestirn</t>
        </is>
      </c>
      <c r="F696" s="29" t="inlineStr">
        <is>
          <t>Meteoimpacto</t>
        </is>
      </c>
      <c r="G696" s="29" t="inlineStr">
        <is>
          <t>Astrocarica</t>
        </is>
      </c>
      <c r="H696" s="29" t="inlineStr">
        <is>
          <t>메테오드라이브</t>
        </is>
      </c>
      <c r="I696" s="29">
        <f>IFERROR(__xludf.DUMMYFUNCTION("GOOGLETRANSLATE(J696,""zh_HANS"",""zh_HANT"")"),"流星閃衝")</f>
        <v/>
      </c>
      <c r="J696" s="29" t="inlineStr">
        <is>
          <t>流星闪冲</t>
        </is>
      </c>
      <c r="K696" s="29">
        <f>F696</f>
        <v/>
      </c>
    </row>
    <row r="697">
      <c r="A697" s="29">
        <f>CONCATENATE("NAME_MOVE_", SUBSTITUTE(SUBSTITUTE(UPPER(B697), " ", ""), "-", ""))</f>
        <v/>
      </c>
      <c r="B697" s="29" t="inlineStr">
        <is>
          <t>Moongeist Beam</t>
        </is>
      </c>
      <c r="C697" s="29" t="inlineStr">
        <is>
          <t>シャドーレイ</t>
        </is>
      </c>
      <c r="D697" s="29" t="inlineStr">
        <is>
          <t>Rayon Spectral</t>
        </is>
      </c>
      <c r="E697" s="29" t="inlineStr">
        <is>
          <t>Schattenstrahl</t>
        </is>
      </c>
      <c r="F697" s="29" t="inlineStr">
        <is>
          <t>Rayo Umbrío</t>
        </is>
      </c>
      <c r="G697" s="29" t="inlineStr">
        <is>
          <t>Raggio d'Ombra</t>
        </is>
      </c>
      <c r="H697" s="29" t="inlineStr">
        <is>
          <t>섀도레이</t>
        </is>
      </c>
      <c r="I697" s="29">
        <f>IFERROR(__xludf.DUMMYFUNCTION("GOOGLETRANSLATE(J697,""zh_HANS"",""zh_HANT"")"),"暗影之光")</f>
        <v/>
      </c>
      <c r="J697" s="29" t="inlineStr">
        <is>
          <t>暗影之光</t>
        </is>
      </c>
      <c r="K697" s="29">
        <f>F697</f>
        <v/>
      </c>
    </row>
    <row r="698">
      <c r="A698" s="29">
        <f>CONCATENATE("NAME_MOVE_", SUBSTITUTE(SUBSTITUTE(UPPER(B698), " ", ""), "-", ""))</f>
        <v/>
      </c>
      <c r="B698" s="29" t="inlineStr">
        <is>
          <t>Tearful Look</t>
        </is>
      </c>
      <c r="C698" s="29" t="inlineStr">
        <is>
          <t>なみだめ</t>
        </is>
      </c>
      <c r="D698" s="29" t="inlineStr">
        <is>
          <t>Larme à l'Œil</t>
        </is>
      </c>
      <c r="E698" s="29" t="inlineStr">
        <is>
          <t>Tränendrüse</t>
        </is>
      </c>
      <c r="F698" s="29" t="inlineStr">
        <is>
          <t>Ojos Llorosos</t>
        </is>
      </c>
      <c r="G698" s="29" t="inlineStr">
        <is>
          <t>Occhionilucidi</t>
        </is>
      </c>
      <c r="H698" s="29" t="inlineStr">
        <is>
          <t>눈물그렁그렁</t>
        </is>
      </c>
      <c r="I698" s="29">
        <f>IFERROR(__xludf.DUMMYFUNCTION("GOOGLETRANSLATE(J698,""zh_HANS"",""zh_HANT"")"),"淚眼汪汪")</f>
        <v/>
      </c>
      <c r="J698" s="29" t="inlineStr">
        <is>
          <t>泪眼汪汪</t>
        </is>
      </c>
      <c r="K698" s="29">
        <f>F698</f>
        <v/>
      </c>
    </row>
    <row r="699">
      <c r="A699" s="29">
        <f>CONCATENATE("NAME_MOVE_", SUBSTITUTE(SUBSTITUTE(UPPER(B699), " ", ""), "-", ""))</f>
        <v/>
      </c>
      <c r="B699" s="29" t="inlineStr">
        <is>
          <t>Zing Zap</t>
        </is>
      </c>
      <c r="C699" s="29" t="inlineStr">
        <is>
          <t>びりびりちくちき</t>
        </is>
      </c>
      <c r="D699" s="29" t="inlineStr">
        <is>
          <t>Électrikipik</t>
        </is>
      </c>
      <c r="E699" s="29" t="inlineStr">
        <is>
          <t>Elektropikser</t>
        </is>
      </c>
      <c r="F699" s="29" t="inlineStr">
        <is>
          <t>Electropunzada</t>
        </is>
      </c>
      <c r="G699" s="29" t="inlineStr">
        <is>
          <t>Elettropizzico</t>
        </is>
      </c>
      <c r="H699" s="29" t="inlineStr">
        <is>
          <t>찌리리따끔따끔</t>
        </is>
      </c>
      <c r="I699" s="29">
        <f>IFERROR(__xludf.DUMMYFUNCTION("GOOGLETRANSLATE(J699,""zh_HANS"",""zh_HANT"")"),"麻麻刺刺")</f>
        <v/>
      </c>
      <c r="J699" s="29" t="inlineStr">
        <is>
          <t>麻麻刺刺</t>
        </is>
      </c>
      <c r="K699" s="29">
        <f>F699</f>
        <v/>
      </c>
    </row>
    <row r="700">
      <c r="A700" s="29" t="inlineStr">
        <is>
          <t>NAME_MOVE_NATURESMADNESS</t>
        </is>
      </c>
      <c r="B700" s="29" t="inlineStr">
        <is>
          <t>Nature's Madness</t>
        </is>
      </c>
      <c r="C700" s="29" t="inlineStr">
        <is>
          <t>しぜんのいかり</t>
        </is>
      </c>
      <c r="D700" s="29" t="inlineStr">
        <is>
          <t>Ire de la Nature</t>
        </is>
      </c>
      <c r="E700" s="29" t="inlineStr">
        <is>
          <t>Naturzorn</t>
        </is>
      </c>
      <c r="F700" s="29" t="inlineStr">
        <is>
          <t>Furia Natural</t>
        </is>
      </c>
      <c r="G700" s="29" t="inlineStr">
        <is>
          <t>Ira della Natura</t>
        </is>
      </c>
      <c r="H700" s="4" t="inlineStr">
        <is>
          <t>자연의분노</t>
        </is>
      </c>
      <c r="I700" s="6" t="inlineStr">
        <is>
          <t>自然之怒</t>
        </is>
      </c>
      <c r="J700" s="29">
        <f>I700</f>
        <v/>
      </c>
      <c r="K700" s="29">
        <f>F700</f>
        <v/>
      </c>
    </row>
    <row r="701">
      <c r="A701" s="29">
        <f>CONCATENATE("NAME_MOVE_", SUBSTITUTE(SUBSTITUTE(UPPER(B701), " ", ""), "-", ""))</f>
        <v/>
      </c>
      <c r="B701" s="29" t="inlineStr">
        <is>
          <t>Multi-Attack</t>
        </is>
      </c>
      <c r="C701" s="29" t="inlineStr">
        <is>
          <t>マルチアタック</t>
        </is>
      </c>
      <c r="D701" s="29" t="inlineStr">
        <is>
          <t>Coup Varia-Type</t>
        </is>
      </c>
      <c r="E701" s="29" t="inlineStr">
        <is>
          <t>Multi-Angriff</t>
        </is>
      </c>
      <c r="F701" s="29" t="inlineStr">
        <is>
          <t>Multiataque</t>
        </is>
      </c>
      <c r="G701" s="29" t="inlineStr">
        <is>
          <t>Multiattacco</t>
        </is>
      </c>
      <c r="H701" s="29" t="inlineStr">
        <is>
          <t>멀티어택</t>
        </is>
      </c>
      <c r="I701" s="29" t="inlineStr">
        <is>
          <t>多屬性攻擊</t>
        </is>
      </c>
      <c r="J701" s="29">
        <f>IFERROR(__xludf.DUMMYFUNCTION("GOOGLETRANSLATE(I701,""zh_HANT"",""zh_HANS"")"),"多属性攻击")</f>
        <v/>
      </c>
      <c r="K701" s="29">
        <f>F701</f>
        <v/>
      </c>
    </row>
    <row r="702">
      <c r="A702" s="29">
        <f>CONCATENATE("NAME_MOVE_", SUBSTITUTE(SUBSTITUTE(UPPER(B702), " ", ""), "-", ""))</f>
        <v/>
      </c>
      <c r="B702" s="29" t="inlineStr">
        <is>
          <t>10,000,000 Volt Thunderbolt</t>
        </is>
      </c>
      <c r="C702" s="29" t="inlineStr">
        <is>
          <t>１０００まんボルト</t>
        </is>
      </c>
      <c r="D702" s="29" t="inlineStr">
        <is>
          <t>Giga-Tonnerre</t>
        </is>
      </c>
      <c r="E702" s="29" t="inlineStr">
        <is>
          <t>Tausendfacher Donnerblitz</t>
        </is>
      </c>
      <c r="F702" s="29" t="inlineStr">
        <is>
          <t>Gigarrayo Fulminante</t>
        </is>
      </c>
      <c r="G702" s="29" t="inlineStr">
        <is>
          <t>Iperfulmine</t>
        </is>
      </c>
      <c r="H702" s="29" t="inlineStr">
        <is>
          <t>１０００만볼트</t>
        </is>
      </c>
      <c r="I702" s="29" t="inlineStr">
        <is>
          <t>千萬伏特</t>
        </is>
      </c>
      <c r="J702" s="29">
        <f>IFERROR(__xludf.DUMMYFUNCTION("GOOGLETRANSLATE(I702,""zh_HANT"",""zh_HANS"")"),"千万伏特")</f>
        <v/>
      </c>
      <c r="K702" s="29">
        <f>F702</f>
        <v/>
      </c>
    </row>
    <row r="703">
      <c r="A703" s="29">
        <f>CONCATENATE("NAME_MOVE_", SUBSTITUTE(SUBSTITUTE(UPPER(B703), " ", ""), "-", ""))</f>
        <v/>
      </c>
      <c r="B703" s="29" t="inlineStr">
        <is>
          <t>Mind Blown</t>
        </is>
      </c>
      <c r="C703" s="29" t="inlineStr">
        <is>
          <t>ビックリヘッド</t>
        </is>
      </c>
      <c r="D703" s="29" t="inlineStr">
        <is>
          <t>Caboche-Kaboum</t>
        </is>
      </c>
      <c r="E703" s="29" t="inlineStr">
        <is>
          <t>Knallkopf</t>
        </is>
      </c>
      <c r="F703" s="29" t="inlineStr">
        <is>
          <t>Cabeza Sorpresa</t>
        </is>
      </c>
      <c r="G703" s="29" t="inlineStr">
        <is>
          <t>Sbalorditesta</t>
        </is>
      </c>
      <c r="H703" s="29" t="inlineStr">
        <is>
          <t>깜짝헤드</t>
        </is>
      </c>
      <c r="I703" s="29" t="inlineStr">
        <is>
          <t>驚爆大頭</t>
        </is>
      </c>
      <c r="J703" s="29">
        <f>IFERROR(__xludf.DUMMYFUNCTION("GOOGLETRANSLATE(I703,""zh_HANT"",""zh_HANS"")"),"惊爆大头")</f>
        <v/>
      </c>
      <c r="K703" s="29">
        <f>F703</f>
        <v/>
      </c>
    </row>
    <row r="704">
      <c r="A704" s="29">
        <f>CONCATENATE("NAME_MOVE_", SUBSTITUTE(SUBSTITUTE(UPPER(B704), " ", ""), "-", ""))</f>
        <v/>
      </c>
      <c r="B704" s="29" t="inlineStr">
        <is>
          <t>Plasma Fists</t>
        </is>
      </c>
      <c r="C704" s="29" t="inlineStr">
        <is>
          <t>プラズマフィスト</t>
        </is>
      </c>
      <c r="D704" s="29" t="inlineStr">
        <is>
          <t>Plasma Punch</t>
        </is>
      </c>
      <c r="E704" s="29" t="inlineStr">
        <is>
          <t>Plasmafäuste</t>
        </is>
      </c>
      <c r="F704" s="29" t="inlineStr">
        <is>
          <t>Puños Plasma</t>
        </is>
      </c>
      <c r="G704" s="29" t="inlineStr">
        <is>
          <t>Pugni Plasma</t>
        </is>
      </c>
      <c r="H704" s="29" t="inlineStr">
        <is>
          <t>플라스마피스트</t>
        </is>
      </c>
      <c r="I704" s="29" t="inlineStr">
        <is>
          <t>等離子閃電拳</t>
        </is>
      </c>
      <c r="J704" s="29">
        <f>IFERROR(__xludf.DUMMYFUNCTION("GOOGLETRANSLATE(I704,""zh_HANT"",""zh_HANS"")"),"等离子闪电拳")</f>
        <v/>
      </c>
      <c r="K704" s="29">
        <f>F704</f>
        <v/>
      </c>
    </row>
    <row r="705">
      <c r="A705" s="29">
        <f>CONCATENATE("NAME_MOVE_", SUBSTITUTE(SUBSTITUTE(UPPER(B705), " ", ""), "-", ""))</f>
        <v/>
      </c>
      <c r="B705" s="29" t="inlineStr">
        <is>
          <t>Photon Geyser</t>
        </is>
      </c>
      <c r="C705" s="29" t="inlineStr">
        <is>
          <t>フォトンゲイザー</t>
        </is>
      </c>
      <c r="D705" s="29" t="inlineStr">
        <is>
          <t>Photo-Geyser</t>
        </is>
      </c>
      <c r="E705" s="29" t="inlineStr">
        <is>
          <t>Photonen-Geysir</t>
        </is>
      </c>
      <c r="F705" s="29" t="inlineStr">
        <is>
          <t>Géiser Fotónico</t>
        </is>
      </c>
      <c r="G705" s="29" t="inlineStr">
        <is>
          <t>Geyser Fotonico</t>
        </is>
      </c>
      <c r="H705" s="29" t="inlineStr">
        <is>
          <t>포톤가이저</t>
        </is>
      </c>
      <c r="I705" s="29" t="inlineStr">
        <is>
          <t>光子噴湧</t>
        </is>
      </c>
      <c r="J705" s="29">
        <f>IFERROR(__xludf.DUMMYFUNCTION("GOOGLETRANSLATE(I705,""zh_HANT"",""zh_HANS"")"),"光子喷涌")</f>
        <v/>
      </c>
      <c r="K705" s="29">
        <f>F705</f>
        <v/>
      </c>
    </row>
    <row r="706">
      <c r="A706" s="29">
        <f>CONCATENATE("NAME_MOVE_", SUBSTITUTE(SUBSTITUTE(UPPER(B706), " ", ""), "-", ""))</f>
        <v/>
      </c>
      <c r="B706" s="29" t="inlineStr">
        <is>
          <t>Light That Burns the Sky</t>
        </is>
      </c>
      <c r="C706" s="29" t="inlineStr">
        <is>
          <t>天焦がす滅亡の光</t>
        </is>
      </c>
      <c r="D706" s="29" t="inlineStr">
        <is>
          <t>Apocalypsis Luminis</t>
        </is>
      </c>
      <c r="E706" s="29" t="inlineStr">
        <is>
          <t>Licht des Erlöschens</t>
        </is>
      </c>
      <c r="F706" s="29" t="inlineStr">
        <is>
          <t>Fotodestrucción Apocalíptica</t>
        </is>
      </c>
      <c r="G706" s="29" t="inlineStr">
        <is>
          <t>Fotodistruzione Apocalittica</t>
        </is>
      </c>
      <c r="H706" s="29" t="inlineStr">
        <is>
          <t>하늘을태우는멸망의빛</t>
        </is>
      </c>
      <c r="I706" s="29" t="inlineStr">
        <is>
          <t>焚天滅世熾光爆</t>
        </is>
      </c>
      <c r="J706" s="29">
        <f>IFERROR(__xludf.DUMMYFUNCTION("GOOGLETRANSLATE(I706,""zh_HANT"",""zh_HANS"")"),"焚天灭世炽光爆")</f>
        <v/>
      </c>
      <c r="K706" s="29">
        <f>F706</f>
        <v/>
      </c>
    </row>
    <row r="707">
      <c r="A707" s="29">
        <f>CONCATENATE("NAME_MOVE_", SUBSTITUTE(SUBSTITUTE(UPPER(B707), " ", ""), "-", ""))</f>
        <v/>
      </c>
      <c r="B707" s="29" t="inlineStr">
        <is>
          <t>Searing Sunraze Smash</t>
        </is>
      </c>
      <c r="C707" s="29" t="inlineStr">
        <is>
          <t>サンシャインスマッシャー</t>
        </is>
      </c>
      <c r="D707" s="29" t="inlineStr">
        <is>
          <t>Hélio-Choc Dévastateur</t>
        </is>
      </c>
      <c r="E707" s="29" t="inlineStr">
        <is>
          <t>Schmetternde Sonnenwalze</t>
        </is>
      </c>
      <c r="F707" s="29" t="inlineStr">
        <is>
          <t>Embestida Solar</t>
        </is>
      </c>
      <c r="G707" s="29" t="inlineStr">
        <is>
          <t>Supercollisione Solare</t>
        </is>
      </c>
      <c r="H707" s="29" t="inlineStr">
        <is>
          <t>선샤인스매셔</t>
        </is>
      </c>
      <c r="I707" s="29" t="inlineStr">
        <is>
          <t>日光迴旋下蒼穹</t>
        </is>
      </c>
      <c r="J707" s="29">
        <f>IFERROR(__xludf.DUMMYFUNCTION("GOOGLETRANSLATE(I707,""zh_HANT"",""zh_HANS"")"),"日光回旋下苍穹")</f>
        <v/>
      </c>
      <c r="K707" s="29">
        <f>F707</f>
        <v/>
      </c>
    </row>
    <row r="708">
      <c r="A708" s="29">
        <f>CONCATENATE("NAME_MOVE_", SUBSTITUTE(SUBSTITUTE(UPPER(B708), " ", ""), "-", ""))</f>
        <v/>
      </c>
      <c r="B708" s="29" t="inlineStr">
        <is>
          <t>Menacing Moonraze Maelstrom</t>
        </is>
      </c>
      <c r="C708" s="29" t="inlineStr">
        <is>
          <t>ムーンライトブラスター</t>
        </is>
      </c>
      <c r="D708" s="29" t="inlineStr">
        <is>
          <t>Rayons Séléno-Explosifs</t>
        </is>
      </c>
      <c r="E708" s="29" t="inlineStr">
        <is>
          <t>Geballter Mondlaser</t>
        </is>
      </c>
      <c r="F708" s="29" t="inlineStr">
        <is>
          <t>Deflagración Lunar</t>
        </is>
      </c>
      <c r="G708" s="29" t="inlineStr">
        <is>
          <t>Deflagrazione Lunare</t>
        </is>
      </c>
      <c r="H708" s="29" t="inlineStr">
        <is>
          <t>문라이트블래스터</t>
        </is>
      </c>
      <c r="I708" s="29" t="inlineStr">
        <is>
          <t>月華飛濺落靈霄</t>
        </is>
      </c>
      <c r="J708" s="29">
        <f>IFERROR(__xludf.DUMMYFUNCTION("GOOGLETRANSLATE(I708,""zh_HANT"",""zh_HANS"")"),"月华飞溅落灵霄")</f>
        <v/>
      </c>
      <c r="K708" s="29">
        <f>F708</f>
        <v/>
      </c>
    </row>
    <row r="709">
      <c r="A709" s="29" t="inlineStr">
        <is>
          <t>NAME_MOVE_LETSSNUGGLEFOREVER</t>
        </is>
      </c>
      <c r="B709" s="29" t="inlineStr">
        <is>
          <t>Let's Snuggle Forever</t>
        </is>
      </c>
      <c r="C709" s="29" t="inlineStr">
        <is>
          <t>ぽかぼかフレンドタイム</t>
        </is>
      </c>
      <c r="D709" s="29" t="inlineStr">
        <is>
          <t>Patati-Patattrape</t>
        </is>
      </c>
      <c r="E709" s="29" t="inlineStr">
        <is>
          <t>Herzliche Knuddelkloppe</t>
        </is>
      </c>
      <c r="F709" s="29" t="inlineStr">
        <is>
          <t>Somanta Amistosa</t>
        </is>
      </c>
      <c r="G709" s="29" t="inlineStr">
        <is>
          <t>Dolcesacco di Botte</t>
        </is>
      </c>
      <c r="H709" s="29" t="inlineStr">
        <is>
          <t>투닥투닥프렌드타임</t>
        </is>
      </c>
      <c r="I709" s="29" t="inlineStr">
        <is>
          <t>親密無間大亂揍</t>
        </is>
      </c>
      <c r="J709" s="29">
        <f>IFERROR(__xludf.DUMMYFUNCTION("GOOGLETRANSLATE(I709,""zh_HANT"",""zh_HANS"")"),"亲密无间大乱揍")</f>
        <v/>
      </c>
      <c r="K709" s="29">
        <f>F709</f>
        <v/>
      </c>
    </row>
    <row r="710">
      <c r="A710" s="29">
        <f>CONCATENATE("NAME_MOVE_", SUBSTITUTE(SUBSTITUTE(UPPER(B710), " ", ""), "-", ""))</f>
        <v/>
      </c>
      <c r="B710" s="29" t="inlineStr">
        <is>
          <t>Splintered Stormshards</t>
        </is>
      </c>
      <c r="C710" s="29" t="inlineStr">
        <is>
          <t>ラジアルエッジストーム</t>
        </is>
      </c>
      <c r="D710" s="29" t="inlineStr">
        <is>
          <t>Hurlement des Roches-Lames</t>
        </is>
      </c>
      <c r="E710" s="29" t="inlineStr">
        <is>
          <t>Fataler Steinregen</t>
        </is>
      </c>
      <c r="F710" s="29" t="inlineStr">
        <is>
          <t>Tempestad Rocosa</t>
        </is>
      </c>
      <c r="G710" s="29" t="inlineStr">
        <is>
          <t>Litotempesta Radiale</t>
        </is>
      </c>
      <c r="H710" s="29" t="inlineStr">
        <is>
          <t>레이디얼에지스톰</t>
        </is>
      </c>
      <c r="I710" s="29" t="inlineStr">
        <is>
          <t>狼嘯石牙颶風暴</t>
        </is>
      </c>
      <c r="J710" s="29">
        <f>IFERROR(__xludf.DUMMYFUNCTION("GOOGLETRANSLATE(I710,""zh_HANT"",""zh_HANS"")"),"狼啸石牙飓风暴")</f>
        <v/>
      </c>
      <c r="K710" s="29">
        <f>F710</f>
        <v/>
      </c>
    </row>
    <row r="711">
      <c r="A711" s="29">
        <f>CONCATENATE("NAME_MOVE_", SUBSTITUTE(SUBSTITUTE(UPPER(B711), " ", ""), "-", ""))</f>
        <v/>
      </c>
      <c r="B711" s="29" t="inlineStr">
        <is>
          <t>Clangorous Soulblaze</t>
        </is>
      </c>
      <c r="C711" s="29" t="inlineStr">
        <is>
          <t>ブレイジングソウルビート</t>
        </is>
      </c>
      <c r="D711" s="29" t="inlineStr">
        <is>
          <t>Dracacophonie Flamboyante</t>
        </is>
      </c>
      <c r="E711" s="29" t="inlineStr">
        <is>
          <t>Rasselnder Seelentanz</t>
        </is>
      </c>
      <c r="F711" s="29" t="inlineStr">
        <is>
          <t>Estruendo Implacable</t>
        </is>
      </c>
      <c r="G711" s="29" t="inlineStr">
        <is>
          <t>Dracofonia Divampante</t>
        </is>
      </c>
      <c r="H711" s="29" t="inlineStr">
        <is>
          <t>브레이징소울비트</t>
        </is>
      </c>
      <c r="I711" s="29" t="inlineStr">
        <is>
          <t>熾魂熱舞烈音爆</t>
        </is>
      </c>
      <c r="J711" s="29">
        <f>IFERROR(__xludf.DUMMYFUNCTION("GOOGLETRANSLATE(I711,""zh_HANT"",""zh_HANS"")"),"炽魂热舞烈音爆")</f>
        <v/>
      </c>
      <c r="K711" s="29">
        <f>F711</f>
        <v/>
      </c>
    </row>
    <row r="712">
      <c r="A712" s="29">
        <f>CONCATENATE("NAME_MOVE_", SUBSTITUTE(SUBSTITUTE(UPPER(B712), " ", ""), "-", ""))</f>
        <v/>
      </c>
      <c r="B712" s="29" t="inlineStr">
        <is>
          <t>Zippy Zap</t>
        </is>
      </c>
      <c r="C712" s="29" t="inlineStr">
        <is>
          <t>ばちばちアクセル</t>
        </is>
      </c>
      <c r="D712" s="29" t="inlineStr">
        <is>
          <t>Pika-Sprint</t>
        </is>
      </c>
      <c r="E712" s="29" t="inlineStr">
        <is>
          <t>Britzelturbo</t>
        </is>
      </c>
      <c r="F712" s="29" t="inlineStr">
        <is>
          <t>Pikaturbo</t>
        </is>
      </c>
      <c r="G712" s="29" t="inlineStr">
        <is>
          <t>Sprintaboom</t>
        </is>
      </c>
      <c r="H712" s="29" t="inlineStr">
        <is>
          <t>파찌파찌액셀</t>
        </is>
      </c>
      <c r="I712" s="29" t="inlineStr">
        <is>
          <t>電電加速</t>
        </is>
      </c>
      <c r="J712" s="29">
        <f>IFERROR(__xludf.DUMMYFUNCTION("GOOGLETRANSLATE(I712,""zh_HANT"",""zh_HANS"")"),"电电加速")</f>
        <v/>
      </c>
      <c r="K712" s="29">
        <f>F712</f>
        <v/>
      </c>
    </row>
    <row r="713">
      <c r="A713" s="29">
        <f>CONCATENATE("NAME_MOVE_", SUBSTITUTE(SUBSTITUTE(UPPER(B713), " ", ""), "-", ""))</f>
        <v/>
      </c>
      <c r="B713" s="29" t="inlineStr">
        <is>
          <t>Splishy Splash</t>
        </is>
      </c>
      <c r="C713" s="29" t="inlineStr">
        <is>
          <t>ざぶざぶサーフ</t>
        </is>
      </c>
      <c r="D713" s="29" t="inlineStr">
        <is>
          <t>Pika-Splash</t>
        </is>
      </c>
      <c r="E713" s="29" t="inlineStr">
        <is>
          <t>Plätschersurfer</t>
        </is>
      </c>
      <c r="F713" s="29" t="inlineStr">
        <is>
          <t>Salpikasurf</t>
        </is>
      </c>
      <c r="G713" s="29" t="inlineStr">
        <is>
          <t>Surfasplash</t>
        </is>
      </c>
      <c r="H713" s="29" t="inlineStr">
        <is>
          <t>참방참방서핑</t>
        </is>
      </c>
      <c r="I713" s="29" t="inlineStr">
        <is>
          <t>滔滔衝浪</t>
        </is>
      </c>
      <c r="J713" s="29">
        <f>IFERROR(__xludf.DUMMYFUNCTION("GOOGLETRANSLATE(I713,""zh_HANT"",""zh_HANS"")"),"滔滔冲浪")</f>
        <v/>
      </c>
      <c r="K713" s="29">
        <f>F713</f>
        <v/>
      </c>
    </row>
    <row r="714">
      <c r="A714" s="29">
        <f>CONCATENATE("NAME_MOVE_", SUBSTITUTE(SUBSTITUTE(UPPER(B714), " ", ""), "-", ""))</f>
        <v/>
      </c>
      <c r="B714" s="29" t="inlineStr">
        <is>
          <t>Floaty Fall</t>
        </is>
      </c>
      <c r="C714" s="29" t="inlineStr">
        <is>
          <t>ふわふわフォール</t>
        </is>
      </c>
      <c r="D714" s="29" t="inlineStr">
        <is>
          <t>Pika-Piqué</t>
        </is>
      </c>
      <c r="E714" s="29" t="inlineStr">
        <is>
          <t>Schwebesturz</t>
        </is>
      </c>
      <c r="F714" s="29" t="inlineStr">
        <is>
          <t>Pikapicado</t>
        </is>
      </c>
      <c r="G714" s="29" t="inlineStr">
        <is>
          <t>Piombaflap</t>
        </is>
      </c>
      <c r="H714" s="29" t="inlineStr">
        <is>
          <t>둥실둥실폴</t>
        </is>
      </c>
      <c r="I714" s="29" t="inlineStr">
        <is>
          <t>飄飄墜落</t>
        </is>
      </c>
      <c r="J714" s="29">
        <f>IFERROR(__xludf.DUMMYFUNCTION("GOOGLETRANSLATE(I714,""zh_HANT"",""zh_HANS"")"),"飘飘坠落")</f>
        <v/>
      </c>
      <c r="K714" s="29">
        <f>F714</f>
        <v/>
      </c>
    </row>
    <row r="715">
      <c r="A715" s="29">
        <f>CONCATENATE("NAME_MOVE_", SUBSTITUTE(SUBSTITUTE(UPPER(B715), " ", ""), "-", ""))</f>
        <v/>
      </c>
      <c r="B715" s="29" t="inlineStr">
        <is>
          <t>Pika Papow</t>
        </is>
      </c>
      <c r="C715" s="29" t="inlineStr">
        <is>
          <t>ピカピカサンダー</t>
        </is>
      </c>
      <c r="D715" s="29" t="inlineStr">
        <is>
          <t>Pika-Fracas</t>
        </is>
      </c>
      <c r="E715" s="29" t="inlineStr">
        <is>
          <t>Pika-Flash</t>
        </is>
      </c>
      <c r="F715" s="29" t="inlineStr">
        <is>
          <t>Pikatormenta</t>
        </is>
      </c>
      <c r="G715" s="29" t="inlineStr">
        <is>
          <t>Pikasaetta</t>
        </is>
      </c>
      <c r="H715" s="29" t="inlineStr">
        <is>
          <t>피카피카썬더</t>
        </is>
      </c>
      <c r="I715" s="29" t="inlineStr">
        <is>
          <t>閃閃雷光</t>
        </is>
      </c>
      <c r="J715" s="29">
        <f>IFERROR(__xludf.DUMMYFUNCTION("GOOGLETRANSLATE(I715,""zh_HANT"",""zh_HANS"")"),"闪闪雷光")</f>
        <v/>
      </c>
      <c r="K715" s="29">
        <f>F715</f>
        <v/>
      </c>
    </row>
    <row r="716">
      <c r="A716" s="29">
        <f>CONCATENATE("NAME_MOVE_", SUBSTITUTE(SUBSTITUTE(UPPER(B716), " ", ""), "-", ""))</f>
        <v/>
      </c>
      <c r="B716" s="29" t="inlineStr">
        <is>
          <t>Bouncy Bubble</t>
        </is>
      </c>
      <c r="C716" s="29" t="inlineStr">
        <is>
          <t>いきいきバブル</t>
        </is>
      </c>
      <c r="D716" s="29" t="inlineStr">
        <is>
          <t>Évo-Thalasso</t>
        </is>
      </c>
      <c r="E716" s="29" t="inlineStr">
        <is>
          <t>Blubbsauger</t>
        </is>
      </c>
      <c r="F716" s="29" t="inlineStr">
        <is>
          <t>Vapodrenaje</t>
        </is>
      </c>
      <c r="G716" s="29" t="inlineStr">
        <is>
          <t>Bollaslurp</t>
        </is>
      </c>
      <c r="H716" s="29" t="inlineStr">
        <is>
          <t>생생버블</t>
        </is>
      </c>
      <c r="I716" s="29" t="inlineStr">
        <is>
          <t>活活氣泡</t>
        </is>
      </c>
      <c r="J716" s="29">
        <f>IFERROR(__xludf.DUMMYFUNCTION("GOOGLETRANSLATE(I716,""zh_HANT"",""zh_HANS"")"),"活活气泡")</f>
        <v/>
      </c>
      <c r="K716" s="29">
        <f>F716</f>
        <v/>
      </c>
    </row>
    <row r="717">
      <c r="A717" s="29">
        <f>CONCATENATE("NAME_MOVE_", SUBSTITUTE(SUBSTITUTE(UPPER(B717), " ", ""), "-", ""))</f>
        <v/>
      </c>
      <c r="B717" s="29" t="inlineStr">
        <is>
          <t>Buzzy Buzz</t>
        </is>
      </c>
      <c r="C717" s="29" t="inlineStr">
        <is>
          <t>びりびりエレキ</t>
        </is>
      </c>
      <c r="D717" s="29" t="inlineStr">
        <is>
          <t>Évo-Dynamo</t>
        </is>
      </c>
      <c r="E717" s="29" t="inlineStr">
        <is>
          <t>Knisterladung</t>
        </is>
      </c>
      <c r="F717" s="29" t="inlineStr">
        <is>
          <t>Joltioparálisis</t>
        </is>
      </c>
      <c r="G717" s="29" t="inlineStr">
        <is>
          <t>Elettrozap</t>
        </is>
      </c>
      <c r="H717" s="29" t="inlineStr">
        <is>
          <t>찌릿찌릿일렉</t>
        </is>
      </c>
      <c r="I717" s="29" t="inlineStr">
        <is>
          <t>麻麻電擊</t>
        </is>
      </c>
      <c r="J717" s="29">
        <f>IFERROR(__xludf.DUMMYFUNCTION("GOOGLETRANSLATE(I717,""zh_HANT"",""zh_HANS"")"),"麻麻电击")</f>
        <v/>
      </c>
      <c r="K717" s="29">
        <f>F717</f>
        <v/>
      </c>
    </row>
    <row r="718">
      <c r="A718" s="29">
        <f>CONCATENATE("NAME_MOVE_", SUBSTITUTE(SUBSTITUTE(UPPER(B718), " ", ""), "-", ""))</f>
        <v/>
      </c>
      <c r="B718" s="29" t="inlineStr">
        <is>
          <t>Sizzly Slide</t>
        </is>
      </c>
      <c r="C718" s="29" t="inlineStr">
        <is>
          <t>めらめらバーン</t>
        </is>
      </c>
      <c r="D718" s="29" t="inlineStr">
        <is>
          <t>Évo-Flambo</t>
        </is>
      </c>
      <c r="E718" s="29" t="inlineStr">
        <is>
          <t>Flackerbrand</t>
        </is>
      </c>
      <c r="F718" s="29" t="inlineStr">
        <is>
          <t>Flarembestida</t>
        </is>
      </c>
      <c r="G718" s="29" t="inlineStr">
        <is>
          <t>Fiammabam</t>
        </is>
      </c>
      <c r="H718" s="29" t="inlineStr">
        <is>
          <t>이글이글번</t>
        </is>
      </c>
      <c r="I718" s="29" t="inlineStr">
        <is>
          <t>熊熊火爆</t>
        </is>
      </c>
      <c r="J718" s="29">
        <f>I718</f>
        <v/>
      </c>
      <c r="K718" s="29">
        <f>F718</f>
        <v/>
      </c>
    </row>
    <row r="719">
      <c r="A719" s="29">
        <f>CONCATENATE("NAME_MOVE_", SUBSTITUTE(SUBSTITUTE(UPPER(B719), " ", ""), "-", ""))</f>
        <v/>
      </c>
      <c r="B719" s="29" t="inlineStr">
        <is>
          <t>Glitzy Glow</t>
        </is>
      </c>
      <c r="C719" s="29" t="inlineStr">
        <is>
          <t>どばどばオーラ</t>
        </is>
      </c>
      <c r="D719" s="29" t="inlineStr">
        <is>
          <t>Évo-Psycho</t>
        </is>
      </c>
      <c r="E719" s="29" t="inlineStr">
        <is>
          <t>Pulsieraura</t>
        </is>
      </c>
      <c r="F719" s="29" t="inlineStr">
        <is>
          <t>Espeaura</t>
        </is>
      </c>
      <c r="G719" s="29" t="inlineStr">
        <is>
          <t>Auraswoosh</t>
        </is>
      </c>
      <c r="H719" s="29" t="inlineStr">
        <is>
          <t>콸콸오라</t>
        </is>
      </c>
      <c r="I719" s="29" t="inlineStr">
        <is>
          <t>嘩嘩氣場</t>
        </is>
      </c>
      <c r="J719" s="29">
        <f>IFERROR(__xludf.DUMMYFUNCTION("GOOGLETRANSLATE(I719,""zh_HANT"",""zh_HANS"")"),"哗哗气场")</f>
        <v/>
      </c>
      <c r="K719" s="29">
        <f>F719</f>
        <v/>
      </c>
    </row>
    <row r="720">
      <c r="A720" s="29">
        <f>CONCATENATE("NAME_MOVE_", SUBSTITUTE(SUBSTITUTE(UPPER(B720), " ", ""), "-", ""))</f>
        <v/>
      </c>
      <c r="B720" s="29" t="inlineStr">
        <is>
          <t>Baddy Bad</t>
        </is>
      </c>
      <c r="C720" s="29" t="inlineStr">
        <is>
          <t>わるわるゾーン</t>
        </is>
      </c>
      <c r="D720" s="29" t="inlineStr">
        <is>
          <t>Évo-Ténébro</t>
        </is>
      </c>
      <c r="E720" s="29" t="inlineStr">
        <is>
          <t>Quälzone</t>
        </is>
      </c>
      <c r="F720" s="29" t="inlineStr">
        <is>
          <t>Umbreozona</t>
        </is>
      </c>
      <c r="G720" s="29" t="inlineStr">
        <is>
          <t>Zona Buiabuia</t>
        </is>
      </c>
      <c r="H720" s="29" t="inlineStr">
        <is>
          <t>아그아그존</t>
        </is>
      </c>
      <c r="I720" s="29" t="inlineStr">
        <is>
          <t>壞壞領域</t>
        </is>
      </c>
      <c r="J720" s="29">
        <f>IFERROR(__xludf.DUMMYFUNCTION("GOOGLETRANSLATE(I720,""zh_HANT"",""zh_HANS"")"),"坏坏领域")</f>
        <v/>
      </c>
      <c r="K720" s="29">
        <f>F720</f>
        <v/>
      </c>
    </row>
    <row r="721">
      <c r="A721" s="29">
        <f>CONCATENATE("NAME_MOVE_", SUBSTITUTE(SUBSTITUTE(UPPER(B721), " ", ""), "-", ""))</f>
        <v/>
      </c>
      <c r="B721" s="29" t="inlineStr">
        <is>
          <t>Sappy Seed</t>
        </is>
      </c>
      <c r="C721" s="29" t="inlineStr">
        <is>
          <t>すくすくボンパー</t>
        </is>
      </c>
      <c r="D721" s="29" t="inlineStr">
        <is>
          <t>Évo-Écolo</t>
        </is>
      </c>
      <c r="E721" s="29" t="inlineStr">
        <is>
          <t>Sprießomben</t>
        </is>
      </c>
      <c r="F721" s="29" t="inlineStr">
        <is>
          <t>Leafitobombas</t>
        </is>
      </c>
      <c r="G721" s="29" t="inlineStr">
        <is>
          <t>Bombafrush</t>
        </is>
      </c>
      <c r="H721" s="29" t="inlineStr">
        <is>
          <t>쑥쑥봄버</t>
        </is>
      </c>
      <c r="I721" s="29" t="inlineStr">
        <is>
          <t>茁茁轟炸</t>
        </is>
      </c>
      <c r="J721" s="29" t="inlineStr">
        <is>
          <t>茁茁炸弹</t>
        </is>
      </c>
      <c r="K721" s="29">
        <f>F721</f>
        <v/>
      </c>
    </row>
    <row r="722">
      <c r="A722" s="29">
        <f>CONCATENATE("NAME_MOVE_", SUBSTITUTE(SUBSTITUTE(UPPER(B722), " ", ""), "-", ""))</f>
        <v/>
      </c>
      <c r="B722" s="29" t="inlineStr">
        <is>
          <t>Freezy Frost</t>
        </is>
      </c>
      <c r="C722" s="29" t="inlineStr">
        <is>
          <t>こちこちフロスト</t>
        </is>
      </c>
      <c r="D722" s="29" t="inlineStr">
        <is>
          <t>Évo-Congélo</t>
        </is>
      </c>
      <c r="E722" s="29" t="inlineStr">
        <is>
          <t>Klirrfrost</t>
        </is>
      </c>
      <c r="F722" s="29" t="inlineStr">
        <is>
          <t>Glaceoprisma</t>
        </is>
      </c>
      <c r="G722" s="29" t="inlineStr">
        <is>
          <t>Scricchiagelo</t>
        </is>
      </c>
      <c r="H722" s="29" t="inlineStr">
        <is>
          <t>꽁꽁프로스트</t>
        </is>
      </c>
      <c r="I722" s="29" t="inlineStr">
        <is>
          <t>冰冰霜凍</t>
        </is>
      </c>
      <c r="J722" s="29">
        <f>IFERROR(__xludf.DUMMYFUNCTION("GOOGLETRANSLATE(I722,""zh_HANT"",""zh_HANS"")"),"冰冰霜冻")</f>
        <v/>
      </c>
      <c r="K722" s="29">
        <f>F722</f>
        <v/>
      </c>
    </row>
    <row r="723">
      <c r="A723" s="29">
        <f>CONCATENATE("NAME_MOVE_", SUBSTITUTE(SUBSTITUTE(UPPER(B723), " ", ""), "-", ""))</f>
        <v/>
      </c>
      <c r="B723" s="29" t="inlineStr">
        <is>
          <t>Sparkly Swirl</t>
        </is>
      </c>
      <c r="C723" s="29" t="inlineStr">
        <is>
          <t>きらきらストーム</t>
        </is>
      </c>
      <c r="D723" s="29" t="inlineStr">
        <is>
          <t>Évo-Fabulo</t>
        </is>
      </c>
      <c r="E723" s="29" t="inlineStr">
        <is>
          <t>Glitzersturm</t>
        </is>
      </c>
      <c r="F723" s="29" t="inlineStr">
        <is>
          <t>Sylveotornado</t>
        </is>
      </c>
      <c r="G723" s="29" t="inlineStr">
        <is>
          <t>Sbrilluccibufera</t>
        </is>
      </c>
      <c r="H723" s="29" t="inlineStr">
        <is>
          <t>반짝반짝스톰</t>
        </is>
      </c>
      <c r="I723" s="29" t="inlineStr">
        <is>
          <t>亮亮風暴</t>
        </is>
      </c>
      <c r="J723" s="29">
        <f>IFERROR(__xludf.DUMMYFUNCTION("GOOGLETRANSLATE(I723,""zh_HANT"",""zh_HANS"")"),"亮亮风暴")</f>
        <v/>
      </c>
      <c r="K723" s="29">
        <f>F723</f>
        <v/>
      </c>
    </row>
    <row r="724">
      <c r="A724" s="29">
        <f>CONCATENATE("NAME_MOVE_", SUBSTITUTE(SUBSTITUTE(UPPER(B724), " ", ""), "-", ""))</f>
        <v/>
      </c>
      <c r="B724" s="29" t="inlineStr">
        <is>
          <t>Veevee Volley</t>
        </is>
      </c>
      <c r="C724" s="29" t="inlineStr">
        <is>
          <t>ブイブイブレイク</t>
        </is>
      </c>
      <c r="D724" s="29" t="inlineStr">
        <is>
          <t>Évo-Chardasso</t>
        </is>
      </c>
      <c r="E724" s="29" t="inlineStr">
        <is>
          <t>Evo-Crash</t>
        </is>
      </c>
      <c r="F724" s="29" t="inlineStr">
        <is>
          <t>Eeveimpacto</t>
        </is>
      </c>
      <c r="G724" s="29" t="inlineStr">
        <is>
          <t>Eeveempatto</t>
        </is>
      </c>
      <c r="H724" s="29" t="inlineStr">
        <is>
          <t>브이브이브레이크</t>
        </is>
      </c>
      <c r="I724" s="29" t="inlineStr">
        <is>
          <t>砰砰撃破</t>
        </is>
      </c>
      <c r="J724" s="29">
        <f>IFERROR(__xludf.DUMMYFUNCTION("GOOGLETRANSLATE(I724,""zh_HANT"",""zh_HANS"")"),"砰砰撃破")</f>
        <v/>
      </c>
      <c r="K724" s="29">
        <f>F724</f>
        <v/>
      </c>
    </row>
    <row r="725">
      <c r="A725" s="29">
        <f>CONCATENATE("NAME_MOVE_", SUBSTITUTE(SUBSTITUTE(UPPER(B725), " ", ""), "-", ""))</f>
        <v/>
      </c>
      <c r="B725" s="29" t="inlineStr">
        <is>
          <t>Double Iron Bash</t>
        </is>
      </c>
      <c r="C725" s="29" t="inlineStr">
        <is>
          <t>ダブルパンシャー</t>
        </is>
      </c>
      <c r="D725" s="29" t="inlineStr">
        <is>
          <t>Écrous d'Poing</t>
        </is>
      </c>
      <c r="E725" s="29" t="inlineStr">
        <is>
          <t>Panzerfäuste</t>
        </is>
      </c>
      <c r="F725" s="29" t="inlineStr">
        <is>
          <t>Ferropuño Doble</t>
        </is>
      </c>
      <c r="G725" s="29" t="inlineStr">
        <is>
          <t>Pugni Corazzati</t>
        </is>
      </c>
      <c r="H725" s="29" t="inlineStr">
        <is>
          <t>더블펀처</t>
        </is>
      </c>
      <c r="I725" s="29" t="inlineStr">
        <is>
          <t>鋼拳雙擊</t>
        </is>
      </c>
      <c r="J725" s="29">
        <f>IFERROR(__xludf.DUMMYFUNCTION("GOOGLETRANSLATE(I725,""zh_HANT"",""zh_HANS"")"),"钢拳双击")</f>
        <v/>
      </c>
      <c r="K725" s="29">
        <f>F725</f>
        <v/>
      </c>
    </row>
    <row r="726">
      <c r="A726" s="29">
        <f>CONCATENATE("NAME_MOVE_", SUBSTITUTE(SUBSTITUTE(UPPER(B726), " ", ""), "-", ""))</f>
        <v/>
      </c>
      <c r="B726" s="29" t="inlineStr">
        <is>
          <t>Max Guard</t>
        </is>
      </c>
      <c r="C726" s="29" t="inlineStr">
        <is>
          <t>ダイウォール</t>
        </is>
      </c>
      <c r="D726" s="29" t="inlineStr">
        <is>
          <t>Gardomax</t>
        </is>
      </c>
      <c r="E726" s="29" t="inlineStr">
        <is>
          <t>Dyna-Wall</t>
        </is>
      </c>
      <c r="F726" s="29" t="inlineStr">
        <is>
          <t>Maxibarrera</t>
        </is>
      </c>
      <c r="G726" s="29" t="inlineStr">
        <is>
          <t>Dynabarriera</t>
        </is>
      </c>
      <c r="H726" s="29" t="inlineStr">
        <is>
          <t>다이월</t>
        </is>
      </c>
      <c r="I726" s="29" t="inlineStr">
        <is>
          <t>極巨防壁</t>
        </is>
      </c>
      <c r="J726" s="29">
        <f>IFERROR(__xludf.DUMMYFUNCTION("GOOGLETRANSLATE(I726,""zh_HANT"",""zh_HANS"")"),"极巨防壁")</f>
        <v/>
      </c>
      <c r="K726" s="29">
        <f>F726</f>
        <v/>
      </c>
    </row>
    <row r="727">
      <c r="A727" s="29">
        <f>CONCATENATE("NAME_MOVE_", SUBSTITUTE(SUBSTITUTE(UPPER(B727), " ", ""), "-", ""))</f>
        <v/>
      </c>
      <c r="B727" s="29" t="inlineStr">
        <is>
          <t>Dynamax Cannon</t>
        </is>
      </c>
      <c r="C727" s="29" t="inlineStr">
        <is>
          <t>ダイマックスほう</t>
        </is>
      </c>
      <c r="D727" s="29" t="inlineStr">
        <is>
          <t>Canon Dynamax</t>
        </is>
      </c>
      <c r="E727" s="29" t="inlineStr">
        <is>
          <t>Dynamax-Kanone</t>
        </is>
      </c>
      <c r="F727" s="29" t="inlineStr">
        <is>
          <t>Cañón Dinamax</t>
        </is>
      </c>
      <c r="G727" s="29" t="inlineStr">
        <is>
          <t>Cannone Dynamax</t>
        </is>
      </c>
      <c r="H727" s="29" t="inlineStr">
        <is>
          <t>다이맥스포</t>
        </is>
      </c>
      <c r="I727" s="29" t="inlineStr">
        <is>
          <t>極巨炮</t>
        </is>
      </c>
      <c r="J727" s="29">
        <f>IFERROR(__xludf.DUMMYFUNCTION("GOOGLETRANSLATE(I727,""zh_HANT"",""zh_HANS"")"),"极巨炮")</f>
        <v/>
      </c>
      <c r="K727" s="29">
        <f>F727</f>
        <v/>
      </c>
    </row>
    <row r="728">
      <c r="A728" s="29">
        <f>CONCATENATE("NAME_MOVE_", SUBSTITUTE(SUBSTITUTE(UPPER(B728), " ", ""), "-", ""))</f>
        <v/>
      </c>
      <c r="B728" s="29" t="inlineStr">
        <is>
          <t>Snipe Shot</t>
        </is>
      </c>
      <c r="C728" s="29" t="inlineStr">
        <is>
          <t>ねらいうち</t>
        </is>
      </c>
      <c r="D728" s="29" t="inlineStr">
        <is>
          <t>Tir de Précision</t>
        </is>
      </c>
      <c r="E728" s="29" t="inlineStr">
        <is>
          <t>Präisionsschuss</t>
        </is>
      </c>
      <c r="F728" s="29" t="inlineStr">
        <is>
          <t>Disparo Certero</t>
        </is>
      </c>
      <c r="G728" s="29" t="inlineStr">
        <is>
          <t>Tiromirato</t>
        </is>
      </c>
      <c r="H728" s="29" t="inlineStr">
        <is>
          <t>노려맞히기</t>
        </is>
      </c>
      <c r="I728" s="29" t="inlineStr">
        <is>
          <t>狙擊</t>
        </is>
      </c>
      <c r="J728" s="29">
        <f>IFERROR(__xludf.DUMMYFUNCTION("GOOGLETRANSLATE(I728,""zh_HANT"",""zh_HANS"")"),"狙击")</f>
        <v/>
      </c>
      <c r="K728" s="29">
        <f>F728</f>
        <v/>
      </c>
    </row>
    <row r="729">
      <c r="A729" s="29">
        <f>CONCATENATE("NAME_MOVE_", SUBSTITUTE(SUBSTITUTE(UPPER(B729), " ", ""), "-", ""))</f>
        <v/>
      </c>
      <c r="B729" s="29" t="inlineStr">
        <is>
          <t>Jaw Lock</t>
        </is>
      </c>
      <c r="C729" s="29" t="inlineStr">
        <is>
          <t>くらいつく</t>
        </is>
      </c>
      <c r="D729" s="29" t="inlineStr">
        <is>
          <t>Croque Fort</t>
        </is>
      </c>
      <c r="E729" s="29" t="inlineStr">
        <is>
          <t>Fesselbiss</t>
        </is>
      </c>
      <c r="F729" s="29" t="inlineStr">
        <is>
          <t>Presa Maxilar</t>
        </is>
      </c>
      <c r="G729" s="29" t="inlineStr">
        <is>
          <t>Morostretto</t>
        </is>
      </c>
      <c r="H729" s="29" t="inlineStr">
        <is>
          <t>물고버티기</t>
        </is>
      </c>
      <c r="I729" s="29">
        <f>IFERROR(__xludf.DUMMYFUNCTION("GOOGLETRANSLATE(J729,""zh_HANS"",""zh_HANT"")"),"緊咬不放")</f>
        <v/>
      </c>
      <c r="J729" s="29" t="inlineStr">
        <is>
          <t>紧咬不放</t>
        </is>
      </c>
      <c r="K729" s="29">
        <f>F729</f>
        <v/>
      </c>
    </row>
    <row r="730">
      <c r="A730" s="29">
        <f>CONCATENATE("NAME_MOVE_", SUBSTITUTE(SUBSTITUTE(UPPER(B730), " ", ""), "-", ""))</f>
        <v/>
      </c>
      <c r="B730" s="29" t="inlineStr">
        <is>
          <t>Stuff Cheeks</t>
        </is>
      </c>
      <c r="C730" s="29" t="inlineStr">
        <is>
          <t>ほおばる</t>
        </is>
      </c>
      <c r="D730" s="29" t="inlineStr">
        <is>
          <t>Garde-à-Joues</t>
        </is>
      </c>
      <c r="E730" s="29" t="inlineStr">
        <is>
          <t>Backenstopfer</t>
        </is>
      </c>
      <c r="F730" s="29" t="inlineStr">
        <is>
          <t>Atiborramiento</t>
        </is>
      </c>
      <c r="G730" s="29" t="inlineStr">
        <is>
          <t>Riempiguance</t>
        </is>
      </c>
      <c r="H730" s="29" t="inlineStr">
        <is>
          <t>볼가득넣기</t>
        </is>
      </c>
      <c r="I730" s="29">
        <f>IFERROR(__xludf.DUMMYFUNCTION("GOOGLETRANSLATE(J730,""zh_HANS"",""zh_HANT"")"),"大快朵頤")</f>
        <v/>
      </c>
      <c r="J730" s="29" t="inlineStr">
        <is>
          <t>大快朵颐</t>
        </is>
      </c>
      <c r="K730" s="29">
        <f>F730</f>
        <v/>
      </c>
    </row>
    <row r="731">
      <c r="A731" s="29">
        <f>CONCATENATE("NAME_MOVE_", SUBSTITUTE(SUBSTITUTE(UPPER(B731), " ", ""), "-", ""))</f>
        <v/>
      </c>
      <c r="B731" s="29" t="inlineStr">
        <is>
          <t>No Retreat</t>
        </is>
      </c>
      <c r="C731" s="29" t="inlineStr">
        <is>
          <t>はいすいのじん</t>
        </is>
      </c>
      <c r="D731" s="29" t="inlineStr">
        <is>
          <t>Ultime Bastion</t>
        </is>
      </c>
      <c r="E731" s="29" t="inlineStr">
        <is>
          <t>Finalformation</t>
        </is>
      </c>
      <c r="F731" s="29" t="inlineStr">
        <is>
          <t>Bastión Final</t>
        </is>
      </c>
      <c r="G731" s="29" t="inlineStr">
        <is>
          <t>Spalle al Muro</t>
        </is>
      </c>
      <c r="H731" s="29" t="inlineStr">
        <is>
          <t>배수의진</t>
        </is>
      </c>
      <c r="I731" s="29">
        <f>IFERROR(__xludf.DUMMYFUNCTION("GOOGLETRANSLATE(J731,""zh_HANS"",""zh_HANT"")"),"背水一戰")</f>
        <v/>
      </c>
      <c r="J731" s="29" t="inlineStr">
        <is>
          <t>背水一战</t>
        </is>
      </c>
      <c r="K731" s="29">
        <f>F731</f>
        <v/>
      </c>
    </row>
    <row r="732">
      <c r="A732" s="29">
        <f>CONCATENATE("NAME_MOVE_", SUBSTITUTE(SUBSTITUTE(UPPER(B732), " ", ""), "-", ""))</f>
        <v/>
      </c>
      <c r="B732" s="29" t="inlineStr">
        <is>
          <t>Tar Shot</t>
        </is>
      </c>
      <c r="C732" s="29" t="inlineStr">
        <is>
          <t>タールショット</t>
        </is>
      </c>
      <c r="D732" s="29" t="inlineStr">
        <is>
          <t>Goudronnage</t>
        </is>
      </c>
      <c r="E732" s="29" t="inlineStr">
        <is>
          <t>Teerschuss</t>
        </is>
      </c>
      <c r="F732" s="29" t="inlineStr">
        <is>
          <t>Alquitranazo</t>
        </is>
      </c>
      <c r="G732" s="29" t="inlineStr">
        <is>
          <t>Colpocatrame</t>
        </is>
      </c>
      <c r="H732" s="29" t="inlineStr">
        <is>
          <t>타르숏</t>
        </is>
      </c>
      <c r="I732" s="29">
        <f>IFERROR(__xludf.DUMMYFUNCTION("GOOGLETRANSLATE(J732,""zh_HANS"",""zh_HANT"")"),"瀝青射擊")</f>
        <v/>
      </c>
      <c r="J732" s="29" t="inlineStr">
        <is>
          <t>沥青射击</t>
        </is>
      </c>
      <c r="K732" s="29">
        <f>F732</f>
        <v/>
      </c>
    </row>
    <row r="733">
      <c r="A733" s="29">
        <f>CONCATENATE("NAME_MOVE_", SUBSTITUTE(SUBSTITUTE(UPPER(B733), " ", ""), "-", ""))</f>
        <v/>
      </c>
      <c r="B733" s="29" t="inlineStr">
        <is>
          <t>Magic Powder</t>
        </is>
      </c>
      <c r="C733" s="29" t="inlineStr">
        <is>
          <t>まほうのこな</t>
        </is>
      </c>
      <c r="D733" s="29" t="inlineStr">
        <is>
          <t>Poudre Magique</t>
        </is>
      </c>
      <c r="E733" s="29" t="inlineStr">
        <is>
          <t>Magiepuder</t>
        </is>
      </c>
      <c r="F733" s="29" t="inlineStr">
        <is>
          <t>Polvo Mágico</t>
        </is>
      </c>
      <c r="G733" s="29" t="inlineStr">
        <is>
          <t>Magipolvere</t>
        </is>
      </c>
      <c r="H733" s="29" t="inlineStr">
        <is>
          <t>마법가루</t>
        </is>
      </c>
      <c r="I733" s="29">
        <f>IFERROR(__xludf.DUMMYFUNCTION("GOOGLETRANSLATE(J733,""zh_HANS"",""zh_HANT"")"),"魔法粉")</f>
        <v/>
      </c>
      <c r="J733" s="29" t="inlineStr">
        <is>
          <t>魔法粉</t>
        </is>
      </c>
      <c r="K733" s="29">
        <f>F733</f>
        <v/>
      </c>
    </row>
    <row r="734">
      <c r="A734" s="29">
        <f>CONCATENATE("NAME_MOVE_", SUBSTITUTE(SUBSTITUTE(UPPER(B734), " ", ""), "-", ""))</f>
        <v/>
      </c>
      <c r="B734" s="29" t="inlineStr">
        <is>
          <t>Dragon Darts</t>
        </is>
      </c>
      <c r="C734" s="29" t="inlineStr">
        <is>
          <t>ドラゴンアロー</t>
        </is>
      </c>
      <c r="D734" s="29" t="inlineStr">
        <is>
          <t>Draco-Flèches</t>
        </is>
      </c>
      <c r="E734" s="29" t="inlineStr">
        <is>
          <t>Drachenpfeile</t>
        </is>
      </c>
      <c r="F734" s="29" t="inlineStr">
        <is>
          <t>Dracoflechas</t>
        </is>
      </c>
      <c r="G734" s="29" t="inlineStr">
        <is>
          <t>Dragofrecce</t>
        </is>
      </c>
      <c r="H734" s="29" t="inlineStr">
        <is>
          <t>드래곤애로</t>
        </is>
      </c>
      <c r="I734" s="29" t="inlineStr">
        <is>
          <t>龍箭</t>
        </is>
      </c>
      <c r="J734" s="29">
        <f>IFERROR(__xludf.DUMMYFUNCTION("GOOGLETRANSLATE(I734,""zh_HANT"",""zh_HANS"")"),"龙箭")</f>
        <v/>
      </c>
      <c r="K734" s="29">
        <f>F734</f>
        <v/>
      </c>
    </row>
    <row r="735">
      <c r="A735" s="29">
        <f>CONCATENATE("NAME_MOVE_", SUBSTITUTE(SUBSTITUTE(UPPER(B735), " ", ""), "-", ""))</f>
        <v/>
      </c>
      <c r="B735" s="29" t="inlineStr">
        <is>
          <t>Teatime</t>
        </is>
      </c>
      <c r="C735" s="29" t="inlineStr">
        <is>
          <t>おちゃかい</t>
        </is>
      </c>
      <c r="D735" s="29" t="inlineStr">
        <is>
          <t>Thérémonie</t>
        </is>
      </c>
      <c r="E735" s="29">
        <f>B735</f>
        <v/>
      </c>
      <c r="F735" s="29" t="inlineStr">
        <is>
          <t>Hora del Té</t>
        </is>
      </c>
      <c r="G735" s="29" t="inlineStr">
        <is>
          <t>Ora del Tè</t>
        </is>
      </c>
      <c r="H735" s="29" t="inlineStr">
        <is>
          <t>다과회</t>
        </is>
      </c>
      <c r="I735" s="29" t="inlineStr">
        <is>
          <t>茶會</t>
        </is>
      </c>
      <c r="J735" s="29">
        <f>IFERROR(__xludf.DUMMYFUNCTION("GOOGLETRANSLATE(I735,""zh_HANT"",""zh_HANS"")"),"茶会")</f>
        <v/>
      </c>
      <c r="K735" s="29">
        <f>F735</f>
        <v/>
      </c>
    </row>
    <row r="736">
      <c r="A736" s="29">
        <f>CONCATENATE("NAME_MOVE_", SUBSTITUTE(SUBSTITUTE(UPPER(B736), " ", ""), "-", ""))</f>
        <v/>
      </c>
      <c r="B736" s="29" t="inlineStr">
        <is>
          <t>Octolock</t>
        </is>
      </c>
      <c r="C736" s="29" t="inlineStr">
        <is>
          <t>たこがため</t>
        </is>
      </c>
      <c r="D736" s="29" t="inlineStr">
        <is>
          <t>Octoprise</t>
        </is>
      </c>
      <c r="E736" s="29" t="inlineStr">
        <is>
          <t>Octoklammer</t>
        </is>
      </c>
      <c r="F736" s="29" t="inlineStr">
        <is>
          <t>Octopresa</t>
        </is>
      </c>
      <c r="G736" s="29" t="inlineStr">
        <is>
          <t>Tentacolock</t>
        </is>
      </c>
      <c r="H736" s="29" t="inlineStr">
        <is>
          <t>문어굳히기</t>
        </is>
      </c>
      <c r="I736" s="29" t="inlineStr">
        <is>
          <t>蛸固</t>
        </is>
      </c>
      <c r="J736" s="29">
        <f>I736</f>
        <v/>
      </c>
      <c r="K736" s="29">
        <f>F736</f>
        <v/>
      </c>
    </row>
    <row r="737">
      <c r="A737" s="29">
        <f>CONCATENATE("NAME_MOVE_", SUBSTITUTE(SUBSTITUTE(UPPER(B737), " ", ""), "-", ""))</f>
        <v/>
      </c>
      <c r="B737" s="29" t="inlineStr">
        <is>
          <t>Bolt Beak</t>
        </is>
      </c>
      <c r="C737" s="29" t="inlineStr">
        <is>
          <t>でんげきくちばし</t>
        </is>
      </c>
      <c r="D737" s="29" t="inlineStr">
        <is>
          <t>Prise de Bec</t>
        </is>
      </c>
      <c r="E737" s="29" t="inlineStr">
        <is>
          <t>Schockschnabel</t>
        </is>
      </c>
      <c r="F737" s="29" t="inlineStr">
        <is>
          <t>Electropico</t>
        </is>
      </c>
      <c r="G737" s="29" t="inlineStr">
        <is>
          <t>Beccoshock</t>
        </is>
      </c>
      <c r="H737" s="29" t="inlineStr">
        <is>
          <t>전격부리</t>
        </is>
      </c>
      <c r="I737" s="29" t="inlineStr">
        <is>
          <t>電喙</t>
        </is>
      </c>
      <c r="J737" s="29">
        <f>IFERROR(__xludf.DUMMYFUNCTION("GOOGLETRANSLATE(I737,""zh_HANT"",""zh_HANS"")"),"电喙")</f>
        <v/>
      </c>
      <c r="K737" s="29">
        <f>F737</f>
        <v/>
      </c>
    </row>
    <row r="738">
      <c r="A738" s="29">
        <f>CONCATENATE("NAME_MOVE_", SUBSTITUTE(SUBSTITUTE(UPPER(B738), " ", ""), "-", ""))</f>
        <v/>
      </c>
      <c r="B738" s="29" t="inlineStr">
        <is>
          <t>Fishious Rend</t>
        </is>
      </c>
      <c r="C738" s="29" t="inlineStr">
        <is>
          <t>エラがみ</t>
        </is>
      </c>
      <c r="D738" s="29" t="inlineStr">
        <is>
          <t>Branchicrok</t>
        </is>
      </c>
      <c r="E738" s="29" t="inlineStr">
        <is>
          <t>Kiemenbiss</t>
        </is>
      </c>
      <c r="F738" s="29" t="inlineStr">
        <is>
          <t>Branquibocado</t>
        </is>
      </c>
      <c r="G738" s="29" t="inlineStr">
        <is>
          <t>Branchiomorso</t>
        </is>
      </c>
      <c r="H738" s="29" t="inlineStr">
        <is>
          <t>아가미물기</t>
        </is>
      </c>
      <c r="I738" s="29" t="inlineStr">
        <is>
          <t>鰓咬</t>
        </is>
      </c>
      <c r="J738" s="29">
        <f>IFERROR(__xludf.DUMMYFUNCTION("GOOGLETRANSLATE(I738,""zh_HANT"",""zh_HANS"")"),"鳃咬")</f>
        <v/>
      </c>
      <c r="K738" s="29">
        <f>F738</f>
        <v/>
      </c>
    </row>
    <row r="739">
      <c r="A739" s="29">
        <f>CONCATENATE("NAME_MOVE_", SUBSTITUTE(SUBSTITUTE(UPPER(B739), " ", ""), "-", ""))</f>
        <v/>
      </c>
      <c r="B739" s="29" t="inlineStr">
        <is>
          <t>Court Change</t>
        </is>
      </c>
      <c r="C739" s="29" t="inlineStr">
        <is>
          <t>コートチェンジ</t>
        </is>
      </c>
      <c r="D739" s="29" t="inlineStr">
        <is>
          <t>Change-Côté</t>
        </is>
      </c>
      <c r="E739" s="29" t="inlineStr">
        <is>
          <t>Seitenwechsel</t>
        </is>
      </c>
      <c r="F739" s="29" t="inlineStr">
        <is>
          <t>Cambio de Cancha</t>
        </is>
      </c>
      <c r="G739" s="29" t="inlineStr">
        <is>
          <t>Cambiocampo</t>
        </is>
      </c>
      <c r="H739" s="29" t="inlineStr">
        <is>
          <t>코트체인지</t>
        </is>
      </c>
      <c r="I739" s="29" t="inlineStr">
        <is>
          <t>換場</t>
        </is>
      </c>
      <c r="J739" s="29">
        <f>IFERROR(__xludf.DUMMYFUNCTION("GOOGLETRANSLATE(I739,""zh_HANT"",""zh_HANS"")"),"换场")</f>
        <v/>
      </c>
      <c r="K739" s="29">
        <f>F739</f>
        <v/>
      </c>
    </row>
    <row r="740">
      <c r="A740" s="29">
        <f>CONCATENATE("NAME_MOVE_", SUBSTITUTE(SUBSTITUTE(UPPER(B740), " ", ""), "-", ""))</f>
        <v/>
      </c>
      <c r="B740" s="29" t="inlineStr">
        <is>
          <t>Max Flare</t>
        </is>
      </c>
      <c r="C740" s="29" t="inlineStr">
        <is>
          <t>ダイバーン</t>
        </is>
      </c>
      <c r="D740" s="29" t="inlineStr">
        <is>
          <t>Pyromax</t>
        </is>
      </c>
      <c r="E740" s="29" t="inlineStr">
        <is>
          <t>Dyna-Brand</t>
        </is>
      </c>
      <c r="F740" s="29" t="inlineStr">
        <is>
          <t>Maxignición</t>
        </is>
      </c>
      <c r="G740" s="29" t="inlineStr">
        <is>
          <t>Dynafiammata</t>
        </is>
      </c>
      <c r="H740" s="29" t="inlineStr">
        <is>
          <t>다이번</t>
        </is>
      </c>
      <c r="I740" s="29" t="inlineStr">
        <is>
          <t>極巨火爆</t>
        </is>
      </c>
      <c r="J740" s="29">
        <f>IFERROR(__xludf.DUMMYFUNCTION("GOOGLETRANSLATE(I740,""zh_HANT"",""zh_HANS"")"),"极巨火爆")</f>
        <v/>
      </c>
      <c r="K740" s="29">
        <f>F740</f>
        <v/>
      </c>
    </row>
    <row r="741">
      <c r="A741" s="29">
        <f>CONCATENATE("NAME_MOVE_", SUBSTITUTE(SUBSTITUTE(UPPER(B741), " ", ""), "-", ""))</f>
        <v/>
      </c>
      <c r="B741" s="29" t="inlineStr">
        <is>
          <t>Max Flutterby</t>
        </is>
      </c>
      <c r="C741" s="29" t="inlineStr">
        <is>
          <t>ダイワーム</t>
        </is>
      </c>
      <c r="D741" s="29" t="inlineStr">
        <is>
          <t>Insectomax</t>
        </is>
      </c>
      <c r="E741" s="29" t="inlineStr">
        <is>
          <t>Dyna-Schwarm</t>
        </is>
      </c>
      <c r="F741" s="29" t="inlineStr">
        <is>
          <t>Maxinsecto</t>
        </is>
      </c>
      <c r="G741" s="29" t="inlineStr">
        <is>
          <t>Dynainsetto</t>
        </is>
      </c>
      <c r="H741" s="29" t="inlineStr">
        <is>
          <t>다이웜</t>
        </is>
      </c>
      <c r="I741" s="29" t="inlineStr">
        <is>
          <t>極巨蟲蠱</t>
        </is>
      </c>
      <c r="J741" s="29">
        <f>IFERROR(__xludf.DUMMYFUNCTION("GOOGLETRANSLATE(I741,""zh_HANT"",""zh_HANS"")"),"极巨虫蛊")</f>
        <v/>
      </c>
      <c r="K741" s="29">
        <f>F741</f>
        <v/>
      </c>
    </row>
    <row r="742">
      <c r="A742" s="29">
        <f>CONCATENATE("NAME_MOVE_", SUBSTITUTE(SUBSTITUTE(UPPER(B742), " ", ""), "-", ""))</f>
        <v/>
      </c>
      <c r="B742" s="29" t="inlineStr">
        <is>
          <t>Max Lightning</t>
        </is>
      </c>
      <c r="C742" s="29" t="inlineStr">
        <is>
          <t>ダイサンダー</t>
        </is>
      </c>
      <c r="D742" s="29" t="inlineStr">
        <is>
          <t>Fulguromax</t>
        </is>
      </c>
      <c r="E742" s="29" t="inlineStr">
        <is>
          <t>Dyna-Gewitter</t>
        </is>
      </c>
      <c r="F742" s="29" t="inlineStr">
        <is>
          <t>Maxitormenta</t>
        </is>
      </c>
      <c r="G742" s="29" t="inlineStr">
        <is>
          <t>Dynasaetta</t>
        </is>
      </c>
      <c r="H742" s="29" t="inlineStr">
        <is>
          <t>다이썬더</t>
        </is>
      </c>
      <c r="I742" s="29" t="inlineStr">
        <is>
          <t>極巨閃電</t>
        </is>
      </c>
      <c r="J742" s="29">
        <f>IFERROR(__xludf.DUMMYFUNCTION("GOOGLETRANSLATE(I742,""zh_HANT"",""zh_HANS"")"),"极巨闪电")</f>
        <v/>
      </c>
      <c r="K742" s="29">
        <f>F742</f>
        <v/>
      </c>
    </row>
    <row r="743">
      <c r="A743" s="29">
        <f>CONCATENATE("NAME_MOVE_", SUBSTITUTE(SUBSTITUTE(UPPER(B743), " ", ""), "-", ""))</f>
        <v/>
      </c>
      <c r="B743" s="29" t="inlineStr">
        <is>
          <t>Max Strike</t>
        </is>
      </c>
      <c r="C743" s="29" t="inlineStr">
        <is>
          <t>ダイアタック</t>
        </is>
      </c>
      <c r="D743" s="29" t="inlineStr">
        <is>
          <t>Normalomax</t>
        </is>
      </c>
      <c r="E743" s="29" t="inlineStr">
        <is>
          <t>Dyna-Angriff</t>
        </is>
      </c>
      <c r="F743" s="29" t="inlineStr">
        <is>
          <t>Maxiataque</t>
        </is>
      </c>
      <c r="G743" s="29" t="inlineStr">
        <is>
          <t>Dynattacco</t>
        </is>
      </c>
      <c r="H743" s="29" t="inlineStr">
        <is>
          <t>다이어택</t>
        </is>
      </c>
      <c r="I743" s="29" t="inlineStr">
        <is>
          <t>極巨攻擊</t>
        </is>
      </c>
      <c r="J743" s="29">
        <f>IFERROR(__xludf.DUMMYFUNCTION("GOOGLETRANSLATE(I743,""zh_HANT"",""zh_HANS"")"),"极巨攻击")</f>
        <v/>
      </c>
      <c r="K743" s="29">
        <f>F743</f>
        <v/>
      </c>
    </row>
    <row r="744">
      <c r="A744" s="29">
        <f>CONCATENATE("NAME_MOVE_", SUBSTITUTE(SUBSTITUTE(UPPER(B744), " ", ""), "-", ""))</f>
        <v/>
      </c>
      <c r="B744" s="29" t="inlineStr">
        <is>
          <t>Max Knuckle</t>
        </is>
      </c>
      <c r="C744" s="29" t="inlineStr">
        <is>
          <t>ダイナックル</t>
        </is>
      </c>
      <c r="D744" s="29" t="inlineStr">
        <is>
          <t>Pugilomax</t>
        </is>
      </c>
      <c r="E744" s="29" t="inlineStr">
        <is>
          <t>Dyna-Faust</t>
        </is>
      </c>
      <c r="F744" s="29" t="inlineStr">
        <is>
          <t>Maxipuño</t>
        </is>
      </c>
      <c r="G744" s="29" t="inlineStr">
        <is>
          <t>Dynapungo</t>
        </is>
      </c>
      <c r="H744" s="29" t="inlineStr">
        <is>
          <t>다이너클</t>
        </is>
      </c>
      <c r="I744" s="29" t="inlineStr">
        <is>
          <t>極巨拳鬥</t>
        </is>
      </c>
      <c r="J744" s="29">
        <f>IFERROR(__xludf.DUMMYFUNCTION("GOOGLETRANSLATE(I744,""zh_HANT"",""zh_HANS"")"),"极巨拳斗")</f>
        <v/>
      </c>
      <c r="K744" s="29">
        <f>F744</f>
        <v/>
      </c>
    </row>
    <row r="745">
      <c r="A745" s="29">
        <f>CONCATENATE("NAME_MOVE_", SUBSTITUTE(SUBSTITUTE(UPPER(B745), " ", ""), "-", ""))</f>
        <v/>
      </c>
      <c r="B745" s="29" t="inlineStr">
        <is>
          <t>Max Phantasm</t>
        </is>
      </c>
      <c r="C745" s="29" t="inlineStr">
        <is>
          <t>ダイホロウ</t>
        </is>
      </c>
      <c r="D745" s="29" t="inlineStr">
        <is>
          <t>Spectromax</t>
        </is>
      </c>
      <c r="E745" s="29" t="inlineStr">
        <is>
          <t>Dyna-Spuk</t>
        </is>
      </c>
      <c r="F745" s="29" t="inlineStr">
        <is>
          <t>Maxiespectro</t>
        </is>
      </c>
      <c r="G745" s="29" t="inlineStr">
        <is>
          <t>Dynavuoto</t>
        </is>
      </c>
      <c r="H745" s="29" t="inlineStr">
        <is>
          <t>다이할로우</t>
        </is>
      </c>
      <c r="I745" s="29" t="inlineStr">
        <is>
          <t>極巨幽魂</t>
        </is>
      </c>
      <c r="J745" s="29">
        <f>IFERROR(__xludf.DUMMYFUNCTION("GOOGLETRANSLATE(I745,""zh_HANT"",""zh_HANS"")"),"极巨幽魂")</f>
        <v/>
      </c>
      <c r="K745" s="29">
        <f>F745</f>
        <v/>
      </c>
    </row>
    <row r="746">
      <c r="A746" s="29">
        <f>CONCATENATE("NAME_MOVE_", SUBSTITUTE(SUBSTITUTE(UPPER(B746), " ", ""), "-", ""))</f>
        <v/>
      </c>
      <c r="B746" s="29" t="inlineStr">
        <is>
          <t>Max Hailstorm</t>
        </is>
      </c>
      <c r="C746" s="29" t="inlineStr">
        <is>
          <t>ダイアイス</t>
        </is>
      </c>
      <c r="D746" s="29" t="inlineStr">
        <is>
          <t>Cryomax</t>
        </is>
      </c>
      <c r="E746" s="29" t="inlineStr">
        <is>
          <t>Dyna-Frost</t>
        </is>
      </c>
      <c r="F746" s="29" t="inlineStr">
        <is>
          <t>Maxihelada</t>
        </is>
      </c>
      <c r="G746" s="29" t="inlineStr">
        <is>
          <t>Dynagelo</t>
        </is>
      </c>
      <c r="H746" s="29" t="inlineStr">
        <is>
          <t>다이아이스</t>
        </is>
      </c>
      <c r="I746" s="29" t="inlineStr">
        <is>
          <t>極巨寒冰</t>
        </is>
      </c>
      <c r="J746" s="29">
        <f>IFERROR(__xludf.DUMMYFUNCTION("GOOGLETRANSLATE(I746,""zh_HANT"",""zh_HANS"")"),"极巨寒冰")</f>
        <v/>
      </c>
      <c r="K746" s="29">
        <f>F746</f>
        <v/>
      </c>
    </row>
    <row r="747">
      <c r="A747" s="29">
        <f>CONCATENATE("NAME_MOVE_", SUBSTITUTE(SUBSTITUTE(UPPER(B747), " ", ""), "-", ""))</f>
        <v/>
      </c>
      <c r="B747" s="29" t="inlineStr">
        <is>
          <t>Max Ooze</t>
        </is>
      </c>
      <c r="C747" s="29" t="inlineStr">
        <is>
          <t>ダイアシッド</t>
        </is>
      </c>
      <c r="D747" s="29" t="inlineStr">
        <is>
          <t>Toxinomax</t>
        </is>
      </c>
      <c r="E747" s="29" t="inlineStr">
        <is>
          <t>Dyna-Giftschwall</t>
        </is>
      </c>
      <c r="F747" s="29" t="inlineStr">
        <is>
          <t>Maxiácido</t>
        </is>
      </c>
      <c r="G747" s="29" t="inlineStr">
        <is>
          <t>Dynacorrosione</t>
        </is>
      </c>
      <c r="H747" s="29" t="inlineStr">
        <is>
          <t>다이애시드</t>
        </is>
      </c>
      <c r="I747" s="29" t="inlineStr">
        <is>
          <t>極巨酸毒</t>
        </is>
      </c>
      <c r="J747" s="29">
        <f>IFERROR(__xludf.DUMMYFUNCTION("GOOGLETRANSLATE(I747,""zh_HANT"",""zh_HANS"")"),"极巨酸毒")</f>
        <v/>
      </c>
      <c r="K747" s="29">
        <f>F747</f>
        <v/>
      </c>
    </row>
    <row r="748">
      <c r="A748" s="29">
        <f>CONCATENATE("NAME_MOVE_", SUBSTITUTE(SUBSTITUTE(UPPER(B748), " ", ""), "-", ""))</f>
        <v/>
      </c>
      <c r="B748" s="29" t="inlineStr">
        <is>
          <t>Max Geyser</t>
        </is>
      </c>
      <c r="C748" s="29" t="inlineStr">
        <is>
          <t>ダイストリーム</t>
        </is>
      </c>
      <c r="D748" s="29" t="inlineStr">
        <is>
          <t>Hydromax</t>
        </is>
      </c>
      <c r="E748" s="29" t="inlineStr">
        <is>
          <t>Dyna-Flut</t>
        </is>
      </c>
      <c r="F748" s="29" t="inlineStr">
        <is>
          <t>Maxichorro</t>
        </is>
      </c>
      <c r="G748" s="29" t="inlineStr">
        <is>
          <t>Dynaflusso</t>
        </is>
      </c>
      <c r="H748" s="29" t="inlineStr">
        <is>
          <t>다이스트림</t>
        </is>
      </c>
      <c r="I748" s="29" t="inlineStr">
        <is>
          <t>極巨水流</t>
        </is>
      </c>
      <c r="J748" s="29">
        <f>IFERROR(__xludf.DUMMYFUNCTION("GOOGLETRANSLATE(I748,""zh_HANT"",""zh_HANS"")"),"极巨水流")</f>
        <v/>
      </c>
      <c r="K748" s="29">
        <f>F748</f>
        <v/>
      </c>
    </row>
    <row r="749">
      <c r="A749" s="29">
        <f>CONCATENATE("NAME_MOVE_", SUBSTITUTE(SUBSTITUTE(UPPER(B749), " ", ""), "-", ""))</f>
        <v/>
      </c>
      <c r="B749" s="29" t="inlineStr">
        <is>
          <t>Max Airstream</t>
        </is>
      </c>
      <c r="C749" s="29" t="inlineStr">
        <is>
          <t>ダイジェット</t>
        </is>
      </c>
      <c r="D749" s="29" t="inlineStr">
        <is>
          <t>Aéromax</t>
        </is>
      </c>
      <c r="E749" s="29" t="inlineStr">
        <is>
          <t>Dyna-Düse</t>
        </is>
      </c>
      <c r="F749" s="29" t="inlineStr">
        <is>
          <t>Maxiciclón</t>
        </is>
      </c>
      <c r="G749" s="29" t="inlineStr">
        <is>
          <t>Dynajet</t>
        </is>
      </c>
      <c r="H749" s="29" t="inlineStr">
        <is>
          <t>다이제트</t>
        </is>
      </c>
      <c r="I749" s="29" t="inlineStr">
        <is>
          <t>極巨飛衝</t>
        </is>
      </c>
      <c r="J749" s="29">
        <f>IFERROR(__xludf.DUMMYFUNCTION("GOOGLETRANSLATE(I749,""zh_HANT"",""zh_HANS"")"),"极巨飞冲")</f>
        <v/>
      </c>
      <c r="K749" s="29">
        <f>F749</f>
        <v/>
      </c>
    </row>
    <row r="750">
      <c r="A750" s="29">
        <f>CONCATENATE("NAME_MOVE_", SUBSTITUTE(SUBSTITUTE(UPPER(B750), " ", ""), "-", ""))</f>
        <v/>
      </c>
      <c r="B750" s="29" t="inlineStr">
        <is>
          <t>Max Starfall</t>
        </is>
      </c>
      <c r="C750" s="29" t="inlineStr">
        <is>
          <t>ダイフェアリー</t>
        </is>
      </c>
      <c r="D750" s="29" t="inlineStr">
        <is>
          <t>Enchantomax</t>
        </is>
      </c>
      <c r="E750" s="29" t="inlineStr">
        <is>
          <t>Dyna-Zauber</t>
        </is>
      </c>
      <c r="F750" s="29" t="inlineStr">
        <is>
          <t>Maxiestela</t>
        </is>
      </c>
      <c r="G750" s="29" t="inlineStr">
        <is>
          <t>Dynafata</t>
        </is>
      </c>
      <c r="H750" s="6" t="inlineStr">
        <is>
          <t>다이페어리</t>
        </is>
      </c>
      <c r="I750" s="6" t="inlineStr">
        <is>
          <t>極巨妖精</t>
        </is>
      </c>
      <c r="J750" s="29">
        <f>IFERROR(__xludf.DUMMYFUNCTION("GOOGLETRANSLATE(I750,""zh_HANT"",""zh_HANS"")"),"极巨妖精")</f>
        <v/>
      </c>
      <c r="K750" s="29">
        <f>F750</f>
        <v/>
      </c>
    </row>
    <row r="751">
      <c r="A751" s="29">
        <f>CONCATENATE("NAME_MOVE_", SUBSTITUTE(SUBSTITUTE(UPPER(B751), " ", ""), "-", ""))</f>
        <v/>
      </c>
      <c r="B751" s="29" t="inlineStr">
        <is>
          <t>Max Wyrmwind</t>
        </is>
      </c>
      <c r="C751" s="29" t="inlineStr">
        <is>
          <t>ダイドラグーン</t>
        </is>
      </c>
      <c r="D751" s="29" t="inlineStr">
        <is>
          <t>Dracomax</t>
        </is>
      </c>
      <c r="E751" s="29" t="inlineStr">
        <is>
          <t>Dyna-Wyrm</t>
        </is>
      </c>
      <c r="F751" s="29" t="inlineStr">
        <is>
          <t>Maxidraco</t>
        </is>
      </c>
      <c r="G751" s="29" t="inlineStr">
        <is>
          <t>Dynadragone</t>
        </is>
      </c>
      <c r="H751" s="29" t="inlineStr">
        <is>
          <t>다이드라군</t>
        </is>
      </c>
      <c r="I751" s="29" t="inlineStr">
        <is>
          <t>極巨龍騎</t>
        </is>
      </c>
      <c r="J751" s="29">
        <f>IFERROR(__xludf.DUMMYFUNCTION("GOOGLETRANSLATE(I751,""zh_HANT"",""zh_HANS"")"),"极巨龙骑")</f>
        <v/>
      </c>
      <c r="K751" s="29">
        <f>F751</f>
        <v/>
      </c>
    </row>
    <row r="752">
      <c r="A752" s="29">
        <f>CONCATENATE("NAME_MOVE_", SUBSTITUTE(SUBSTITUTE(UPPER(B752), " ", ""), "-", ""))</f>
        <v/>
      </c>
      <c r="B752" s="29" t="inlineStr">
        <is>
          <t>Max Mindstorm</t>
        </is>
      </c>
      <c r="C752" s="29" t="inlineStr">
        <is>
          <t>ダイサイコ</t>
        </is>
      </c>
      <c r="D752" s="29" t="inlineStr">
        <is>
          <t>Psychomax</t>
        </is>
      </c>
      <c r="E752" s="29" t="inlineStr">
        <is>
          <t>Dyna-Kinese</t>
        </is>
      </c>
      <c r="F752" s="29" t="inlineStr">
        <is>
          <t>Maxionda</t>
        </is>
      </c>
      <c r="G752" s="29" t="inlineStr">
        <is>
          <t>Dynapsiche</t>
        </is>
      </c>
      <c r="H752" s="29" t="inlineStr">
        <is>
          <t>다이사이코</t>
        </is>
      </c>
      <c r="I752" s="29" t="inlineStr">
        <is>
          <t>極巨超能</t>
        </is>
      </c>
      <c r="J752" s="29">
        <f>IFERROR(__xludf.DUMMYFUNCTION("GOOGLETRANSLATE(I752,""zh_HANT"",""zh_HANS"")"),"极巨超能")</f>
        <v/>
      </c>
      <c r="K752" s="29">
        <f>F752</f>
        <v/>
      </c>
    </row>
    <row r="753">
      <c r="A753" s="29">
        <f>CONCATENATE("NAME_MOVE_", SUBSTITUTE(SUBSTITUTE(UPPER(B753), " ", ""), "-", ""))</f>
        <v/>
      </c>
      <c r="B753" s="29" t="inlineStr">
        <is>
          <t>Max Rockfall</t>
        </is>
      </c>
      <c r="C753" s="29" t="inlineStr">
        <is>
          <t>ダイロック</t>
        </is>
      </c>
      <c r="D753" s="29" t="inlineStr">
        <is>
          <t>Lithomax</t>
        </is>
      </c>
      <c r="E753" s="29" t="inlineStr">
        <is>
          <t>Dyna-Brocken</t>
        </is>
      </c>
      <c r="F753" s="29" t="inlineStr">
        <is>
          <t>Maxilito</t>
        </is>
      </c>
      <c r="G753" s="29" t="inlineStr">
        <is>
          <t>Dynamacigno</t>
        </is>
      </c>
      <c r="H753" s="29" t="inlineStr">
        <is>
          <t>다이록</t>
        </is>
      </c>
      <c r="I753" s="29" t="inlineStr">
        <is>
          <t>極巨岩石</t>
        </is>
      </c>
      <c r="J753" s="29">
        <f>IFERROR(__xludf.DUMMYFUNCTION("GOOGLETRANSLATE(I753,""zh_HANT"",""zh_HANS"")"),"极巨岩石")</f>
        <v/>
      </c>
      <c r="K753" s="29">
        <f>F753</f>
        <v/>
      </c>
    </row>
    <row r="754">
      <c r="A754" s="29">
        <f>CONCATENATE("NAME_MOVE_", SUBSTITUTE(SUBSTITUTE(UPPER(B754), " ", ""), "-", ""))</f>
        <v/>
      </c>
      <c r="B754" s="29" t="inlineStr">
        <is>
          <t>Max Quake</t>
        </is>
      </c>
      <c r="C754" s="29" t="inlineStr">
        <is>
          <t>ダイアース</t>
        </is>
      </c>
      <c r="D754" s="29" t="inlineStr">
        <is>
          <t>Sismomax</t>
        </is>
      </c>
      <c r="E754" s="29" t="inlineStr">
        <is>
          <t>Dyna-Erdstoß</t>
        </is>
      </c>
      <c r="F754" s="29" t="inlineStr">
        <is>
          <t>Maxitemblor</t>
        </is>
      </c>
      <c r="G754" s="29" t="inlineStr">
        <is>
          <t>Dynasisma</t>
        </is>
      </c>
      <c r="H754" s="29" t="inlineStr">
        <is>
          <t>다이어스</t>
        </is>
      </c>
      <c r="I754" s="29" t="inlineStr">
        <is>
          <t>極巨大地</t>
        </is>
      </c>
      <c r="J754" s="29">
        <f>IFERROR(__xludf.DUMMYFUNCTION("GOOGLETRANSLATE(I754,""zh_HANT"",""zh_HANS"")"),"极巨大地")</f>
        <v/>
      </c>
      <c r="K754" s="29">
        <f>F754</f>
        <v/>
      </c>
    </row>
    <row r="755">
      <c r="A755" s="29">
        <f>CONCATENATE("NAME_MOVE_", SUBSTITUTE(SUBSTITUTE(UPPER(B755), " ", ""), "-", ""))</f>
        <v/>
      </c>
      <c r="B755" s="29" t="inlineStr">
        <is>
          <t>Max Darkness</t>
        </is>
      </c>
      <c r="C755" s="29" t="inlineStr">
        <is>
          <t>ダイアーク</t>
        </is>
      </c>
      <c r="D755" s="29" t="inlineStr">
        <is>
          <t>Sinistromax</t>
        </is>
      </c>
      <c r="E755" s="29" t="inlineStr">
        <is>
          <t>Dyna-Dunkel</t>
        </is>
      </c>
      <c r="F755" s="29" t="inlineStr">
        <is>
          <t>Maxisombra</t>
        </is>
      </c>
      <c r="G755" s="29" t="inlineStr">
        <is>
          <t>Dynatenebre</t>
        </is>
      </c>
      <c r="H755" s="29" t="inlineStr">
        <is>
          <t>다이아크</t>
        </is>
      </c>
      <c r="I755" s="29" t="inlineStr">
        <is>
          <t>極巨惡霸</t>
        </is>
      </c>
      <c r="J755" s="29">
        <f>IFERROR(__xludf.DUMMYFUNCTION("GOOGLETRANSLATE(I755,""zh_HANT"",""zh_HANS"")"),"极巨恶霸")</f>
        <v/>
      </c>
      <c r="K755" s="29">
        <f>F755</f>
        <v/>
      </c>
    </row>
    <row r="756">
      <c r="A756" s="29">
        <f>CONCATENATE("NAME_MOVE_", SUBSTITUTE(SUBSTITUTE(UPPER(B756), " ", ""), "-", ""))</f>
        <v/>
      </c>
      <c r="B756" s="29" t="inlineStr">
        <is>
          <t>Max Overgrowth</t>
        </is>
      </c>
      <c r="C756" s="29" t="inlineStr">
        <is>
          <t>ダイソウゲン</t>
        </is>
      </c>
      <c r="D756" s="29" t="inlineStr">
        <is>
          <t>Phytomax</t>
        </is>
      </c>
      <c r="E756" s="29" t="inlineStr">
        <is>
          <t>Dyna-Flora</t>
        </is>
      </c>
      <c r="F756" s="29" t="inlineStr">
        <is>
          <t>Maxiflora</t>
        </is>
      </c>
      <c r="G756" s="29" t="inlineStr">
        <is>
          <t>Dynaflora</t>
        </is>
      </c>
      <c r="H756" s="29" t="inlineStr">
        <is>
          <t>다이그래스</t>
        </is>
      </c>
      <c r="I756" s="29" t="inlineStr">
        <is>
          <t>極巨草原</t>
        </is>
      </c>
      <c r="J756" s="29">
        <f>IFERROR(__xludf.DUMMYFUNCTION("GOOGLETRANSLATE(I756,""zh_HANT"",""zh_HANS"")"),"极巨草原")</f>
        <v/>
      </c>
      <c r="K756" s="29">
        <f>F756</f>
        <v/>
      </c>
    </row>
    <row r="757">
      <c r="A757" s="29">
        <f>CONCATENATE("NAME_MOVE_", SUBSTITUTE(SUBSTITUTE(UPPER(B757), " ", ""), "-", ""))</f>
        <v/>
      </c>
      <c r="B757" s="29" t="inlineStr">
        <is>
          <t>Max Steelspike</t>
        </is>
      </c>
      <c r="C757" s="29" t="inlineStr">
        <is>
          <t>ダイスチル</t>
        </is>
      </c>
      <c r="D757" s="29" t="inlineStr">
        <is>
          <t>Métallomax</t>
        </is>
      </c>
      <c r="E757" s="29" t="inlineStr">
        <is>
          <t>Dyna-Stahlzacken</t>
        </is>
      </c>
      <c r="F757" s="29" t="inlineStr">
        <is>
          <t>Maximetal</t>
        </is>
      </c>
      <c r="G757" s="29" t="inlineStr">
        <is>
          <t>Dynametallo</t>
        </is>
      </c>
      <c r="H757" s="29" t="inlineStr">
        <is>
          <t>다이스틸</t>
        </is>
      </c>
      <c r="I757" s="29" t="inlineStr">
        <is>
          <t>極巨鋼鐵</t>
        </is>
      </c>
      <c r="J757" s="29">
        <f>IFERROR(__xludf.DUMMYFUNCTION("GOOGLETRANSLATE(I757,""zh_HANT"",""zh_HANS"")"),"极巨钢铁")</f>
        <v/>
      </c>
      <c r="K757" s="29">
        <f>F757</f>
        <v/>
      </c>
    </row>
    <row r="758">
      <c r="A758" s="29">
        <f>CONCATENATE("NAME_MOVE_", SUBSTITUTE(SUBSTITUTE(UPPER(B758), " ", ""), "-", ""))</f>
        <v/>
      </c>
      <c r="B758" s="29" t="inlineStr">
        <is>
          <t>G-Max Wildfire</t>
        </is>
      </c>
      <c r="C758" s="29" t="inlineStr">
        <is>
          <t>キョダイゴクエン</t>
        </is>
      </c>
      <c r="D758" s="29" t="inlineStr">
        <is>
          <t>Fournaise G-Max</t>
        </is>
      </c>
      <c r="E758" s="29" t="inlineStr">
        <is>
          <t>Giga-Feuerflug</t>
        </is>
      </c>
      <c r="F758" s="29" t="inlineStr">
        <is>
          <t>Gigallamarada</t>
        </is>
      </c>
      <c r="G758" s="29" t="inlineStr">
        <is>
          <t>Gigavampa</t>
        </is>
      </c>
      <c r="H758" s="29" t="inlineStr">
        <is>
          <t>거다이옥염</t>
        </is>
      </c>
      <c r="I758" s="29" t="inlineStr">
        <is>
          <t>超極巨地獄滅焰</t>
        </is>
      </c>
      <c r="J758" s="29">
        <f>IFERROR(__xludf.DUMMYFUNCTION("GOOGLETRANSLATE(I758,""zh_HANT"",""zh_HANS"")"),"超极巨地狱灭焰")</f>
        <v/>
      </c>
      <c r="K758" s="29">
        <f>F758</f>
        <v/>
      </c>
    </row>
    <row r="759">
      <c r="A759" s="29">
        <f>CONCATENATE("NAME_MOVE_", SUBSTITUTE(SUBSTITUTE(UPPER(B759), " ", ""), "-", ""))</f>
        <v/>
      </c>
      <c r="B759" s="29" t="inlineStr">
        <is>
          <t>G-Max Befuddle</t>
        </is>
      </c>
      <c r="C759" s="29" t="inlineStr">
        <is>
          <t>キョダイコワク</t>
        </is>
      </c>
      <c r="D759" s="29" t="inlineStr">
        <is>
          <t>Illusion G-Max</t>
        </is>
      </c>
      <c r="E759" s="29" t="inlineStr">
        <is>
          <t>Giga-Benebelung</t>
        </is>
      </c>
      <c r="F759" s="29" t="inlineStr">
        <is>
          <t>Gigaestupor</t>
        </is>
      </c>
      <c r="G759" s="29" t="inlineStr">
        <is>
          <t>Gigastupore</t>
        </is>
      </c>
      <c r="H759" s="29" t="inlineStr">
        <is>
          <t>거다이고혹</t>
        </is>
      </c>
      <c r="I759" s="29" t="inlineStr">
        <is>
          <t>超極巨蝶影蠱惑</t>
        </is>
      </c>
      <c r="J759" s="29">
        <f>IFERROR(__xludf.DUMMYFUNCTION("GOOGLETRANSLATE(I759,""zh_HANT"",""zh_HANS"")"),"超极巨蝶影蛊惑")</f>
        <v/>
      </c>
      <c r="K759" s="29">
        <f>F759</f>
        <v/>
      </c>
    </row>
    <row r="760">
      <c r="A760" s="29">
        <f>CONCATENATE("NAME_MOVE_", SUBSTITUTE(SUBSTITUTE(UPPER(B760), " ", ""), "-", ""))</f>
        <v/>
      </c>
      <c r="B760" s="29" t="inlineStr">
        <is>
          <t>G-Max Volt Crash</t>
        </is>
      </c>
      <c r="C760" s="29" t="inlineStr">
        <is>
          <t>キョダイバンライ</t>
        </is>
      </c>
      <c r="D760" s="29" t="inlineStr">
        <is>
          <t>Foudre G-Max</t>
        </is>
      </c>
      <c r="E760" s="29" t="inlineStr">
        <is>
          <t>Giga-Blitzhagel</t>
        </is>
      </c>
      <c r="F760" s="29" t="inlineStr">
        <is>
          <t>Gigatronada</t>
        </is>
      </c>
      <c r="G760" s="29" t="inlineStr">
        <is>
          <t>Gigapikafolgori</t>
        </is>
      </c>
      <c r="H760" s="29" t="inlineStr">
        <is>
          <t>거다이만뢰</t>
        </is>
      </c>
      <c r="I760" s="29" t="inlineStr">
        <is>
          <t>超極巨萬雷轟頂</t>
        </is>
      </c>
      <c r="J760" s="29">
        <f>IFERROR(__xludf.DUMMYFUNCTION("GOOGLETRANSLATE(I760,""zh_HANT"",""zh_HANS"")"),"超极巨万雷轰顶")</f>
        <v/>
      </c>
      <c r="K760" s="29">
        <f>F760</f>
        <v/>
      </c>
    </row>
    <row r="761">
      <c r="A761" s="29">
        <f>CONCATENATE("NAME_MOVE_", SUBSTITUTE(SUBSTITUTE(UPPER(B761), " ", ""), "-", ""))</f>
        <v/>
      </c>
      <c r="B761" s="29" t="inlineStr">
        <is>
          <t>G-Max Gold Rush</t>
        </is>
      </c>
      <c r="C761" s="29" t="inlineStr">
        <is>
          <t>キョダイコバン</t>
        </is>
      </c>
      <c r="D761" s="29" t="inlineStr">
        <is>
          <t>Pactole G-Max</t>
        </is>
      </c>
      <c r="E761" s="29" t="inlineStr">
        <is>
          <t>Giga-Münzregen</t>
        </is>
      </c>
      <c r="F761" s="29" t="inlineStr">
        <is>
          <t>Gigamonedas</t>
        </is>
      </c>
      <c r="G761" s="29" t="inlineStr">
        <is>
          <t>Gigamonte</t>
        </is>
      </c>
      <c r="H761" s="29" t="inlineStr">
        <is>
          <t>거다이금화</t>
        </is>
      </c>
      <c r="I761" s="29" t="inlineStr">
        <is>
          <t>超極巨特大金幣</t>
        </is>
      </c>
      <c r="J761" s="29">
        <f>IFERROR(__xludf.DUMMYFUNCTION("GOOGLETRANSLATE(I761,""zh_HANT"",""zh_HANS"")"),"超极巨特大金币")</f>
        <v/>
      </c>
      <c r="K761" s="29">
        <f>F761</f>
        <v/>
      </c>
    </row>
    <row r="762">
      <c r="A762" s="29">
        <f>CONCATENATE("NAME_MOVE_", SUBSTITUTE(SUBSTITUTE(UPPER(B762), " ", ""), "-", ""))</f>
        <v/>
      </c>
      <c r="B762" s="29" t="inlineStr">
        <is>
          <t>G-Max Chi Strike</t>
        </is>
      </c>
      <c r="C762" s="29" t="inlineStr">
        <is>
          <t>キョダイシンゲキ</t>
        </is>
      </c>
      <c r="D762" s="29" t="inlineStr">
        <is>
          <t>Frappe G-Max</t>
        </is>
      </c>
      <c r="E762" s="29" t="inlineStr">
        <is>
          <t>Giga-Fokusschlag</t>
        </is>
      </c>
      <c r="F762" s="29" t="inlineStr">
        <is>
          <t>Gigapuñición</t>
        </is>
      </c>
      <c r="G762" s="29" t="inlineStr">
        <is>
          <t>Gigapugnointuito</t>
        </is>
      </c>
      <c r="H762" s="29" t="inlineStr">
        <is>
          <t>거다이회심격</t>
        </is>
      </c>
      <c r="I762" s="29" t="inlineStr">
        <is>
          <t>超極巨會心一擊</t>
        </is>
      </c>
      <c r="J762" s="29">
        <f>IFERROR(__xludf.DUMMYFUNCTION("GOOGLETRANSLATE(I762,""zh_HANT"",""zh_HANS"")"),"超极巨会心一击")</f>
        <v/>
      </c>
      <c r="K762" s="29">
        <f>F762</f>
        <v/>
      </c>
    </row>
    <row r="763">
      <c r="A763" s="29">
        <f>CONCATENATE("NAME_MOVE_", SUBSTITUTE(SUBSTITUTE(UPPER(B763), " ", ""), "-", ""))</f>
        <v/>
      </c>
      <c r="B763" s="29" t="inlineStr">
        <is>
          <t>G-Max Terror</t>
        </is>
      </c>
      <c r="C763" s="29" t="inlineStr">
        <is>
          <t>キョダイゲンエイ</t>
        </is>
      </c>
      <c r="D763" s="29" t="inlineStr">
        <is>
          <t>Hantise G-Max</t>
        </is>
      </c>
      <c r="E763" s="29" t="inlineStr">
        <is>
          <t>Giga-Spuksperre</t>
        </is>
      </c>
      <c r="F763" s="29" t="inlineStr">
        <is>
          <t>Gigaaparición</t>
        </is>
      </c>
      <c r="G763" s="29" t="inlineStr">
        <is>
          <t>Gigaillusione</t>
        </is>
      </c>
      <c r="H763" s="29" t="inlineStr">
        <is>
          <t>거다이환영</t>
        </is>
      </c>
      <c r="I763" s="29" t="inlineStr">
        <is>
          <t>超極巨幻影幽魂</t>
        </is>
      </c>
      <c r="J763" s="29">
        <f>IFERROR(__xludf.DUMMYFUNCTION("GOOGLETRANSLATE(I763,""zh_HANT"",""zh_HANS"")"),"超极巨幻影幽魂")</f>
        <v/>
      </c>
      <c r="K763" s="29">
        <f>F763</f>
        <v/>
      </c>
    </row>
    <row r="764">
      <c r="A764" s="29">
        <f>CONCATENATE("NAME_MOVE_", SUBSTITUTE(SUBSTITUTE(UPPER(B764), " ", ""), "-", ""))</f>
        <v/>
      </c>
      <c r="B764" s="29" t="inlineStr">
        <is>
          <t>G-Max Resonance</t>
        </is>
      </c>
      <c r="C764" s="29" t="inlineStr">
        <is>
          <t>キョダイセンリツ</t>
        </is>
      </c>
      <c r="D764" s="29" t="inlineStr">
        <is>
          <t>Résonance G-Max</t>
        </is>
      </c>
      <c r="E764" s="29" t="inlineStr">
        <is>
          <t>Giga-Melodie</t>
        </is>
      </c>
      <c r="F764" s="29" t="inlineStr">
        <is>
          <t>Gigamelodía</t>
        </is>
      </c>
      <c r="G764" s="29" t="inlineStr">
        <is>
          <t>Gigamelodia</t>
        </is>
      </c>
      <c r="H764" s="29" t="inlineStr">
        <is>
          <t>거다이선율</t>
        </is>
      </c>
      <c r="I764" s="29" t="inlineStr">
        <is>
          <t>超極巨極光旋律</t>
        </is>
      </c>
      <c r="J764" s="29">
        <f>IFERROR(__xludf.DUMMYFUNCTION("GOOGLETRANSLATE(I764,""zh_HANT"",""zh_HANS"")"),"超极巨极光旋律")</f>
        <v/>
      </c>
      <c r="K764" s="29">
        <f>F764</f>
        <v/>
      </c>
    </row>
    <row r="765">
      <c r="A765" s="29">
        <f>CONCATENATE("NAME_MOVE_", SUBSTITUTE(SUBSTITUTE(UPPER(B765), " ", ""), "-", ""))</f>
        <v/>
      </c>
      <c r="B765" s="29" t="inlineStr">
        <is>
          <t>G-Max Cuddle</t>
        </is>
      </c>
      <c r="C765" s="29" t="inlineStr">
        <is>
          <t>キョダイホーヨー</t>
        </is>
      </c>
      <c r="D765" s="29" t="inlineStr">
        <is>
          <t>Câlin G-Max</t>
        </is>
      </c>
      <c r="E765" s="29" t="inlineStr">
        <is>
          <t>Giga-Gekuschel</t>
        </is>
      </c>
      <c r="F765" s="29" t="inlineStr">
        <is>
          <t>Gigaturnura</t>
        </is>
      </c>
      <c r="G765" s="29" t="inlineStr">
        <is>
          <t>Gigabbraccio</t>
        </is>
      </c>
      <c r="H765" s="29" t="inlineStr">
        <is>
          <t>거다이포옹</t>
        </is>
      </c>
      <c r="I765" s="29" t="inlineStr">
        <is>
          <t>超極巨熱情擁抱</t>
        </is>
      </c>
      <c r="J765" s="29">
        <f>IFERROR(__xludf.DUMMYFUNCTION("GOOGLETRANSLATE(I765,""zh_HANT"",""zh_HANS"")"),"超极巨热情拥抱")</f>
        <v/>
      </c>
      <c r="K765" s="29">
        <f>F765</f>
        <v/>
      </c>
    </row>
    <row r="766">
      <c r="A766" s="29">
        <f>CONCATENATE("NAME_MOVE_", SUBSTITUTE(SUBSTITUTE(UPPER(B766), " ", ""), "-", ""))</f>
        <v/>
      </c>
      <c r="B766" s="29" t="inlineStr">
        <is>
          <t>G-Max Replenish</t>
        </is>
      </c>
      <c r="C766" s="29" t="inlineStr">
        <is>
          <t>キョダイサイセイ</t>
        </is>
      </c>
      <c r="D766" s="29" t="inlineStr">
        <is>
          <t>Récolte G-Max</t>
        </is>
      </c>
      <c r="E766" s="29" t="inlineStr">
        <is>
          <t>Giga-Recycling</t>
        </is>
      </c>
      <c r="F766" s="29" t="inlineStr">
        <is>
          <t>Gigarreciclaje</t>
        </is>
      </c>
      <c r="G766" s="29" t="inlineStr">
        <is>
          <t>Gigarinnovamento</t>
        </is>
      </c>
      <c r="H766" s="29" t="inlineStr">
        <is>
          <t>거다이재생</t>
        </is>
      </c>
      <c r="I766" s="29" t="inlineStr">
        <is>
          <t>超極巨資源再生</t>
        </is>
      </c>
      <c r="J766" s="29">
        <f>IFERROR(__xludf.DUMMYFUNCTION("GOOGLETRANSLATE(I766,""zh_HANT"",""zh_HANS"")"),"超极巨资源再生")</f>
        <v/>
      </c>
      <c r="K766" s="29">
        <f>F766</f>
        <v/>
      </c>
    </row>
    <row r="767">
      <c r="A767" s="29">
        <f>CONCATENATE("NAME_MOVE_", SUBSTITUTE(SUBSTITUTE(UPPER(B767), " ", ""), "-", ""))</f>
        <v/>
      </c>
      <c r="B767" s="29" t="inlineStr">
        <is>
          <t>G-Max Malodor</t>
        </is>
      </c>
      <c r="C767" s="29" t="inlineStr">
        <is>
          <t>キョダイシュウキ</t>
        </is>
      </c>
      <c r="D767" s="29" t="inlineStr">
        <is>
          <t>Pestilence G-Max</t>
        </is>
      </c>
      <c r="E767" s="29" t="inlineStr">
        <is>
          <t>Giga-Gestank</t>
        </is>
      </c>
      <c r="F767" s="29" t="inlineStr">
        <is>
          <t>Gigapestilencia</t>
        </is>
      </c>
      <c r="G767" s="29" t="inlineStr">
        <is>
          <t>Gigafetore</t>
        </is>
      </c>
      <c r="H767" s="29" t="inlineStr">
        <is>
          <t>거다이악취</t>
        </is>
      </c>
      <c r="I767" s="29" t="inlineStr">
        <is>
          <t>超極巨臭氣沖天</t>
        </is>
      </c>
      <c r="J767" s="29">
        <f>IFERROR(__xludf.DUMMYFUNCTION("GOOGLETRANSLATE(I767,""zh_HANT"",""zh_HANS"")"),"超极巨臭气冲天")</f>
        <v/>
      </c>
      <c r="K767" s="29">
        <f>F767</f>
        <v/>
      </c>
    </row>
    <row r="768">
      <c r="A768" s="29">
        <f>CONCATENATE("NAME_MOVE_", SUBSTITUTE(SUBSTITUTE(UPPER(B768), " ", ""), "-", ""))</f>
        <v/>
      </c>
      <c r="B768" s="29" t="inlineStr">
        <is>
          <t>G-Max Stonesurge</t>
        </is>
      </c>
      <c r="C768" s="29" t="inlineStr">
        <is>
          <t>キョダイガンジン</t>
        </is>
      </c>
      <c r="D768" s="29" t="inlineStr">
        <is>
          <t>Récif G-Max</t>
        </is>
      </c>
      <c r="E768" s="29" t="inlineStr">
        <is>
          <t>Giga-Geröll</t>
        </is>
      </c>
      <c r="F768" s="29" t="inlineStr">
        <is>
          <t>Gigatrampa Rocas</t>
        </is>
      </c>
      <c r="G768" s="29" t="inlineStr">
        <is>
          <t>Gigarocciagetto</t>
        </is>
      </c>
      <c r="H768" s="29" t="inlineStr">
        <is>
          <t>거다이암진</t>
        </is>
      </c>
      <c r="I768" s="29" t="inlineStr">
        <is>
          <t>超極巨岩陣以待</t>
        </is>
      </c>
      <c r="J768" s="29">
        <f>IFERROR(__xludf.DUMMYFUNCTION("GOOGLETRANSLATE(I768,""zh_HANT"",""zh_HANS"")"),"超极巨岩阵以待")</f>
        <v/>
      </c>
      <c r="K768" s="29">
        <f>F768</f>
        <v/>
      </c>
    </row>
    <row r="769">
      <c r="A769" s="29">
        <f>CONCATENATE("NAME_MOVE_", SUBSTITUTE(SUBSTITUTE(UPPER(B769), " ", ""), "-", ""))</f>
        <v/>
      </c>
      <c r="B769" s="29" t="inlineStr">
        <is>
          <t>G-Max Wind Rage</t>
        </is>
      </c>
      <c r="C769" s="29" t="inlineStr">
        <is>
          <t>キョダイフウゲキ</t>
        </is>
      </c>
      <c r="D769" s="29" t="inlineStr">
        <is>
          <t>Rafale G-Max</t>
        </is>
      </c>
      <c r="E769" s="29" t="inlineStr">
        <is>
          <t>Giga-Sturmstoß</t>
        </is>
      </c>
      <c r="F769" s="29" t="inlineStr">
        <is>
          <t>Gigahuracán</t>
        </is>
      </c>
      <c r="G769" s="29" t="inlineStr">
        <is>
          <t>Gigaciclone</t>
        </is>
      </c>
      <c r="H769" s="29" t="inlineStr">
        <is>
          <t>거다이풍격</t>
        </is>
      </c>
      <c r="I769" s="29" t="inlineStr">
        <is>
          <t>超極巨旋風襲捲</t>
        </is>
      </c>
      <c r="J769" s="29">
        <f>IFERROR(__xludf.DUMMYFUNCTION("GOOGLETRANSLATE(I769,""zh_HANT"",""zh_HANS"")"),"超极巨旋风袭卷")</f>
        <v/>
      </c>
      <c r="K769" s="29">
        <f>F769</f>
        <v/>
      </c>
    </row>
    <row r="770">
      <c r="A770" s="29">
        <f>CONCATENATE("NAME_MOVE_", SUBSTITUTE(SUBSTITUTE(UPPER(B770), " ", ""), "-", ""))</f>
        <v/>
      </c>
      <c r="B770" s="29" t="inlineStr">
        <is>
          <t>G-Max Stun Shock</t>
        </is>
      </c>
      <c r="C770" s="29" t="inlineStr">
        <is>
          <t>キョダイカンデン</t>
        </is>
      </c>
      <c r="D770" s="29" t="inlineStr">
        <is>
          <t>Choc G-Max</t>
        </is>
      </c>
      <c r="E770" s="29" t="inlineStr">
        <is>
          <t>Giga-Voltschlag</t>
        </is>
      </c>
      <c r="F770" s="29" t="inlineStr">
        <is>
          <t>Gigadescarga</t>
        </is>
      </c>
      <c r="G770" s="29" t="inlineStr">
        <is>
          <t>Gigatoxiscossa</t>
        </is>
      </c>
      <c r="H770" s="29" t="inlineStr">
        <is>
          <t>거다이감전</t>
        </is>
      </c>
      <c r="I770" s="29" t="inlineStr">
        <is>
          <t>超極巨異毒電場</t>
        </is>
      </c>
      <c r="J770" s="29">
        <f>IFERROR(__xludf.DUMMYFUNCTION("GOOGLETRANSLATE(I770,""zh_HANT"",""zh_HANS"")"),"超极巨异毒电场")</f>
        <v/>
      </c>
      <c r="K770" s="29">
        <f>F770</f>
        <v/>
      </c>
    </row>
    <row r="771">
      <c r="A771" s="29">
        <f>CONCATENATE("NAME_MOVE_", SUBSTITUTE(SUBSTITUTE(UPPER(B771), " ", ""), "-", ""))</f>
        <v/>
      </c>
      <c r="B771" s="29" t="inlineStr">
        <is>
          <t>G-Max Finale</t>
        </is>
      </c>
      <c r="C771" s="29" t="inlineStr">
        <is>
          <t>キョダイダンエン</t>
        </is>
      </c>
      <c r="D771" s="29" t="inlineStr">
        <is>
          <t>Cure G-Max</t>
        </is>
      </c>
      <c r="E771" s="29" t="inlineStr">
        <is>
          <t>Giga-Lichtblick</t>
        </is>
      </c>
      <c r="F771" s="29" t="inlineStr">
        <is>
          <t>Gigacolofón</t>
        </is>
      </c>
      <c r="G771" s="29" t="inlineStr">
        <is>
          <t>Gigagranfinale</t>
        </is>
      </c>
      <c r="H771" s="29" t="inlineStr">
        <is>
          <t>거다이단원</t>
        </is>
      </c>
      <c r="I771" s="29" t="inlineStr">
        <is>
          <t>超極巨幸福圓滿</t>
        </is>
      </c>
      <c r="J771" s="29">
        <f>IFERROR(__xludf.DUMMYFUNCTION("GOOGLETRANSLATE(I771,""zh_HANT"",""zh_HANS"")"),"超极巨幸福圆满")</f>
        <v/>
      </c>
      <c r="K771" s="29">
        <f>F771</f>
        <v/>
      </c>
    </row>
    <row r="772">
      <c r="A772" s="29">
        <f>CONCATENATE("NAME_MOVE_", SUBSTITUTE(SUBSTITUTE(UPPER(B772), " ", ""), "-", ""))</f>
        <v/>
      </c>
      <c r="B772" s="29" t="inlineStr">
        <is>
          <t>G-Max Depletion</t>
        </is>
      </c>
      <c r="C772" s="29" t="inlineStr">
        <is>
          <t>キョダイゲンスイ</t>
        </is>
      </c>
      <c r="D772" s="29" t="inlineStr">
        <is>
          <t>Usure G-Max</t>
        </is>
      </c>
      <c r="E772" s="29" t="inlineStr">
        <is>
          <t>Giga-Dämpfer</t>
        </is>
      </c>
      <c r="F772" s="29" t="inlineStr">
        <is>
          <t>Gigadesgaste</t>
        </is>
      </c>
      <c r="G772" s="29" t="inlineStr">
        <is>
          <t>Gigalogoramento</t>
        </is>
      </c>
      <c r="H772" s="29" t="inlineStr">
        <is>
          <t>거다이감쇠</t>
        </is>
      </c>
      <c r="I772" s="29" t="inlineStr">
        <is>
          <t>超極巨劣化衰變</t>
        </is>
      </c>
      <c r="J772" s="29">
        <f>IFERROR(__xludf.DUMMYFUNCTION("GOOGLETRANSLATE(I772,""zh_HANT"",""zh_HANS"")"),"超极巨劣化衰变")</f>
        <v/>
      </c>
      <c r="K772" s="29">
        <f>F772</f>
        <v/>
      </c>
    </row>
    <row r="773">
      <c r="A773" s="29">
        <f>CONCATENATE("NAME_MOVE_", SUBSTITUTE(SUBSTITUTE(UPPER(B773), " ", ""), "-", ""))</f>
        <v/>
      </c>
      <c r="B773" s="29" t="inlineStr">
        <is>
          <t>G-Max Gravitas</t>
        </is>
      </c>
      <c r="C773" s="29" t="inlineStr">
        <is>
          <t>キョダイテンドウ</t>
        </is>
      </c>
      <c r="D773" s="29" t="inlineStr">
        <is>
          <t>Ondes G-Max</t>
        </is>
      </c>
      <c r="E773" s="29" t="inlineStr">
        <is>
          <t>Giga-Astrowellen</t>
        </is>
      </c>
      <c r="F773" s="29" t="inlineStr">
        <is>
          <t>Gigabóveda</t>
        </is>
      </c>
      <c r="G773" s="29" t="inlineStr">
        <is>
          <t>Gigagravitoforza</t>
        </is>
      </c>
      <c r="H773" s="29" t="inlineStr">
        <is>
          <t>거다이천도</t>
        </is>
      </c>
      <c r="I773" s="29" t="inlineStr">
        <is>
          <t>超極巨天道七星</t>
        </is>
      </c>
      <c r="J773" s="29">
        <f>IFERROR(__xludf.DUMMYFUNCTION("GOOGLETRANSLATE(I773,""zh_HANT"",""zh_HANS"")"),"超极巨天道七星")</f>
        <v/>
      </c>
      <c r="K773" s="29">
        <f>F773</f>
        <v/>
      </c>
    </row>
    <row r="774">
      <c r="A774" s="29">
        <f>CONCATENATE("NAME_MOVE_", SUBSTITUTE(SUBSTITUTE(UPPER(B774), " ", ""), "-", ""))</f>
        <v/>
      </c>
      <c r="B774" s="29" t="inlineStr">
        <is>
          <t>G-Max Volcalith</t>
        </is>
      </c>
      <c r="C774" s="29" t="inlineStr">
        <is>
          <t>キョダイフンセキ</t>
        </is>
      </c>
      <c r="D774" s="29" t="inlineStr">
        <is>
          <t>Téphra G-Max</t>
        </is>
      </c>
      <c r="E774" s="29" t="inlineStr">
        <is>
          <t>Giga-Schlacke</t>
        </is>
      </c>
      <c r="F774" s="29" t="inlineStr">
        <is>
          <t>Gigarroca Ígnea</t>
        </is>
      </c>
      <c r="G774" s="29" t="inlineStr">
        <is>
          <t>Gigalapilli</t>
        </is>
      </c>
      <c r="H774" s="29" t="inlineStr">
        <is>
          <t>거다이분석</t>
        </is>
      </c>
      <c r="I774" s="29" t="inlineStr">
        <is>
          <t>超極巨炎石噴發</t>
        </is>
      </c>
      <c r="J774" s="29">
        <f>IFERROR(__xludf.DUMMYFUNCTION("GOOGLETRANSLATE(I774,""zh_HANT"",""zh_HANS"")"),"超极巨炎石喷发")</f>
        <v/>
      </c>
      <c r="K774" s="29">
        <f>F774</f>
        <v/>
      </c>
    </row>
    <row r="775">
      <c r="A775" s="29">
        <f>CONCATENATE("NAME_MOVE_", SUBSTITUTE(SUBSTITUTE(UPPER(B775), " ", ""), "-", ""))</f>
        <v/>
      </c>
      <c r="B775" s="29" t="inlineStr">
        <is>
          <t>G-Max Sandblast</t>
        </is>
      </c>
      <c r="C775" s="29" t="inlineStr">
        <is>
          <t>キョダイサジン</t>
        </is>
      </c>
      <c r="D775" s="29" t="inlineStr">
        <is>
          <t>Enlisement G-Max</t>
        </is>
      </c>
      <c r="E775" s="29" t="inlineStr">
        <is>
          <t>Giga-Sandstoß</t>
        </is>
      </c>
      <c r="F775" s="29" t="inlineStr">
        <is>
          <t>Gigapolvareda</t>
        </is>
      </c>
      <c r="G775" s="29" t="inlineStr">
        <is>
          <t>Gigavortisabbia</t>
        </is>
      </c>
      <c r="H775" s="29" t="inlineStr">
        <is>
          <t>거다이사진</t>
        </is>
      </c>
      <c r="I775" s="29" t="inlineStr">
        <is>
          <t>超極巨沙塵漫天</t>
        </is>
      </c>
      <c r="J775" s="29">
        <f>IFERROR(__xludf.DUMMYFUNCTION("GOOGLETRANSLATE(I775,""zh_HANT"",""zh_HANS"")"),"超极巨沙尘漫天")</f>
        <v/>
      </c>
      <c r="K775" s="29">
        <f>F775</f>
        <v/>
      </c>
    </row>
    <row r="776">
      <c r="A776" s="29">
        <f>CONCATENATE("NAME_MOVE_", SUBSTITUTE(SUBSTITUTE(UPPER(B776), " ", ""), "-", ""))</f>
        <v/>
      </c>
      <c r="B776" s="29" t="inlineStr">
        <is>
          <t>G-Max Snooze</t>
        </is>
      </c>
      <c r="C776" s="29" t="inlineStr">
        <is>
          <t>キョダイスイマ</t>
        </is>
      </c>
      <c r="D776" s="29" t="inlineStr">
        <is>
          <t>Torpeur G-Max</t>
        </is>
      </c>
      <c r="E776" s="29" t="inlineStr">
        <is>
          <t>Giga-Gähnzwang</t>
        </is>
      </c>
      <c r="F776" s="29" t="inlineStr">
        <is>
          <t>Gigasopor</t>
        </is>
      </c>
      <c r="G776" s="29">
        <f>CONCATENATE(F776,"e")</f>
        <v/>
      </c>
      <c r="H776" s="29" t="inlineStr">
        <is>
          <t>거다이수마</t>
        </is>
      </c>
      <c r="I776" s="29" t="inlineStr">
        <is>
          <t>超極巨睡魔降臨</t>
        </is>
      </c>
      <c r="J776" s="29">
        <f>IFERROR(__xludf.DUMMYFUNCTION("GOOGLETRANSLATE(I776,""zh_HANT"",""zh_HANS"")"),"超极巨睡魔降临")</f>
        <v/>
      </c>
      <c r="K776" s="29">
        <f>F776</f>
        <v/>
      </c>
    </row>
    <row r="777">
      <c r="A777" s="29">
        <f>CONCATENATE("NAME_MOVE_", SUBSTITUTE(SUBSTITUTE(UPPER(B777), " ", ""), "-", ""))</f>
        <v/>
      </c>
      <c r="B777" s="29" t="inlineStr">
        <is>
          <t>G-Max Tartness</t>
        </is>
      </c>
      <c r="C777" s="29" t="inlineStr">
        <is>
          <t>キョダイサンゲキ</t>
        </is>
      </c>
      <c r="D777" s="29" t="inlineStr">
        <is>
          <t>Corrosion G-Max</t>
        </is>
      </c>
      <c r="E777" s="29" t="inlineStr">
        <is>
          <t>Giga-Säureguss</t>
        </is>
      </c>
      <c r="F777" s="29" t="inlineStr">
        <is>
          <t>Gigacorrosión</t>
        </is>
      </c>
      <c r="G777" s="29" t="inlineStr">
        <is>
          <t>Gigattaccoacido</t>
        </is>
      </c>
      <c r="H777" s="29" t="inlineStr">
        <is>
          <t>거다이산격</t>
        </is>
      </c>
      <c r="I777" s="29" t="inlineStr">
        <is>
          <t>超極巨酸不溜丟</t>
        </is>
      </c>
      <c r="J777" s="29">
        <f>IFERROR(__xludf.DUMMYFUNCTION("GOOGLETRANSLATE(I777,""zh_HANT"",""zh_HANS"")"),"超极巨酸不溜丢")</f>
        <v/>
      </c>
      <c r="K777" s="29">
        <f>F777</f>
        <v/>
      </c>
    </row>
    <row r="778">
      <c r="A778" s="29">
        <f>CONCATENATE("NAME_MOVE_", SUBSTITUTE(SUBSTITUTE(UPPER(B778), " ", ""), "-", ""))</f>
        <v/>
      </c>
      <c r="B778" s="29" t="inlineStr">
        <is>
          <t>G-Max Sweetness</t>
        </is>
      </c>
      <c r="C778" s="29" t="inlineStr">
        <is>
          <t>キョダイカンロ</t>
        </is>
      </c>
      <c r="D778" s="29" t="inlineStr">
        <is>
          <t>Nectar G-Max</t>
        </is>
      </c>
      <c r="E778" s="29" t="inlineStr">
        <is>
          <t>Giga-Nektarflut</t>
        </is>
      </c>
      <c r="F778" s="29" t="inlineStr">
        <is>
          <t>Giganéctar</t>
        </is>
      </c>
      <c r="G778" s="29" t="inlineStr">
        <is>
          <t>Gigambrosia</t>
        </is>
      </c>
      <c r="H778" s="29" t="inlineStr">
        <is>
          <t>거다이감로</t>
        </is>
      </c>
      <c r="I778" s="29" t="inlineStr">
        <is>
          <t>超極巨瓊漿玉液</t>
        </is>
      </c>
      <c r="J778" s="29">
        <f>IFERROR(__xludf.DUMMYFUNCTION("GOOGLETRANSLATE(I778,""zh_HANT"",""zh_HANS"")"),"超极巨琼浆玉液")</f>
        <v/>
      </c>
      <c r="K778" s="29">
        <f>F778</f>
        <v/>
      </c>
    </row>
    <row r="779">
      <c r="A779" s="29">
        <f>CONCATENATE("NAME_MOVE_", SUBSTITUTE(SUBSTITUTE(UPPER(B779), " ", ""), "-", ""))</f>
        <v/>
      </c>
      <c r="B779" s="29" t="inlineStr">
        <is>
          <t>G-Max Smite</t>
        </is>
      </c>
      <c r="C779" s="29" t="inlineStr">
        <is>
          <t>キョダイテンバツ</t>
        </is>
      </c>
      <c r="D779" s="29" t="inlineStr">
        <is>
          <t>Sentence G-Max</t>
        </is>
      </c>
      <c r="E779" s="29" t="inlineStr">
        <is>
          <t>Giga-Sanktion</t>
        </is>
      </c>
      <c r="F779" s="29" t="inlineStr">
        <is>
          <t>Gigacastigo</t>
        </is>
      </c>
      <c r="G779" s="29">
        <f>F779</f>
        <v/>
      </c>
      <c r="H779" s="29" t="inlineStr">
        <is>
          <t>거다이천벌</t>
        </is>
      </c>
      <c r="I779" s="29" t="inlineStr">
        <is>
          <t>超極巨天譴雷誅</t>
        </is>
      </c>
      <c r="J779" s="29">
        <f>IFERROR(__xludf.DUMMYFUNCTION("GOOGLETRANSLATE(I779,""zh_HANT"",""zh_HANS"")"),"超极巨天谴雷诛")</f>
        <v/>
      </c>
      <c r="K779" s="29">
        <f>F779</f>
        <v/>
      </c>
    </row>
    <row r="780">
      <c r="A780" s="29">
        <f>CONCATENATE("NAME_MOVE_", SUBSTITUTE(SUBSTITUTE(UPPER(B780), " ", ""), "-", ""))</f>
        <v/>
      </c>
      <c r="B780" s="29" t="inlineStr">
        <is>
          <t>G-Max Steelsurge</t>
        </is>
      </c>
      <c r="C780" s="29" t="inlineStr">
        <is>
          <t>キョダイコウジン</t>
        </is>
      </c>
      <c r="D780" s="29" t="inlineStr">
        <is>
          <t>Percée G-Max</t>
        </is>
      </c>
      <c r="E780" s="29" t="inlineStr">
        <is>
          <t>Giga-Stahlschlag</t>
        </is>
      </c>
      <c r="F780" s="29" t="inlineStr">
        <is>
          <t>Gigatrampa Acero</t>
        </is>
      </c>
      <c r="G780" s="29" t="inlineStr">
        <is>
          <t>Gigaferroaculei</t>
        </is>
      </c>
      <c r="H780" s="29" t="inlineStr">
        <is>
          <t>거다이강철진</t>
        </is>
      </c>
      <c r="I780" s="29" t="inlineStr">
        <is>
          <t>超極巨鋼鐵陣法</t>
        </is>
      </c>
      <c r="J780" s="29">
        <f>IFERROR(__xludf.DUMMYFUNCTION("GOOGLETRANSLATE(I780,""zh_HANT"",""zh_HANS"")"),"超极巨钢铁阵法")</f>
        <v/>
      </c>
      <c r="K780" s="29">
        <f>F780</f>
        <v/>
      </c>
    </row>
    <row r="781">
      <c r="A781" s="29">
        <f>CONCATENATE("NAME_MOVE_", SUBSTITUTE(SUBSTITUTE(UPPER(B781), " ", ""), "-", ""))</f>
        <v/>
      </c>
      <c r="B781" s="29" t="inlineStr">
        <is>
          <t>G-Max Meltdown</t>
        </is>
      </c>
      <c r="C781" s="29" t="inlineStr">
        <is>
          <t>キョダイユウゲキ</t>
        </is>
      </c>
      <c r="D781" s="29" t="inlineStr">
        <is>
          <t>Fonte G-Max</t>
        </is>
      </c>
      <c r="E781" s="29" t="inlineStr">
        <is>
          <t>Giga-Schmelze</t>
        </is>
      </c>
      <c r="F781" s="29" t="inlineStr">
        <is>
          <t>Gigafundido</t>
        </is>
      </c>
      <c r="G781" s="29" t="inlineStr">
        <is>
          <t>Gigaliquefazione</t>
        </is>
      </c>
      <c r="H781" s="29" t="inlineStr">
        <is>
          <t>거다이융격</t>
        </is>
      </c>
      <c r="I781" s="29" t="inlineStr">
        <is>
          <t>超極巨液金熔擊</t>
        </is>
      </c>
      <c r="J781" s="29">
        <f>IFERROR(__xludf.DUMMYFUNCTION("GOOGLETRANSLATE(I781,""zh_HANT"",""zh_HANS"")"),"超极巨液金熔击")</f>
        <v/>
      </c>
      <c r="K781" s="29">
        <f>F781</f>
        <v/>
      </c>
    </row>
    <row r="782">
      <c r="A782" s="29">
        <f>CONCATENATE("NAME_MOVE_", SUBSTITUTE(SUBSTITUTE(UPPER(B782), " ", ""), "-", ""))</f>
        <v/>
      </c>
      <c r="B782" s="29" t="inlineStr">
        <is>
          <t>G-Max Foam Burst</t>
        </is>
      </c>
      <c r="C782" s="29" t="inlineStr">
        <is>
          <t>キョダイホウマツ</t>
        </is>
      </c>
      <c r="D782" s="29" t="inlineStr">
        <is>
          <t>Bulles G-Max</t>
        </is>
      </c>
      <c r="E782" s="29" t="inlineStr">
        <is>
          <t>Giga-Schaumbad</t>
        </is>
      </c>
      <c r="F782" s="29" t="inlineStr">
        <is>
          <t>Gigaespuma</t>
        </is>
      </c>
      <c r="G782" s="29" t="inlineStr">
        <is>
          <t>Gigaschiuma</t>
        </is>
      </c>
      <c r="H782" s="29" t="inlineStr">
        <is>
          <t>거다이포말</t>
        </is>
      </c>
      <c r="I782" s="29" t="inlineStr">
        <is>
          <t>超極巨激漩泡渦</t>
        </is>
      </c>
      <c r="J782" s="29">
        <f>IFERROR(__xludf.DUMMYFUNCTION("GOOGLETRANSLATE(I782,""zh_HANT"",""zh_HANS"")"),"超极巨激漩泡涡")</f>
        <v/>
      </c>
      <c r="K782" s="29">
        <f>F782</f>
        <v/>
      </c>
    </row>
    <row r="783">
      <c r="A783" s="29">
        <f>CONCATENATE("NAME_MOVE_", SUBSTITUTE(SUBSTITUTE(UPPER(B783), " ", ""), "-", ""))</f>
        <v/>
      </c>
      <c r="B783" s="29" t="inlineStr">
        <is>
          <t>G-Max Centiferno</t>
        </is>
      </c>
      <c r="C783" s="29" t="inlineStr">
        <is>
          <t>キョダイヒャッカ</t>
        </is>
      </c>
      <c r="D783" s="29" t="inlineStr">
        <is>
          <t>Combustion G-Max</t>
        </is>
      </c>
      <c r="E783" s="29" t="inlineStr">
        <is>
          <t>Giga-Feuerkessel</t>
        </is>
      </c>
      <c r="F783" s="29" t="inlineStr">
        <is>
          <t>Gigacienfuegos</t>
        </is>
      </c>
      <c r="G783" s="29" t="inlineStr">
        <is>
          <t>Gigamillefiamme</t>
        </is>
      </c>
      <c r="H783" s="29" t="inlineStr">
        <is>
          <t>거다이백화</t>
        </is>
      </c>
      <c r="I783" s="29" t="inlineStr">
        <is>
          <t>超極巨百火焚野</t>
        </is>
      </c>
      <c r="J783" s="29">
        <f>IFERROR(__xludf.DUMMYFUNCTION("GOOGLETRANSLATE(I783,""zh_HANT"",""zh_HANS"")"),"超极巨百火焚野")</f>
        <v/>
      </c>
      <c r="K783" s="29">
        <f>F783</f>
        <v/>
      </c>
    </row>
    <row r="784">
      <c r="A784" s="29">
        <f>CONCATENATE("NAME_MOVE_", SUBSTITUTE(SUBSTITUTE(UPPER(B784), " ", ""), "-", ""))</f>
        <v/>
      </c>
      <c r="B784" s="29" t="inlineStr">
        <is>
          <t>Clangorous Soul</t>
        </is>
      </c>
      <c r="C784" s="29" t="inlineStr">
        <is>
          <t>ソウルビート</t>
        </is>
      </c>
      <c r="D784" s="29" t="inlineStr">
        <is>
          <t>Dracacophonie</t>
        </is>
      </c>
      <c r="E784" s="29" t="inlineStr">
        <is>
          <t>Seelentanz</t>
        </is>
      </c>
      <c r="F784" s="29" t="inlineStr">
        <is>
          <t>Estruendo Escama</t>
        </is>
      </c>
      <c r="G784" s="29" t="inlineStr">
        <is>
          <t>Dracofonia</t>
        </is>
      </c>
      <c r="H784" s="29" t="inlineStr">
        <is>
          <t>소울비트</t>
        </is>
      </c>
      <c r="I784" s="29" t="inlineStr">
        <is>
          <t>魂舞烈音爆</t>
        </is>
      </c>
      <c r="J784" s="29">
        <f>I784</f>
        <v/>
      </c>
      <c r="K784" s="29">
        <f>F784</f>
        <v/>
      </c>
    </row>
    <row r="785">
      <c r="A785" s="29">
        <f>CONCATENATE("NAME_MOVE_", SUBSTITUTE(SUBSTITUTE(UPPER(B785), " ", ""), "-", ""))</f>
        <v/>
      </c>
      <c r="B785" s="29" t="inlineStr">
        <is>
          <t>Body Press</t>
        </is>
      </c>
      <c r="C785" s="29" t="inlineStr">
        <is>
          <t>ボディプレス</t>
        </is>
      </c>
      <c r="D785" s="29" t="inlineStr">
        <is>
          <t>Big Splash</t>
        </is>
      </c>
      <c r="E785" s="29">
        <f>B785</f>
        <v/>
      </c>
      <c r="F785" s="29" t="inlineStr">
        <is>
          <t>Plancha Corporal</t>
        </is>
      </c>
      <c r="G785" s="29" t="inlineStr">
        <is>
          <t>Schiacciacorpo</t>
        </is>
      </c>
      <c r="H785" s="29" t="inlineStr">
        <is>
          <t>바디프레스</t>
        </is>
      </c>
      <c r="I785" s="29" t="inlineStr">
        <is>
          <t>撲擊</t>
        </is>
      </c>
      <c r="J785" s="29">
        <f>IFERROR(__xludf.DUMMYFUNCTION("GOOGLETRANSLATE(I785,""zh_HANT"",""zh_HANS"")"),"扑击")</f>
        <v/>
      </c>
      <c r="K785" s="29">
        <f>F785</f>
        <v/>
      </c>
    </row>
    <row r="786">
      <c r="A786" s="29">
        <f>CONCATENATE("NAME_MOVE_", SUBSTITUTE(SUBSTITUTE(UPPER(B786), " ", ""), "-", ""))</f>
        <v/>
      </c>
      <c r="B786" s="29" t="inlineStr">
        <is>
          <t>Decorate</t>
        </is>
      </c>
      <c r="C786" s="29" t="inlineStr">
        <is>
          <t>デコレーション</t>
        </is>
      </c>
      <c r="D786" s="29" t="inlineStr">
        <is>
          <t>Nappage</t>
        </is>
      </c>
      <c r="E786" s="29" t="inlineStr">
        <is>
          <t>Verzierung</t>
        </is>
      </c>
      <c r="F786" s="29" t="inlineStr">
        <is>
          <t>Decoración</t>
        </is>
      </c>
      <c r="G786" s="29" t="inlineStr">
        <is>
          <t>Decorazione</t>
        </is>
      </c>
      <c r="H786" s="29" t="inlineStr">
        <is>
          <t>데코레이션</t>
        </is>
      </c>
      <c r="I786" s="29" t="inlineStr">
        <is>
          <t>裝飾</t>
        </is>
      </c>
      <c r="J786" s="29">
        <f>IFERROR(__xludf.DUMMYFUNCTION("GOOGLETRANSLATE(I786,""zh_HANT"",""zh_HANS"")"),"装饰")</f>
        <v/>
      </c>
      <c r="K786" s="29">
        <f>F786</f>
        <v/>
      </c>
    </row>
    <row r="787">
      <c r="A787" s="29">
        <f>CONCATENATE("NAME_MOVE_", SUBSTITUTE(SUBSTITUTE(UPPER(B787), " ", ""), "-", ""))</f>
        <v/>
      </c>
      <c r="B787" s="29" t="inlineStr">
        <is>
          <t>Drum Beating</t>
        </is>
      </c>
      <c r="C787" s="29" t="inlineStr">
        <is>
          <t>ドラムアタック</t>
        </is>
      </c>
      <c r="D787" s="29" t="inlineStr">
        <is>
          <t>Tambour Battant</t>
        </is>
      </c>
      <c r="E787" s="29" t="inlineStr">
        <is>
          <t>Trommelschläge</t>
        </is>
      </c>
      <c r="F787" s="29" t="inlineStr">
        <is>
          <t>Batería Asalto</t>
        </is>
      </c>
      <c r="G787" s="29" t="inlineStr">
        <is>
          <t>Tamburattacco</t>
        </is>
      </c>
      <c r="H787" s="29" t="inlineStr">
        <is>
          <t>드럼어택</t>
        </is>
      </c>
      <c r="I787" s="29" t="inlineStr">
        <is>
          <t>鼓擊</t>
        </is>
      </c>
      <c r="J787" s="29">
        <f>IFERROR(__xludf.DUMMYFUNCTION("GOOGLETRANSLATE(I787,""zh_HANT"",""zh_HANS"")"),"鼓击")</f>
        <v/>
      </c>
      <c r="K787" s="29">
        <f>F787</f>
        <v/>
      </c>
    </row>
    <row r="788">
      <c r="A788" s="29">
        <f>CONCATENATE("NAME_MOVE_", SUBSTITUTE(SUBSTITUTE(UPPER(B788), " ", ""), "-", ""))</f>
        <v/>
      </c>
      <c r="B788" s="29" t="inlineStr">
        <is>
          <t>Snap Trap</t>
        </is>
      </c>
      <c r="C788" s="29" t="inlineStr">
        <is>
          <t>トラバサミ</t>
        </is>
      </c>
      <c r="D788" s="29" t="inlineStr">
        <is>
          <t>Troquenard</t>
        </is>
      </c>
      <c r="E788" s="29" t="inlineStr">
        <is>
          <t>Fangeisen</t>
        </is>
      </c>
      <c r="F788" s="29" t="inlineStr">
        <is>
          <t>Cepo</t>
        </is>
      </c>
      <c r="G788" s="29" t="inlineStr">
        <is>
          <t>Tagliola</t>
        </is>
      </c>
      <c r="H788" s="29" t="inlineStr">
        <is>
          <t>집게덫</t>
        </is>
      </c>
      <c r="I788" s="29" t="inlineStr">
        <is>
          <t>捕獸夾</t>
        </is>
      </c>
      <c r="J788" s="29">
        <f>IFERROR(__xludf.DUMMYFUNCTION("GOOGLETRANSLATE(I788,""zh_HANT"",""zh_HANS"")"),"捕兽夹")</f>
        <v/>
      </c>
      <c r="K788" s="29">
        <f>F788</f>
        <v/>
      </c>
    </row>
    <row r="789">
      <c r="A789" s="29">
        <f>CONCATENATE("NAME_MOVE_", SUBSTITUTE(SUBSTITUTE(UPPER(B789), " ", ""), "-", ""))</f>
        <v/>
      </c>
      <c r="B789" s="29" t="inlineStr">
        <is>
          <t>Pyro Ball</t>
        </is>
      </c>
      <c r="C789" s="29" t="inlineStr">
        <is>
          <t>かえんボール</t>
        </is>
      </c>
      <c r="D789" s="29" t="inlineStr">
        <is>
          <t>Ballon Brûlant</t>
        </is>
      </c>
      <c r="E789" s="29" t="inlineStr">
        <is>
          <t>Feuerball</t>
        </is>
      </c>
      <c r="F789" s="29" t="inlineStr">
        <is>
          <t>Balón Ígneo</t>
        </is>
      </c>
      <c r="G789" s="29" t="inlineStr">
        <is>
          <t>Palla Infuocata</t>
        </is>
      </c>
      <c r="H789" s="29" t="inlineStr">
        <is>
          <t>화염볼</t>
        </is>
      </c>
      <c r="I789" s="29" t="inlineStr">
        <is>
          <t>火焰球</t>
        </is>
      </c>
      <c r="J789" s="29">
        <f>I789</f>
        <v/>
      </c>
      <c r="K789" s="29">
        <f>F789</f>
        <v/>
      </c>
    </row>
    <row r="790">
      <c r="A790" s="29">
        <f>CONCATENATE("NAME_MOVE_", SUBSTITUTE(SUBSTITUTE(UPPER(B790), " ", ""), "-", ""))</f>
        <v/>
      </c>
      <c r="B790" s="29" t="inlineStr">
        <is>
          <t>Behemoth Blade</t>
        </is>
      </c>
      <c r="C790" s="29" t="inlineStr">
        <is>
          <t>きょじゅうざん</t>
        </is>
      </c>
      <c r="D790" s="29" t="inlineStr">
        <is>
          <t>Gladius Maximus</t>
        </is>
      </c>
      <c r="E790" s="29" t="inlineStr">
        <is>
          <t>Gigantenhieb</t>
        </is>
      </c>
      <c r="F790" s="29" t="inlineStr">
        <is>
          <t>Tajo Supremo</t>
        </is>
      </c>
      <c r="G790" s="29" t="inlineStr">
        <is>
          <t>Taglio Maestoso</t>
        </is>
      </c>
      <c r="H790" s="29" t="inlineStr">
        <is>
          <t>거수참</t>
        </is>
      </c>
      <c r="I790" s="29" t="inlineStr">
        <is>
          <t>巨獸斬</t>
        </is>
      </c>
      <c r="J790" s="29">
        <f>IFERROR(__xludf.DUMMYFUNCTION("GOOGLETRANSLATE(I790,""zh_HANT"",""zh_HANS"")"),"巨兽斩")</f>
        <v/>
      </c>
      <c r="K790" s="29">
        <f>F790</f>
        <v/>
      </c>
    </row>
    <row r="791">
      <c r="A791" s="29">
        <f>CONCATENATE("NAME_MOVE_", SUBSTITUTE(SUBSTITUTE(UPPER(B791), " ", ""), "-", ""))</f>
        <v/>
      </c>
      <c r="B791" s="29" t="inlineStr">
        <is>
          <t>Behemoth Bash</t>
        </is>
      </c>
      <c r="C791" s="29" t="inlineStr">
        <is>
          <t>きょじゅうだん</t>
        </is>
      </c>
      <c r="D791" s="29" t="inlineStr">
        <is>
          <t>Aegis Maxima</t>
        </is>
      </c>
      <c r="E791" s="29" t="inlineStr">
        <is>
          <t>Gigantenstoß</t>
        </is>
      </c>
      <c r="F791" s="29" t="inlineStr">
        <is>
          <t>Embate Supremo</t>
        </is>
      </c>
      <c r="G791" s="29" t="inlineStr">
        <is>
          <t>Colpo Maestoso</t>
        </is>
      </c>
      <c r="H791" s="29" t="inlineStr">
        <is>
          <t>거수탄</t>
        </is>
      </c>
      <c r="I791" s="29" t="inlineStr">
        <is>
          <t>巨獸彈</t>
        </is>
      </c>
      <c r="J791" s="29">
        <f>IFERROR(__xludf.DUMMYFUNCTION("GOOGLETRANSLATE(I791,""zh_HANT"",""zh_HANS"")"),"巨兽弹")</f>
        <v/>
      </c>
      <c r="K791" s="29">
        <f>F791</f>
        <v/>
      </c>
    </row>
    <row r="792">
      <c r="A792" s="29">
        <f>CONCATENATE("NAME_MOVE_", SUBSTITUTE(SUBSTITUTE(UPPER(B792), " ", ""), "-", ""))</f>
        <v/>
      </c>
      <c r="B792" s="29" t="inlineStr">
        <is>
          <t>Aura Wheel</t>
        </is>
      </c>
      <c r="C792" s="29" t="inlineStr">
        <is>
          <t>オーラぐるま</t>
        </is>
      </c>
      <c r="D792" s="29" t="inlineStr">
        <is>
          <t>Roue Libre</t>
        </is>
      </c>
      <c r="E792" s="29" t="inlineStr">
        <is>
          <t>Aura-Rad</t>
        </is>
      </c>
      <c r="F792" s="29" t="inlineStr">
        <is>
          <t>Rueda Aural</t>
        </is>
      </c>
      <c r="G792" s="29" t="inlineStr">
        <is>
          <t>Ruota d'Aura</t>
        </is>
      </c>
      <c r="H792" s="29" t="inlineStr">
        <is>
          <t>오라휠</t>
        </is>
      </c>
      <c r="I792" s="29">
        <f>IFERROR(__xludf.DUMMYFUNCTION("GOOGLETRANSLATE(J792,""zh_HANS"",""zh_HANT"")"),"氣場輪")</f>
        <v/>
      </c>
      <c r="J792" s="29" t="inlineStr">
        <is>
          <t>气场轮</t>
        </is>
      </c>
      <c r="K792" s="29">
        <f>F792</f>
        <v/>
      </c>
    </row>
    <row r="793">
      <c r="A793" s="29">
        <f>CONCATENATE("NAME_MOVE_", SUBSTITUTE(SUBSTITUTE(UPPER(B793), " ", ""), "-", ""))</f>
        <v/>
      </c>
      <c r="B793" s="29" t="inlineStr">
        <is>
          <t>Breaking Swipe</t>
        </is>
      </c>
      <c r="C793" s="29" t="inlineStr">
        <is>
          <t>ワイドブレイカー</t>
        </is>
      </c>
      <c r="D793" s="29" t="inlineStr">
        <is>
          <t>Abattage</t>
        </is>
      </c>
      <c r="E793" s="29" t="inlineStr">
        <is>
          <t>Breitseite</t>
        </is>
      </c>
      <c r="F793" s="29" t="inlineStr">
        <is>
          <t>Vasto Impacto</t>
        </is>
      </c>
      <c r="G793" s="29" t="inlineStr">
        <is>
          <t>Vastoimpatto</t>
        </is>
      </c>
      <c r="H793" s="29" t="inlineStr">
        <is>
          <t>와이드브레이커</t>
        </is>
      </c>
      <c r="I793" s="29">
        <f>IFERROR(__xludf.DUMMYFUNCTION("GOOGLETRANSLATE(J793,""zh_HANS"",""zh_HANT"")"),"廣域破壞")</f>
        <v/>
      </c>
      <c r="J793" s="29" t="inlineStr">
        <is>
          <t>广域破坏</t>
        </is>
      </c>
      <c r="K793" s="29">
        <f>F793</f>
        <v/>
      </c>
    </row>
    <row r="794">
      <c r="A794" s="29">
        <f>CONCATENATE("NAME_MOVE_", SUBSTITUTE(SUBSTITUTE(UPPER(B794), " ", ""), "-", ""))</f>
        <v/>
      </c>
      <c r="B794" s="29" t="inlineStr">
        <is>
          <t>Branch Poke</t>
        </is>
      </c>
      <c r="C794" s="29" t="inlineStr">
        <is>
          <t>えだづき</t>
        </is>
      </c>
      <c r="D794" s="29" t="inlineStr">
        <is>
          <t>Tapotige</t>
        </is>
      </c>
      <c r="E794" s="29" t="inlineStr">
        <is>
          <t>Zweigstoß</t>
        </is>
      </c>
      <c r="F794" s="29" t="inlineStr">
        <is>
          <t>Punzada Rama</t>
        </is>
      </c>
      <c r="G794" s="29" t="inlineStr">
        <is>
          <t>Ramostoccata</t>
        </is>
      </c>
      <c r="H794" s="29" t="inlineStr">
        <is>
          <t>가지찌르기</t>
        </is>
      </c>
      <c r="I794" s="29">
        <f>IFERROR(__xludf.DUMMYFUNCTION("GOOGLETRANSLATE(J794,""zh_HANS"",""zh_HANT"")"),"木枝突刺")</f>
        <v/>
      </c>
      <c r="J794" s="29" t="inlineStr">
        <is>
          <t>木枝突刺</t>
        </is>
      </c>
      <c r="K794" s="29">
        <f>F794</f>
        <v/>
      </c>
    </row>
    <row r="795">
      <c r="A795" s="29">
        <f>CONCATENATE("NAME_MOVE_", SUBSTITUTE(SUBSTITUTE(UPPER(B795), " ", ""), "-", ""))</f>
        <v/>
      </c>
      <c r="B795" s="29" t="inlineStr">
        <is>
          <t>Overdrive</t>
        </is>
      </c>
      <c r="C795" s="29" t="inlineStr">
        <is>
          <t>オーバードライブ</t>
        </is>
      </c>
      <c r="D795" s="29">
        <f>B795</f>
        <v/>
      </c>
      <c r="E795" s="29">
        <f>B795</f>
        <v/>
      </c>
      <c r="F795" s="29" t="inlineStr">
        <is>
          <t>Amplificador</t>
        </is>
      </c>
      <c r="G795" s="29">
        <f>B795</f>
        <v/>
      </c>
      <c r="H795" s="29" t="inlineStr">
        <is>
          <t>오버드라이브</t>
        </is>
      </c>
      <c r="I795" s="29">
        <f>IFERROR(__xludf.DUMMYFUNCTION("GOOGLETRANSLATE(J795,""zh_HANS"",""zh_HANT"")"),"破音")</f>
        <v/>
      </c>
      <c r="J795" s="29" t="inlineStr">
        <is>
          <t>破音</t>
        </is>
      </c>
      <c r="K795" s="29">
        <f>F795</f>
        <v/>
      </c>
    </row>
    <row r="796">
      <c r="A796" s="29">
        <f>CONCATENATE("NAME_MOVE_", SUBSTITUTE(SUBSTITUTE(UPPER(B796), " ", ""), "-", ""))</f>
        <v/>
      </c>
      <c r="B796" s="29" t="inlineStr">
        <is>
          <t>Apple Acid</t>
        </is>
      </c>
      <c r="C796" s="29" t="inlineStr">
        <is>
          <t>りんごさん</t>
        </is>
      </c>
      <c r="D796" s="29" t="inlineStr">
        <is>
          <t>Acide Malique</t>
        </is>
      </c>
      <c r="E796" s="29" t="inlineStr">
        <is>
          <t>Apfelsäure</t>
        </is>
      </c>
      <c r="F796" s="29" t="inlineStr">
        <is>
          <t>Ácido Málico</t>
        </is>
      </c>
      <c r="G796" s="29" t="inlineStr">
        <is>
          <t>Acido Malico</t>
        </is>
      </c>
      <c r="H796" s="29" t="inlineStr">
        <is>
          <t>사과산</t>
        </is>
      </c>
      <c r="I796" s="29">
        <f>IFERROR(__xludf.DUMMYFUNCTION("GOOGLETRANSLATE(J796,""zh_HANS"",""zh_HANT"")"),"蘋果酸")</f>
        <v/>
      </c>
      <c r="J796" s="29" t="inlineStr">
        <is>
          <t>苹果酸</t>
        </is>
      </c>
      <c r="K796" s="29">
        <f>F796</f>
        <v/>
      </c>
    </row>
    <row r="797">
      <c r="A797" s="29">
        <f>CONCATENATE("NAME_MOVE_", SUBSTITUTE(SUBSTITUTE(UPPER(B797), " ", ""), "-", ""))</f>
        <v/>
      </c>
      <c r="B797" s="29" t="inlineStr">
        <is>
          <t>Grav Apple</t>
        </is>
      </c>
      <c r="C797" s="29" t="inlineStr">
        <is>
          <t>Ｇのちから</t>
        </is>
      </c>
      <c r="D797" s="29" t="inlineStr">
        <is>
          <t>Force G</t>
        </is>
      </c>
      <c r="E797" s="29" t="inlineStr">
        <is>
          <t>Gravitation</t>
        </is>
      </c>
      <c r="F797" s="29" t="inlineStr">
        <is>
          <t>Fuerza G</t>
        </is>
      </c>
      <c r="G797" s="29" t="inlineStr">
        <is>
          <t>Forza G</t>
        </is>
      </c>
      <c r="H797" s="29" t="inlineStr">
        <is>
          <t>Ｇ의힘</t>
        </is>
      </c>
      <c r="I797" s="29">
        <f>IFERROR(__xludf.DUMMYFUNCTION("GOOGLETRANSLATE(J797,""zh_HANS"",""zh_HANT"")"),"萬有引力")</f>
        <v/>
      </c>
      <c r="J797" s="29" t="inlineStr">
        <is>
          <t>万有引力</t>
        </is>
      </c>
      <c r="K797" s="29">
        <f>F797</f>
        <v/>
      </c>
    </row>
    <row r="798">
      <c r="A798" s="29">
        <f>CONCATENATE("NAME_MOVE_", SUBSTITUTE(SUBSTITUTE(UPPER(B798), " ", ""), "-", ""))</f>
        <v/>
      </c>
      <c r="B798" s="29" t="inlineStr">
        <is>
          <t>Spirit Break</t>
        </is>
      </c>
      <c r="C798" s="29" t="inlineStr">
        <is>
          <t>ソウルクラッシュ</t>
        </is>
      </c>
      <c r="D798" s="29" t="inlineStr">
        <is>
          <t>Choc Émotionnel</t>
        </is>
      </c>
      <c r="E798" s="29" t="inlineStr">
        <is>
          <t>Seelenbruch</t>
        </is>
      </c>
      <c r="F798" s="29" t="inlineStr">
        <is>
          <t>Choque Anímico</t>
        </is>
      </c>
      <c r="G798" s="29" t="inlineStr">
        <is>
          <t>Frantumanima</t>
        </is>
      </c>
      <c r="H798" s="29" t="inlineStr">
        <is>
          <t>소울크래시</t>
        </is>
      </c>
      <c r="I798" s="29">
        <f>IFERROR(__xludf.DUMMYFUNCTION("GOOGLETRANSLATE(J798,""zh_HANS"",""zh_HANT"")"),"靈魂衝擊")</f>
        <v/>
      </c>
      <c r="J798" s="29" t="inlineStr">
        <is>
          <t>灵魂冲击</t>
        </is>
      </c>
      <c r="K798" s="29">
        <f>F798</f>
        <v/>
      </c>
    </row>
    <row r="799">
      <c r="A799" s="29">
        <f>CONCATENATE("NAME_MOVE_", SUBSTITUTE(SUBSTITUTE(UPPER(B799), " ", ""), "-", ""))</f>
        <v/>
      </c>
      <c r="B799" s="29" t="inlineStr">
        <is>
          <t>Strange Steam</t>
        </is>
      </c>
      <c r="C799" s="29" t="inlineStr">
        <is>
          <t>ワンダースチーム</t>
        </is>
      </c>
      <c r="D799" s="29" t="inlineStr">
        <is>
          <t>Vapeur Féérique</t>
        </is>
      </c>
      <c r="E799" s="29" t="inlineStr">
        <is>
          <t>Wunderdampf</t>
        </is>
      </c>
      <c r="F799" s="29" t="inlineStr">
        <is>
          <t>Cautivapor</t>
        </is>
      </c>
      <c r="G799" s="29" t="inlineStr">
        <is>
          <t>Vapore Incantato</t>
        </is>
      </c>
      <c r="H799" s="29" t="inlineStr">
        <is>
          <t>원더스팀</t>
        </is>
      </c>
      <c r="I799" s="29">
        <f>IFERROR(__xludf.DUMMYFUNCTION("GOOGLETRANSLATE(J799,""zh_HANS"",""zh_HANT"")"),"神奇蒸汽")</f>
        <v/>
      </c>
      <c r="J799" s="29" t="inlineStr">
        <is>
          <t>神奇蒸汽</t>
        </is>
      </c>
      <c r="K799" s="29">
        <f>F799</f>
        <v/>
      </c>
    </row>
    <row r="800">
      <c r="A800" s="29">
        <f>CONCATENATE("NAME_MOVE_", SUBSTITUTE(SUBSTITUTE(UPPER(B800), " ", ""), "-", ""))</f>
        <v/>
      </c>
      <c r="B800" s="29" t="inlineStr">
        <is>
          <t>Life Dew</t>
        </is>
      </c>
      <c r="C800" s="29" t="inlineStr">
        <is>
          <t>いのちのしずく</t>
        </is>
      </c>
      <c r="D800" s="29" t="inlineStr">
        <is>
          <t>Fontaine de Vie</t>
        </is>
      </c>
      <c r="E800" s="29" t="inlineStr">
        <is>
          <t>Lebenstropfen</t>
        </is>
      </c>
      <c r="F800" s="29" t="inlineStr">
        <is>
          <t>Gota Vital</t>
        </is>
      </c>
      <c r="G800" s="29" t="inlineStr">
        <is>
          <t>Goccia Vitale</t>
        </is>
      </c>
      <c r="H800" s="29" t="inlineStr">
        <is>
          <t>생명의물방울</t>
        </is>
      </c>
      <c r="I800" s="6" t="inlineStr">
        <is>
          <t>生命水滴</t>
        </is>
      </c>
      <c r="J800" s="29">
        <f>I800</f>
        <v/>
      </c>
      <c r="K800" s="29">
        <f>F800</f>
        <v/>
      </c>
    </row>
    <row r="801">
      <c r="A801" s="29">
        <f>CONCATENATE("NAME_MOVE_", SUBSTITUTE(SUBSTITUTE(UPPER(B801), " ", ""), "-", ""))</f>
        <v/>
      </c>
      <c r="B801" s="29" t="inlineStr">
        <is>
          <t>Obstruct</t>
        </is>
      </c>
      <c r="C801" s="29" t="inlineStr">
        <is>
          <t>ブロッキング</t>
        </is>
      </c>
      <c r="D801" s="29" t="inlineStr">
        <is>
          <t>Blocage</t>
        </is>
      </c>
      <c r="E801" s="29" t="inlineStr">
        <is>
          <t>Abblocker</t>
        </is>
      </c>
      <c r="F801" s="29" t="inlineStr">
        <is>
          <t>Obstrucción</t>
        </is>
      </c>
      <c r="G801" s="29" t="inlineStr">
        <is>
          <t>Sbarramento</t>
        </is>
      </c>
      <c r="H801" s="29" t="inlineStr">
        <is>
          <t>블로킹</t>
        </is>
      </c>
      <c r="I801" s="29" t="inlineStr">
        <is>
          <t>攔堵</t>
        </is>
      </c>
      <c r="J801" s="29">
        <f>IFERROR(__xludf.DUMMYFUNCTION("GOOGLETRANSLATE(I801,""zh_HANT"",""zh_HANS"")"),"拦堵")</f>
        <v/>
      </c>
      <c r="K801" s="29">
        <f>F801</f>
        <v/>
      </c>
    </row>
    <row r="802">
      <c r="A802" s="29">
        <f>CONCATENATE("NAME_MOVE_", SUBSTITUTE(SUBSTITUTE(UPPER(B802), " ", ""), "-", ""))</f>
        <v/>
      </c>
      <c r="B802" s="29" t="inlineStr">
        <is>
          <t>False Surrender</t>
        </is>
      </c>
      <c r="C802" s="29" t="inlineStr">
        <is>
          <t>どげざつき</t>
        </is>
      </c>
      <c r="D802" s="29" t="inlineStr">
        <is>
          <t>Fourbette</t>
        </is>
      </c>
      <c r="E802" s="29" t="inlineStr">
        <is>
          <t>Kniefalltrick</t>
        </is>
      </c>
      <c r="F802" s="29" t="inlineStr">
        <is>
          <t>Irreverencia</t>
        </is>
      </c>
      <c r="G802" s="29" t="inlineStr">
        <is>
          <t>Supplicolpo</t>
        </is>
      </c>
      <c r="H802" s="29" t="inlineStr">
        <is>
          <t>사죄의찌르기</t>
        </is>
      </c>
      <c r="I802" s="29" t="inlineStr">
        <is>
          <t>假跪真撞</t>
        </is>
      </c>
      <c r="J802" s="29">
        <f>I802</f>
        <v/>
      </c>
      <c r="K802" s="29">
        <f>F802</f>
        <v/>
      </c>
    </row>
    <row r="803">
      <c r="A803" s="29">
        <f>CONCATENATE("NAME_MOVE_", SUBSTITUTE(SUBSTITUTE(UPPER(B803), " ", ""), "-", ""))</f>
        <v/>
      </c>
      <c r="B803" s="29" t="inlineStr">
        <is>
          <t>Meteor Assault</t>
        </is>
      </c>
      <c r="C803" s="29" t="inlineStr">
        <is>
          <t>スターアサルト</t>
        </is>
      </c>
      <c r="D803" s="29" t="inlineStr">
        <is>
          <t>Joute Astrale</t>
        </is>
      </c>
      <c r="E803" s="29" t="inlineStr">
        <is>
          <t>Sternensturm</t>
        </is>
      </c>
      <c r="F803" s="29" t="inlineStr">
        <is>
          <t>Asalto Estelar</t>
        </is>
      </c>
      <c r="G803" s="29" t="inlineStr">
        <is>
          <t>Sfolgorassalto</t>
        </is>
      </c>
      <c r="H803" s="29" t="inlineStr">
        <is>
          <t>스타어설트</t>
        </is>
      </c>
      <c r="I803" s="29" t="inlineStr">
        <is>
          <t>流星突擊</t>
        </is>
      </c>
      <c r="J803" s="29">
        <f>IFERROR(__xludf.DUMMYFUNCTION("GOOGLETRANSLATE(I803,""zh_HANT"",""zh_HANS"")"),"流星突击")</f>
        <v/>
      </c>
      <c r="K803" s="29">
        <f>F803</f>
        <v/>
      </c>
    </row>
    <row r="804">
      <c r="A804" s="29">
        <f>CONCATENATE("NAME_MOVE_", SUBSTITUTE(SUBSTITUTE(UPPER(B804), " ", ""), "-", ""))</f>
        <v/>
      </c>
      <c r="B804" s="29" t="inlineStr">
        <is>
          <t>Eternabeam</t>
        </is>
      </c>
      <c r="C804" s="29" t="inlineStr">
        <is>
          <t>ムゲンダイビーム</t>
        </is>
      </c>
      <c r="D804" s="29" t="inlineStr">
        <is>
          <t>Laser Infinimax</t>
        </is>
      </c>
      <c r="E804" s="29" t="inlineStr">
        <is>
          <t>Unendynastrahlen</t>
        </is>
      </c>
      <c r="F804" s="29" t="inlineStr">
        <is>
          <t>Rayo Infinito</t>
        </is>
      </c>
      <c r="G804" s="29" t="inlineStr">
        <is>
          <t>Raggio Infinito</t>
        </is>
      </c>
      <c r="H804" s="29" t="inlineStr">
        <is>
          <t>무한다이빔</t>
        </is>
      </c>
      <c r="I804" s="29" t="inlineStr">
        <is>
          <t>無極光束</t>
        </is>
      </c>
      <c r="J804" s="29">
        <f>IFERROR(__xludf.DUMMYFUNCTION("GOOGLETRANSLATE(I804,""zh_HANT"",""zh_HANS"")"),"无极光束")</f>
        <v/>
      </c>
      <c r="K804" s="29">
        <f>F804</f>
        <v/>
      </c>
    </row>
    <row r="805">
      <c r="A805" s="29">
        <f>CONCATENATE("NAME_MOVE_", SUBSTITUTE(SUBSTITUTE(UPPER(B805), " ", ""), "-", ""))</f>
        <v/>
      </c>
      <c r="B805" s="29" t="inlineStr">
        <is>
          <t>Steel Beam</t>
        </is>
      </c>
      <c r="C805" s="29" t="inlineStr">
        <is>
          <t>てっていこうせん</t>
        </is>
      </c>
      <c r="D805" s="29" t="inlineStr">
        <is>
          <t>Métalaser</t>
        </is>
      </c>
      <c r="E805" s="29" t="inlineStr">
        <is>
          <t>Stahlstrahl</t>
        </is>
      </c>
      <c r="F805" s="29" t="inlineStr">
        <is>
          <t>Metaláser</t>
        </is>
      </c>
      <c r="G805" s="29" t="inlineStr">
        <is>
          <t>Raggio d'Acciaio</t>
        </is>
      </c>
      <c r="H805" s="29" t="inlineStr">
        <is>
          <t>철제광선</t>
        </is>
      </c>
      <c r="I805" s="29" t="inlineStr">
        <is>
          <t>鐵蹄光線</t>
        </is>
      </c>
      <c r="J805" s="29">
        <f>IFERROR(__xludf.DUMMYFUNCTION("GOOGLETRANSLATE(I805,""zh_HANT"",""zh_HANS"")"),"铁蹄光线")</f>
        <v/>
      </c>
      <c r="K805" s="29">
        <f>F805</f>
        <v/>
      </c>
    </row>
    <row r="806">
      <c r="A806" s="29">
        <f>CONCATENATE("NAME_MOVE_", SUBSTITUTE(SUBSTITUTE(UPPER(B806), " ", ""), "-", ""))</f>
        <v/>
      </c>
      <c r="B806" s="29" t="inlineStr">
        <is>
          <t>G-Max Vine Lash</t>
        </is>
      </c>
      <c r="C806" s="29" t="inlineStr">
        <is>
          <t>キョダイバンタツ</t>
        </is>
      </c>
      <c r="D806" s="29" t="inlineStr">
        <is>
          <t>Fouet G-Max</t>
        </is>
      </c>
      <c r="E806" s="29" t="inlineStr">
        <is>
          <t>Giga-Geißel</t>
        </is>
      </c>
      <c r="F806" s="29" t="inlineStr">
        <is>
          <t>Gigalianas</t>
        </is>
      </c>
      <c r="G806" s="29" t="inlineStr">
        <is>
          <t>Gigasferzata</t>
        </is>
      </c>
      <c r="H806" s="29" t="inlineStr">
        <is>
          <t>거다이편달</t>
        </is>
      </c>
      <c r="I806" s="29" t="inlineStr">
        <is>
          <t>超極巨灰飛鞭滅</t>
        </is>
      </c>
      <c r="J806" s="29">
        <f>IFERROR(__xludf.DUMMYFUNCTION("GOOGLETRANSLATE(I806,""zh_HANT"",""zh_HANS"")"),"超极巨灰飞鞭灭")</f>
        <v/>
      </c>
      <c r="K806" s="29">
        <f>F806</f>
        <v/>
      </c>
    </row>
    <row r="807">
      <c r="A807" s="29">
        <f>CONCATENATE("NAME_MOVE_", SUBSTITUTE(SUBSTITUTE(UPPER(B807), " ", ""), "-", ""))</f>
        <v/>
      </c>
      <c r="B807" s="29" t="inlineStr">
        <is>
          <t>G-Max Cannonade</t>
        </is>
      </c>
      <c r="C807" s="29" t="inlineStr">
        <is>
          <t>キョダイホウゲキ</t>
        </is>
      </c>
      <c r="D807" s="29" t="inlineStr">
        <is>
          <t>Cannonade G-Max</t>
        </is>
      </c>
      <c r="E807" s="29" t="inlineStr">
        <is>
          <t>Giga-Beschuss</t>
        </is>
      </c>
      <c r="F807" s="29" t="inlineStr">
        <is>
          <t>Gigacañonazo</t>
        </is>
      </c>
      <c r="G807" s="29" t="inlineStr">
        <is>
          <t>Gigacannonata</t>
        </is>
      </c>
      <c r="H807" s="29" t="inlineStr">
        <is>
          <t>거다이포격</t>
        </is>
      </c>
      <c r="I807" s="29" t="inlineStr">
        <is>
          <t>超極巨水砲轟滅</t>
        </is>
      </c>
      <c r="J807" s="29">
        <f>IFERROR(__xludf.DUMMYFUNCTION("GOOGLETRANSLATE(I807,""zh_HANT"",""zh_HANS"")"),"超极巨水炮轰灭")</f>
        <v/>
      </c>
      <c r="K807" s="29">
        <f>F807</f>
        <v/>
      </c>
    </row>
    <row r="808">
      <c r="A808" s="29">
        <f>CONCATENATE("NAME_MOVE_", SUBSTITUTE(SUBSTITUTE(UPPER(B808), " ", ""), "-", ""))</f>
        <v/>
      </c>
      <c r="B808" s="29" t="inlineStr">
        <is>
          <t>G-Max Drum Solo</t>
        </is>
      </c>
      <c r="C808" s="29" t="inlineStr">
        <is>
          <t>キョダイコランダ</t>
        </is>
      </c>
      <c r="D808" s="29" t="inlineStr">
        <is>
          <t>Percussion G-Max</t>
        </is>
      </c>
      <c r="E808" s="29" t="inlineStr">
        <is>
          <t>Giga-Getrommel</t>
        </is>
      </c>
      <c r="F808" s="29" t="inlineStr">
        <is>
          <t>Gigarredoble</t>
        </is>
      </c>
      <c r="G808" s="29" t="inlineStr">
        <is>
          <t>Gigarredoble</t>
        </is>
      </c>
      <c r="H808" s="29" t="inlineStr">
        <is>
          <t>거다이난타</t>
        </is>
      </c>
      <c r="I808" s="29" t="inlineStr">
        <is>
          <t>超極巨狂擂亂打</t>
        </is>
      </c>
      <c r="J808" s="29">
        <f>IFERROR(__xludf.DUMMYFUNCTION("GOOGLETRANSLATE(I808,""zh_HANT"",""zh_HANS"")"),"超极巨狂擂乱打")</f>
        <v/>
      </c>
      <c r="K808" s="29">
        <f>F808</f>
        <v/>
      </c>
    </row>
    <row r="809">
      <c r="A809" s="29">
        <f>CONCATENATE("NAME_MOVE_", SUBSTITUTE(SUBSTITUTE(UPPER(B809), " ", ""), "-", ""))</f>
        <v/>
      </c>
      <c r="B809" s="29" t="inlineStr">
        <is>
          <t>G-Max Fireball</t>
        </is>
      </c>
      <c r="C809" s="29" t="inlineStr">
        <is>
          <t>キョダイカキュウ</t>
        </is>
      </c>
      <c r="D809" s="29" t="inlineStr">
        <is>
          <t>Pyroball G-Max</t>
        </is>
      </c>
      <c r="E809" s="29" t="inlineStr">
        <is>
          <t>Giga-Brandball</t>
        </is>
      </c>
      <c r="F809" s="29" t="inlineStr">
        <is>
          <t>Gigaesfera Ígnea</t>
        </is>
      </c>
      <c r="G809" s="29" t="inlineStr">
        <is>
          <t>Gigaesfera Ígnea</t>
        </is>
      </c>
      <c r="H809" s="29" t="inlineStr">
        <is>
          <t>거다이화염구</t>
        </is>
      </c>
      <c r="I809" s="29" t="inlineStr">
        <is>
          <t>超極巨破陣火球</t>
        </is>
      </c>
      <c r="J809" s="29">
        <f>IFERROR(__xludf.DUMMYFUNCTION("GOOGLETRANSLATE(I809,""zh_HANT"",""zh_HANS"")"),"超极巨破阵火球")</f>
        <v/>
      </c>
      <c r="K809" s="29">
        <f>F809</f>
        <v/>
      </c>
    </row>
    <row r="810">
      <c r="A810" s="29">
        <f>CONCATENATE("NAME_MOVE_", SUBSTITUTE(SUBSTITUTE(UPPER(B810), " ", ""), "-", ""))</f>
        <v/>
      </c>
      <c r="B810" s="29" t="inlineStr">
        <is>
          <t>G-Max Hydrosnipe</t>
        </is>
      </c>
      <c r="C810" s="29" t="inlineStr">
        <is>
          <t>キョダイソゲキ</t>
        </is>
      </c>
      <c r="D810" s="29" t="inlineStr">
        <is>
          <t>Gâchette G-Max</t>
        </is>
      </c>
      <c r="E810" s="29" t="inlineStr">
        <is>
          <t>Giga-Schütze</t>
        </is>
      </c>
      <c r="F810" s="29" t="inlineStr">
        <is>
          <t>Gigadisparo</t>
        </is>
      </c>
      <c r="G810" s="29" t="inlineStr">
        <is>
          <t>Gigadisparo</t>
        </is>
      </c>
      <c r="H810" s="29" t="inlineStr">
        <is>
          <t>거다이저격</t>
        </is>
      </c>
      <c r="I810" s="29" t="inlineStr">
        <is>
          <t>超極巨狙擊神射</t>
        </is>
      </c>
      <c r="J810" s="29">
        <f>IFERROR(__xludf.DUMMYFUNCTION("GOOGLETRANSLATE(I810,""zh_HANT"",""zh_HANS"")"),"超极巨狙击神射")</f>
        <v/>
      </c>
      <c r="K810" s="29">
        <f>F810</f>
        <v/>
      </c>
    </row>
    <row r="811">
      <c r="A811" s="29">
        <f>CONCATENATE("NAME_MOVE_", SUBSTITUTE(SUBSTITUTE(UPPER(B811), " ", ""), "-", ""))</f>
        <v/>
      </c>
      <c r="B811" s="29" t="inlineStr">
        <is>
          <t>G-Max One Blow</t>
        </is>
      </c>
      <c r="C811" s="29" t="inlineStr">
        <is>
          <t>キョダイイチゲキ</t>
        </is>
      </c>
      <c r="D811" s="29" t="inlineStr">
        <is>
          <t>Coup Final G-Max</t>
        </is>
      </c>
      <c r="E811" s="29" t="inlineStr">
        <is>
          <t>Giga-Einzelhieb</t>
        </is>
      </c>
      <c r="F811" s="29" t="inlineStr">
        <is>
          <t>Gigagolpe Brusco</t>
        </is>
      </c>
      <c r="G811" s="29" t="inlineStr">
        <is>
          <t>Gigasingolcolpo</t>
        </is>
      </c>
      <c r="H811" s="29" t="inlineStr">
        <is>
          <t>거다이일격</t>
        </is>
      </c>
      <c r="I811" s="29" t="inlineStr">
        <is>
          <t>超極巨奪命一擊</t>
        </is>
      </c>
      <c r="J811" s="29">
        <f>IFERROR(__xludf.DUMMYFUNCTION("GOOGLETRANSLATE(I811,""zh_HANT"",""zh_HANS"")"),"超极巨夺命一击")</f>
        <v/>
      </c>
      <c r="K811" s="29">
        <f>F811</f>
        <v/>
      </c>
    </row>
    <row r="812">
      <c r="A812" s="29">
        <f>CONCATENATE("NAME_MOVE_", SUBSTITUTE(SUBSTITUTE(UPPER(B812), " ", ""), "-", ""))</f>
        <v/>
      </c>
      <c r="B812" s="29" t="inlineStr">
        <is>
          <t>G-Max Rapid Flow</t>
        </is>
      </c>
      <c r="C812" s="29" t="inlineStr">
        <is>
          <t>キョダイレンゲキ</t>
        </is>
      </c>
      <c r="D812" s="29" t="inlineStr">
        <is>
          <t>Multicoupe G-Max</t>
        </is>
      </c>
      <c r="E812" s="29" t="inlineStr">
        <is>
          <t>Giga-Multihieb</t>
        </is>
      </c>
      <c r="F812" s="29" t="inlineStr">
        <is>
          <t>Gigagolpe Fluido</t>
        </is>
      </c>
      <c r="G812" s="29" t="inlineStr">
        <is>
          <t>Gigapluricolpo</t>
        </is>
      </c>
      <c r="H812" s="29" t="inlineStr">
        <is>
          <t>거다이연격</t>
        </is>
      </c>
      <c r="I812" s="29" t="inlineStr">
        <is>
          <t>超極巨流水連擊</t>
        </is>
      </c>
      <c r="J812" s="29">
        <f>IFERROR(__xludf.DUMMYFUNCTION("GOOGLETRANSLATE(I812,""zh_HANT"",""zh_HANS"")"),"超极巨流水连击")</f>
        <v/>
      </c>
      <c r="K812" s="29">
        <f>F812</f>
        <v/>
      </c>
    </row>
    <row r="813">
      <c r="A813" s="29">
        <f>CONCATENATE("NAME_MOVE_", SUBSTITUTE(SUBSTITUTE(UPPER(B813), " ", ""), "-", ""))</f>
        <v/>
      </c>
      <c r="B813" s="29" t="inlineStr">
        <is>
          <t>Expanding Force</t>
        </is>
      </c>
      <c r="C813" s="29" t="inlineStr">
        <is>
          <t>ワイドフォース</t>
        </is>
      </c>
      <c r="D813" s="29" t="inlineStr">
        <is>
          <t>Vaste Pouvoir</t>
        </is>
      </c>
      <c r="E813" s="29" t="inlineStr">
        <is>
          <t>Flächenmacht</t>
        </is>
      </c>
      <c r="F813" s="29" t="inlineStr">
        <is>
          <t>Vasta Fuerza</t>
        </is>
      </c>
      <c r="G813" s="29" t="inlineStr">
        <is>
          <t>Vasterngia</t>
        </is>
      </c>
      <c r="H813" s="29" t="inlineStr">
        <is>
          <t>와이드포스</t>
        </is>
      </c>
      <c r="I813" s="29" t="inlineStr">
        <is>
          <t>廣域戰力</t>
        </is>
      </c>
      <c r="J813" s="29">
        <f>IFERROR(__xludf.DUMMYFUNCTION("GOOGLETRANSLATE(I813,""zh_HANT"",""zh_HANS"")"),"广域战力")</f>
        <v/>
      </c>
      <c r="K813" s="29">
        <f>F813</f>
        <v/>
      </c>
    </row>
    <row r="814">
      <c r="A814" s="29">
        <f>CONCATENATE("NAME_MOVE_", SUBSTITUTE(SUBSTITUTE(UPPER(B814), " ", ""), "-", ""))</f>
        <v/>
      </c>
      <c r="B814" s="29" t="inlineStr">
        <is>
          <t>Steel Roller</t>
        </is>
      </c>
      <c r="C814" s="29" t="inlineStr">
        <is>
          <t>アイアンローラー</t>
        </is>
      </c>
      <c r="D814" s="29" t="inlineStr">
        <is>
          <t>Métalliroue</t>
        </is>
      </c>
      <c r="E814" s="29" t="inlineStr">
        <is>
          <t>Eisenwalze</t>
        </is>
      </c>
      <c r="F814" s="29" t="inlineStr">
        <is>
          <t>Allanador Férreo</t>
        </is>
      </c>
      <c r="G814" s="29" t="inlineStr">
        <is>
          <t>Ferrorullo</t>
        </is>
      </c>
      <c r="H814" s="29" t="inlineStr">
        <is>
          <t>아이언롤러</t>
        </is>
      </c>
      <c r="I814" s="29" t="inlineStr">
        <is>
          <t>鐵滾輪</t>
        </is>
      </c>
      <c r="J814" s="29">
        <f>IFERROR(__xludf.DUMMYFUNCTION("GOOGLETRANSLATE(I814,""zh_HANT"",""zh_HANS"")"),"铁滚轮")</f>
        <v/>
      </c>
      <c r="K814" s="29">
        <f>F814</f>
        <v/>
      </c>
    </row>
    <row r="815">
      <c r="A815" s="29">
        <f>CONCATENATE("NAME_MOVE_", SUBSTITUTE(SUBSTITUTE(UPPER(B815), " ", ""), "-", ""))</f>
        <v/>
      </c>
      <c r="B815" s="29" t="inlineStr">
        <is>
          <t>Scale Shot</t>
        </is>
      </c>
      <c r="C815" s="29" t="inlineStr">
        <is>
          <t>スケイルショット</t>
        </is>
      </c>
      <c r="D815" s="29" t="inlineStr">
        <is>
          <t>Rafale Écailles</t>
        </is>
      </c>
      <c r="E815" s="29" t="inlineStr">
        <is>
          <t>Schuppenschuss</t>
        </is>
      </c>
      <c r="F815" s="29" t="inlineStr">
        <is>
          <t>Ráfaga Escamas</t>
        </is>
      </c>
      <c r="G815" s="29" t="inlineStr">
        <is>
          <t>Squamacolpo</t>
        </is>
      </c>
      <c r="H815" s="29" t="inlineStr">
        <is>
          <t>스케일샷</t>
        </is>
      </c>
      <c r="I815" s="29" t="inlineStr">
        <is>
          <t>鱗射</t>
        </is>
      </c>
      <c r="J815" s="29">
        <f>IFERROR(__xludf.DUMMYFUNCTION("GOOGLETRANSLATE(I815,""zh_HANT"",""zh_HANS"")"),"鳞射")</f>
        <v/>
      </c>
      <c r="K815" s="29">
        <f>F815</f>
        <v/>
      </c>
    </row>
    <row r="816">
      <c r="A816" s="29">
        <f>CONCATENATE("NAME_MOVE_", SUBSTITUTE(SUBSTITUTE(UPPER(B816), " ", ""), "-", ""))</f>
        <v/>
      </c>
      <c r="B816" s="29" t="inlineStr">
        <is>
          <t>Meteor Beam</t>
        </is>
      </c>
      <c r="C816" s="29" t="inlineStr">
        <is>
          <t>メテオビーム</t>
        </is>
      </c>
      <c r="D816" s="29" t="inlineStr">
        <is>
          <t>Laser Météore</t>
        </is>
      </c>
      <c r="E816" s="29" t="inlineStr">
        <is>
          <t>Meteorstrahl</t>
        </is>
      </c>
      <c r="F816" s="29" t="inlineStr">
        <is>
          <t>Rayo Meteórico</t>
        </is>
      </c>
      <c r="G816" s="29" t="inlineStr">
        <is>
          <t>Raggiometeroa</t>
        </is>
      </c>
      <c r="H816" s="29" t="inlineStr">
        <is>
          <t>메테오빔</t>
        </is>
      </c>
      <c r="I816" s="29" t="inlineStr">
        <is>
          <t>流星光束</t>
        </is>
      </c>
      <c r="J816" s="29">
        <f>I816</f>
        <v/>
      </c>
      <c r="K816" s="29">
        <f>F816</f>
        <v/>
      </c>
    </row>
    <row r="817">
      <c r="A817" s="29">
        <f>CONCATENATE("NAME_MOVE_", SUBSTITUTE(SUBSTITUTE(UPPER(B817), " ", ""), "-", ""))</f>
        <v/>
      </c>
      <c r="B817" s="29" t="inlineStr">
        <is>
          <t>Shell Side Arm</t>
        </is>
      </c>
      <c r="C817" s="29" t="inlineStr">
        <is>
          <t>シェルアームズ</t>
        </is>
      </c>
      <c r="D817" s="29" t="inlineStr">
        <is>
          <t>Kokiyarme</t>
        </is>
      </c>
      <c r="E817" s="29" t="inlineStr">
        <is>
          <t>Muschelwaffe</t>
        </is>
      </c>
      <c r="F817" s="29" t="inlineStr">
        <is>
          <t>Moluscañón</t>
        </is>
      </c>
      <c r="G817" s="29" t="inlineStr">
        <is>
          <t>Armaguscio</t>
        </is>
      </c>
      <c r="H817" s="29" t="inlineStr">
        <is>
          <t>셸암즈</t>
        </is>
      </c>
      <c r="I817" s="29" t="inlineStr">
        <is>
          <t>臂貝武器</t>
        </is>
      </c>
      <c r="J817" s="29">
        <f>IFERROR(__xludf.DUMMYFUNCTION("GOOGLETRANSLATE(I817,""zh_HANT"",""zh_HANS"")"),"臂贝武器")</f>
        <v/>
      </c>
      <c r="K817" s="29">
        <f>F817</f>
        <v/>
      </c>
    </row>
    <row r="818">
      <c r="A818" s="29">
        <f>CONCATENATE("NAME_MOVE_", SUBSTITUTE(SUBSTITUTE(UPPER(B818), " ", ""), "-", ""))</f>
        <v/>
      </c>
      <c r="B818" s="29" t="inlineStr">
        <is>
          <t>Misty Explosion</t>
        </is>
      </c>
      <c r="C818" s="29" t="inlineStr">
        <is>
          <t>ミストバースト</t>
        </is>
      </c>
      <c r="D818" s="29" t="inlineStr">
        <is>
          <t>Explo-Brume</t>
        </is>
      </c>
      <c r="E818" s="29" t="inlineStr">
        <is>
          <t>Nebelexplosion</t>
        </is>
      </c>
      <c r="F818" s="29" t="inlineStr">
        <is>
          <t>Bruma Explosiva</t>
        </is>
      </c>
      <c r="G818" s="29" t="inlineStr">
        <is>
          <t>Nebbioscoppio</t>
        </is>
      </c>
      <c r="H818" s="29" t="inlineStr">
        <is>
          <t>미스트버스트</t>
        </is>
      </c>
      <c r="I818" s="29" t="inlineStr">
        <is>
          <t>薄霧炸裂</t>
        </is>
      </c>
      <c r="J818" s="29">
        <f>IFERROR(__xludf.DUMMYFUNCTION("GOOGLETRANSLATE(I818,""zh_HANT"",""zh_HANS"")"),"薄雾炸裂")</f>
        <v/>
      </c>
      <c r="K818" s="29">
        <f>F818</f>
        <v/>
      </c>
    </row>
    <row r="819">
      <c r="A819" s="29">
        <f>CONCATENATE("NAME_MOVE_", SUBSTITUTE(SUBSTITUTE(UPPER(B819), " ", ""), "-", ""))</f>
        <v/>
      </c>
      <c r="B819" s="29" t="inlineStr">
        <is>
          <t>Grassy Glide</t>
        </is>
      </c>
      <c r="C819" s="29" t="inlineStr">
        <is>
          <t>グラススライダー</t>
        </is>
      </c>
      <c r="D819" s="29" t="inlineStr">
        <is>
          <t>Gliss'Herbe</t>
        </is>
      </c>
      <c r="E819" s="29" t="inlineStr">
        <is>
          <t>Grasrutche</t>
        </is>
      </c>
      <c r="F819" s="29" t="inlineStr">
        <is>
          <t>Fitoimpluso</t>
        </is>
      </c>
      <c r="G819" s="29" t="inlineStr">
        <is>
          <t>Erboscivolata</t>
        </is>
      </c>
      <c r="H819" s="29" t="inlineStr">
        <is>
          <t>그래스슬라이더﻿</t>
        </is>
      </c>
      <c r="I819" s="29" t="inlineStr">
        <is>
          <t>青草滑梯</t>
        </is>
      </c>
      <c r="J819" s="29">
        <f>I819</f>
        <v/>
      </c>
      <c r="K819" s="29">
        <f>F819</f>
        <v/>
      </c>
    </row>
    <row r="820">
      <c r="A820" s="29">
        <f>CONCATENATE("NAME_MOVE_", SUBSTITUTE(SUBSTITUTE(UPPER(B820), " ", ""), "-", ""))</f>
        <v/>
      </c>
      <c r="B820" s="29" t="inlineStr">
        <is>
          <t>Rising Voltage</t>
        </is>
      </c>
      <c r="C820" s="29" t="inlineStr">
        <is>
          <t>ライジングボルト</t>
        </is>
      </c>
      <c r="D820" s="29" t="inlineStr">
        <is>
          <t>Monte-Tension</t>
        </is>
      </c>
      <c r="E820" s="29" t="inlineStr">
        <is>
          <t>Hochspannung</t>
        </is>
      </c>
      <c r="F820" s="29" t="inlineStr">
        <is>
          <t>Alto Voltaje</t>
        </is>
      </c>
      <c r="G820" s="29" t="inlineStr">
        <is>
          <t>Elettroimpennata</t>
        </is>
      </c>
      <c r="H820" s="29" t="inlineStr">
        <is>
          <t>라이징볼트</t>
        </is>
      </c>
      <c r="I820" s="29" t="inlineStr">
        <is>
          <t>電力上升</t>
        </is>
      </c>
      <c r="J820" s="29">
        <f>IFERROR(__xludf.DUMMYFUNCTION("GOOGLETRANSLATE(I820,""zh_HANT"",""zh_HANS"")"),"电力上升")</f>
        <v/>
      </c>
      <c r="K820" s="29">
        <f>F820</f>
        <v/>
      </c>
    </row>
    <row r="821">
      <c r="A821" s="29">
        <f>CONCATENATE("NAME_MOVE_", SUBSTITUTE(SUBSTITUTE(UPPER(B821), " ", ""), "-", ""))</f>
        <v/>
      </c>
      <c r="B821" s="29" t="inlineStr">
        <is>
          <t>Terrain Pulse</t>
        </is>
      </c>
      <c r="C821" s="29" t="inlineStr">
        <is>
          <t>だいちのはどう</t>
        </is>
      </c>
      <c r="D821" s="29" t="inlineStr">
        <is>
          <t>Champlification</t>
        </is>
      </c>
      <c r="E821" s="29" t="inlineStr">
        <is>
          <t>Feldimpuls</t>
        </is>
      </c>
      <c r="F821" s="29" t="inlineStr">
        <is>
          <t>Pulso de Campo</t>
        </is>
      </c>
      <c r="G821" s="29" t="inlineStr">
        <is>
          <t>Campopulsar</t>
        </is>
      </c>
      <c r="H821" s="29" t="inlineStr">
        <is>
          <t>대지의파동</t>
        </is>
      </c>
      <c r="I821" s="29" t="inlineStr">
        <is>
          <t>大地波動</t>
        </is>
      </c>
      <c r="J821" s="29">
        <f>IFERROR(__xludf.DUMMYFUNCTION("GOOGLETRANSLATE(I821,""zh_HANT"",""zh_HANS"")"),"大地波动")</f>
        <v/>
      </c>
      <c r="K821" s="29">
        <f>F821</f>
        <v/>
      </c>
    </row>
    <row r="822">
      <c r="A822" s="29">
        <f>CONCATENATE("NAME_MOVE_", SUBSTITUTE(SUBSTITUTE(UPPER(B822), " ", ""), "-", ""))</f>
        <v/>
      </c>
      <c r="B822" s="29" t="inlineStr">
        <is>
          <t>Skitter Smack</t>
        </is>
      </c>
      <c r="C822" s="29" t="inlineStr">
        <is>
          <t>はいよるいちげき</t>
        </is>
      </c>
      <c r="D822" s="29" t="inlineStr">
        <is>
          <t>Ravage Rampant</t>
        </is>
      </c>
      <c r="E822" s="29" t="inlineStr">
        <is>
          <t>Krabbelkracher</t>
        </is>
      </c>
      <c r="F822" s="29" t="inlineStr">
        <is>
          <t>Golpe Rastrero</t>
        </is>
      </c>
      <c r="G822" s="29" t="inlineStr">
        <is>
          <t>Strisciacolpo</t>
        </is>
      </c>
      <c r="H822" s="29" t="inlineStr">
        <is>
          <t>엄습하는일격</t>
        </is>
      </c>
      <c r="I822" s="29" t="inlineStr">
        <is>
          <t>爬擊</t>
        </is>
      </c>
      <c r="J822" s="29">
        <f>IFERROR(__xludf.DUMMYFUNCTION("GOOGLETRANSLATE(I822,""zh_HANT"",""zh_HANS"")"),"爬击")</f>
        <v/>
      </c>
      <c r="K822" s="29">
        <f>F822</f>
        <v/>
      </c>
    </row>
    <row r="823">
      <c r="A823" s="29">
        <f>CONCATENATE("NAME_MOVE_", SUBSTITUTE(SUBSTITUTE(UPPER(B823), " ", ""), "-", ""))</f>
        <v/>
      </c>
      <c r="B823" s="29" t="inlineStr">
        <is>
          <t>Burning Jealousy</t>
        </is>
      </c>
      <c r="C823" s="29" t="inlineStr">
        <is>
          <t>しっとのほのお</t>
        </is>
      </c>
      <c r="D823" s="29" t="inlineStr">
        <is>
          <t>Feu Envieux</t>
        </is>
      </c>
      <c r="E823" s="29" t="inlineStr">
        <is>
          <t>Neidflammen</t>
        </is>
      </c>
      <c r="F823" s="29" t="inlineStr">
        <is>
          <t>Envidia Ardiente</t>
        </is>
      </c>
      <c r="G823" s="29" t="inlineStr">
        <is>
          <t>Fiamminvidia</t>
        </is>
      </c>
      <c r="H823" s="29" t="inlineStr">
        <is>
          <t>질투의불꽃</t>
        </is>
      </c>
      <c r="I823" s="29" t="inlineStr">
        <is>
          <t>妒火</t>
        </is>
      </c>
      <c r="J823" s="29">
        <f>I823</f>
        <v/>
      </c>
      <c r="K823" s="29">
        <f>F823</f>
        <v/>
      </c>
    </row>
    <row r="824">
      <c r="A824" s="29">
        <f>CONCATENATE("NAME_MOVE_", SUBSTITUTE(SUBSTITUTE(UPPER(B824), " ", ""), "-", ""))</f>
        <v/>
      </c>
      <c r="B824" s="29" t="inlineStr">
        <is>
          <t>Lash Out</t>
        </is>
      </c>
      <c r="C824" s="29" t="inlineStr">
        <is>
          <t>うっぷんばらし</t>
        </is>
      </c>
      <c r="D824" s="29" t="inlineStr">
        <is>
          <t>Cent Rancunes</t>
        </is>
      </c>
      <c r="E824" s="29" t="inlineStr">
        <is>
          <t>Frustventil</t>
        </is>
      </c>
      <c r="F824" s="29" t="inlineStr">
        <is>
          <t>Desahogo</t>
        </is>
      </c>
      <c r="G824" s="29" t="inlineStr">
        <is>
          <t>Sforgarabbia</t>
        </is>
      </c>
      <c r="H824" s="29" t="inlineStr">
        <is>
          <t>분풀이</t>
        </is>
      </c>
      <c r="I824" s="29" t="inlineStr">
        <is>
          <t>洩憤</t>
        </is>
      </c>
      <c r="J824" s="29">
        <f>IFERROR(__xludf.DUMMYFUNCTION("GOOGLETRANSLATE(I824,""zh_HANT"",""zh_HANS"")"),"泄愤")</f>
        <v/>
      </c>
      <c r="K824" s="29">
        <f>F824</f>
        <v/>
      </c>
    </row>
    <row r="825">
      <c r="A825" s="29">
        <f>CONCATENATE("NAME_MOVE_", SUBSTITUTE(SUBSTITUTE(UPPER(B825), " ", ""), "-", ""))</f>
        <v/>
      </c>
      <c r="B825" s="29" t="inlineStr">
        <is>
          <t>Poltergeist</t>
        </is>
      </c>
      <c r="C825" s="29" t="inlineStr">
        <is>
          <t>ポルターガイスト</t>
        </is>
      </c>
      <c r="D825" s="29" t="inlineStr">
        <is>
          <t>Esprit Frappeur</t>
        </is>
      </c>
      <c r="E825" s="29">
        <f>B825</f>
        <v/>
      </c>
      <c r="F825" s="29">
        <f>B825</f>
        <v/>
      </c>
      <c r="G825" s="29">
        <f>B825</f>
        <v/>
      </c>
      <c r="H825" s="29" t="inlineStr">
        <is>
          <t>폴터가이스트</t>
        </is>
      </c>
      <c r="I825" s="29" t="inlineStr">
        <is>
          <t>靈騷</t>
        </is>
      </c>
      <c r="J825" s="29">
        <f>IFERROR(__xludf.DUMMYFUNCTION("GOOGLETRANSLATE(I825,""zh_HANT"",""zh_HANS"")"),"灵骚")</f>
        <v/>
      </c>
      <c r="K825" s="29">
        <f>F825</f>
        <v/>
      </c>
    </row>
    <row r="826">
      <c r="A826" s="29">
        <f>CONCATENATE("NAME_MOVE_", SUBSTITUTE(SUBSTITUTE(UPPER(B826), " ", ""), "-", ""))</f>
        <v/>
      </c>
      <c r="B826" s="29" t="inlineStr">
        <is>
          <t>Corrosive Gas</t>
        </is>
      </c>
      <c r="C826" s="29" t="inlineStr">
        <is>
          <t>ふしょくガス</t>
        </is>
      </c>
      <c r="D826" s="29" t="inlineStr">
        <is>
          <t>Gaz Corrosif</t>
        </is>
      </c>
      <c r="E826" s="29" t="inlineStr">
        <is>
          <t>Korrosionsgas</t>
        </is>
      </c>
      <c r="F826" s="29" t="inlineStr">
        <is>
          <t>Gas Corrosivo</t>
        </is>
      </c>
      <c r="G826" s="29">
        <f>F826</f>
        <v/>
      </c>
      <c r="H826" s="29" t="inlineStr">
        <is>
          <t>부식가스</t>
        </is>
      </c>
      <c r="I826" s="29" t="inlineStr">
        <is>
          <t>腐蝕氣體</t>
        </is>
      </c>
      <c r="J826" s="29">
        <f>IFERROR(__xludf.DUMMYFUNCTION("GOOGLETRANSLATE(I826,""zh_HANT"",""zh_HANS"")"),"腐蚀气体")</f>
        <v/>
      </c>
      <c r="K826" s="29">
        <f>F826</f>
        <v/>
      </c>
    </row>
    <row r="827">
      <c r="A827" s="29">
        <f>CONCATENATE("NAME_MOVE_", SUBSTITUTE(SUBSTITUTE(UPPER(B827), " ", ""), "-", ""))</f>
        <v/>
      </c>
      <c r="B827" s="29" t="inlineStr">
        <is>
          <t>Coaching</t>
        </is>
      </c>
      <c r="C827" s="29" t="inlineStr">
        <is>
          <t>コーチング</t>
        </is>
      </c>
      <c r="D827" s="29">
        <f>B827</f>
        <v/>
      </c>
      <c r="E827" s="29">
        <f>B827</f>
        <v/>
      </c>
      <c r="F827" s="29" t="inlineStr">
        <is>
          <t>Motivación</t>
        </is>
      </c>
      <c r="G827" s="29">
        <f>B827</f>
        <v/>
      </c>
      <c r="H827" s="29" t="inlineStr">
        <is>
          <t>코칭</t>
        </is>
      </c>
      <c r="I827" s="29" t="inlineStr">
        <is>
          <t>指導</t>
        </is>
      </c>
      <c r="J827" s="29">
        <f>IFERROR(__xludf.DUMMYFUNCTION("GOOGLETRANSLATE(I827,""zh_HANT"",""zh_HANS"")"),"指导")</f>
        <v/>
      </c>
      <c r="K827" s="29">
        <f>F827</f>
        <v/>
      </c>
    </row>
    <row r="828">
      <c r="A828" s="29">
        <f>CONCATENATE("NAME_MOVE_", SUBSTITUTE(SUBSTITUTE(UPPER(B828), " ", ""), "-", ""))</f>
        <v/>
      </c>
      <c r="B828" s="29" t="inlineStr">
        <is>
          <t>Flip Turn</t>
        </is>
      </c>
      <c r="C828" s="29" t="inlineStr">
        <is>
          <t>クイックターン</t>
        </is>
      </c>
      <c r="D828" s="29" t="inlineStr">
        <is>
          <t>Eau Revoir</t>
        </is>
      </c>
      <c r="E828" s="29" t="inlineStr">
        <is>
          <t>Rollwende</t>
        </is>
      </c>
      <c r="F828" s="29" t="inlineStr">
        <is>
          <t>Viraje</t>
        </is>
      </c>
      <c r="G828" s="29" t="inlineStr">
        <is>
          <t>Virata</t>
        </is>
      </c>
      <c r="H828" s="29" t="inlineStr">
        <is>
          <t>퀵턴</t>
        </is>
      </c>
      <c r="I828" s="29" t="inlineStr">
        <is>
          <t>快速折返</t>
        </is>
      </c>
      <c r="J828" s="29">
        <f>I828</f>
        <v/>
      </c>
      <c r="K828" s="29">
        <f>F828</f>
        <v/>
      </c>
    </row>
    <row r="829">
      <c r="A829" s="29">
        <f>CONCATENATE("NAME_MOVE_", SUBSTITUTE(SUBSTITUTE(UPPER(B829), " ", ""), "-", ""))</f>
        <v/>
      </c>
      <c r="B829" s="29" t="inlineStr">
        <is>
          <t>Triple Axel</t>
        </is>
      </c>
      <c r="C829" s="29" t="inlineStr">
        <is>
          <t>トリプルアクセル</t>
        </is>
      </c>
      <c r="D829" s="29">
        <f>B829</f>
        <v/>
      </c>
      <c r="E829" s="29" t="inlineStr">
        <is>
          <t>Dreifach-Axel</t>
        </is>
      </c>
      <c r="F829" s="29">
        <f>B829</f>
        <v/>
      </c>
      <c r="G829" s="29" t="inlineStr">
        <is>
          <t>Triplo Axel</t>
        </is>
      </c>
      <c r="H829" s="29" t="inlineStr">
        <is>
          <t>트리플악셀</t>
        </is>
      </c>
      <c r="I829" s="29" t="inlineStr">
        <is>
          <t>三旋擊</t>
        </is>
      </c>
      <c r="J829" s="29">
        <f>IFERROR(__xludf.DUMMYFUNCTION("GOOGLETRANSLATE(I829,""zh_HANT"",""zh_HANS"")"),"三旋击")</f>
        <v/>
      </c>
      <c r="K829" s="29">
        <f>F829</f>
        <v/>
      </c>
    </row>
    <row r="830">
      <c r="A830" s="29">
        <f>CONCATENATE("NAME_MOVE_", SUBSTITUTE(SUBSTITUTE(UPPER(B830), " ", ""), "-", ""))</f>
        <v/>
      </c>
      <c r="B830" s="29" t="inlineStr">
        <is>
          <t>Dual Wingbeat</t>
        </is>
      </c>
      <c r="C830" s="29" t="inlineStr">
        <is>
          <t>ダブルウイング</t>
        </is>
      </c>
      <c r="D830" s="29" t="inlineStr">
        <is>
          <t>Double Volée</t>
        </is>
      </c>
      <c r="E830" s="29" t="inlineStr">
        <is>
          <t>Doppelflügel</t>
        </is>
      </c>
      <c r="F830" s="29" t="inlineStr">
        <is>
          <t>Ala Bis</t>
        </is>
      </c>
      <c r="G830" s="29" t="inlineStr">
        <is>
          <t>Doppia Ala</t>
        </is>
      </c>
      <c r="H830" s="29" t="inlineStr">
        <is>
          <t>더블윙</t>
        </is>
      </c>
      <c r="I830" s="29" t="inlineStr">
        <is>
          <t>雙翼</t>
        </is>
      </c>
      <c r="J830" s="29">
        <f>IFERROR(__xludf.DUMMYFUNCTION("GOOGLETRANSLATE(I830,""zh_HANT"",""zh_HANS"")"),"双翼")</f>
        <v/>
      </c>
      <c r="K830" s="29">
        <f>F830</f>
        <v/>
      </c>
    </row>
    <row r="831">
      <c r="A831" s="29">
        <f>CONCATENATE("NAME_MOVE_", SUBSTITUTE(SUBSTITUTE(UPPER(B831), " ", ""), "-", ""))</f>
        <v/>
      </c>
      <c r="B831" s="29" t="inlineStr">
        <is>
          <t>Scorching Sands</t>
        </is>
      </c>
      <c r="C831" s="29" t="inlineStr">
        <is>
          <t>ねっさのだいち</t>
        </is>
      </c>
      <c r="D831" s="29" t="inlineStr">
        <is>
          <t>Sable Ardent</t>
        </is>
      </c>
      <c r="E831" s="29" t="inlineStr">
        <is>
          <t>Brandsand</t>
        </is>
      </c>
      <c r="F831" s="29" t="inlineStr">
        <is>
          <t>Arenas Ardientes</t>
        </is>
      </c>
      <c r="G831" s="29" t="inlineStr">
        <is>
          <t>Sabbiardente</t>
        </is>
      </c>
      <c r="H831" s="29" t="inlineStr">
        <is>
          <t>열사의대지</t>
        </is>
      </c>
      <c r="I831" s="29" t="inlineStr">
        <is>
          <t>熱沙大地</t>
        </is>
      </c>
      <c r="J831" s="29">
        <f>IFERROR(__xludf.DUMMYFUNCTION("GOOGLETRANSLATE(I831,""zh_HANT"",""zh_HANS"")"),"热沙大地")</f>
        <v/>
      </c>
      <c r="K831" s="29">
        <f>F831</f>
        <v/>
      </c>
    </row>
    <row r="832">
      <c r="A832" s="29">
        <f>CONCATENATE("NAME_MOVE_", SUBSTITUTE(SUBSTITUTE(UPPER(B832), " ", ""), "-", ""))</f>
        <v/>
      </c>
      <c r="B832" s="29" t="inlineStr">
        <is>
          <t>Jungle Healing</t>
        </is>
      </c>
      <c r="C832" s="29" t="inlineStr">
        <is>
          <t>ジュングルヒール</t>
        </is>
      </c>
      <c r="D832" s="29" t="inlineStr">
        <is>
          <t>Selve Salvatrice</t>
        </is>
      </c>
      <c r="E832" s="29" t="inlineStr">
        <is>
          <t>Dschungelheilung</t>
        </is>
      </c>
      <c r="F832" s="29" t="inlineStr">
        <is>
          <t>Cura Selvática</t>
        </is>
      </c>
      <c r="G832" s="29" t="inlineStr">
        <is>
          <t>Giunglacura</t>
        </is>
      </c>
      <c r="H832" s="29" t="inlineStr">
        <is>
          <t>정글힐</t>
        </is>
      </c>
      <c r="I832" s="29" t="inlineStr">
        <is>
          <t>叢林治療</t>
        </is>
      </c>
      <c r="J832" s="29">
        <f>IFERROR(__xludf.DUMMYFUNCTION("GOOGLETRANSLATE(I832,""zh_HANT"",""zh_HANS"")"),"丛林治疗")</f>
        <v/>
      </c>
      <c r="K832" s="29">
        <f>F832</f>
        <v/>
      </c>
    </row>
    <row r="833">
      <c r="A833" s="29">
        <f>CONCATENATE("NAME_MOVE_", SUBSTITUTE(SUBSTITUTE(UPPER(B833), " ", ""), "-", ""))</f>
        <v/>
      </c>
      <c r="B833" s="29" t="inlineStr">
        <is>
          <t>Wicked Blow</t>
        </is>
      </c>
      <c r="C833" s="29" t="inlineStr">
        <is>
          <t>あんこくきょうだ</t>
        </is>
      </c>
      <c r="D833" s="29" t="inlineStr">
        <is>
          <t>Poing Obscur</t>
        </is>
      </c>
      <c r="E833" s="29" t="inlineStr">
        <is>
          <t>Finstertreffer</t>
        </is>
      </c>
      <c r="F833" s="29" t="inlineStr">
        <is>
          <t>Golpe Oscuro</t>
        </is>
      </c>
      <c r="G833" s="29" t="inlineStr">
        <is>
          <t>Pugnotenebra</t>
        </is>
      </c>
      <c r="H833" s="29" t="inlineStr">
        <is>
          <t>암흑강타</t>
        </is>
      </c>
      <c r="I833" s="29" t="inlineStr">
        <is>
          <t>暗冥強擊</t>
        </is>
      </c>
      <c r="J833" s="29">
        <f>IFERROR(__xludf.DUMMYFUNCTION("GOOGLETRANSLATE(I833,""zh_HANT"",""zh_HANS"")"),"暗冥强击")</f>
        <v/>
      </c>
      <c r="K833" s="29">
        <f>F833</f>
        <v/>
      </c>
    </row>
    <row r="834">
      <c r="A834" s="29">
        <f>CONCATENATE("NAME_MOVE_", SUBSTITUTE(SUBSTITUTE(UPPER(B834), " ", ""), "-", ""))</f>
        <v/>
      </c>
      <c r="B834" s="29" t="inlineStr">
        <is>
          <t>Surging Strikes</t>
        </is>
      </c>
      <c r="C834" s="29" t="inlineStr">
        <is>
          <t>すいりゅうれんだ</t>
        </is>
      </c>
      <c r="D834" s="29" t="inlineStr">
        <is>
          <t>Torrent de Coups</t>
        </is>
      </c>
      <c r="E834" s="29" t="inlineStr">
        <is>
          <t>Trefferschwall</t>
        </is>
      </c>
      <c r="F834" s="29" t="inlineStr">
        <is>
          <t>Azote Torrencial</t>
        </is>
      </c>
      <c r="G834" s="29" t="inlineStr">
        <is>
          <t>Idroraffica</t>
        </is>
      </c>
      <c r="H834" s="29" t="inlineStr">
        <is>
          <t>수류연타</t>
        </is>
      </c>
      <c r="I834" s="29" t="inlineStr">
        <is>
          <t>水流連打</t>
        </is>
      </c>
      <c r="J834" s="29">
        <f>IFERROR(__xludf.DUMMYFUNCTION("GOOGLETRANSLATE(I834,""zh_HANT"",""zh_HANS"")"),"水流连打")</f>
        <v/>
      </c>
      <c r="K834" s="29">
        <f>F834</f>
        <v/>
      </c>
    </row>
    <row r="835">
      <c r="A835" s="29">
        <f>CONCATENATE("NAME_MOVE_", SUBSTITUTE(SUBSTITUTE(UPPER(B835), " ", ""), "-", ""))</f>
        <v/>
      </c>
      <c r="B835" s="29" t="inlineStr">
        <is>
          <t>Thunder Cage</t>
        </is>
      </c>
      <c r="C835" s="29" t="inlineStr">
        <is>
          <t>サンダープリズン</t>
        </is>
      </c>
      <c r="D835" s="29" t="inlineStr">
        <is>
          <t>Voltageôle</t>
        </is>
      </c>
      <c r="E835" s="29" t="inlineStr">
        <is>
          <t>Blitzgefängnis</t>
        </is>
      </c>
      <c r="F835" s="29" t="inlineStr">
        <is>
          <t>Electrojaula</t>
        </is>
      </c>
      <c r="G835" s="29" t="inlineStr">
        <is>
          <t>Elettrogabbia</t>
        </is>
      </c>
      <c r="H835" s="29" t="inlineStr">
        <is>
          <t>썬더프리즌</t>
        </is>
      </c>
      <c r="I835" s="29" t="inlineStr">
        <is>
          <t>雷電囚籠</t>
        </is>
      </c>
      <c r="J835" s="29">
        <f>IFERROR(__xludf.DUMMYFUNCTION("GOOGLETRANSLATE(I835,""zh_HANT"",""zh_HANS"")"),"雷电囚笼")</f>
        <v/>
      </c>
      <c r="K835" s="29">
        <f>F835</f>
        <v/>
      </c>
    </row>
    <row r="836">
      <c r="A836" s="29">
        <f>CONCATENATE("NAME_MOVE_", SUBSTITUTE(SUBSTITUTE(UPPER(B836), " ", ""), "-", ""))</f>
        <v/>
      </c>
      <c r="B836" s="29" t="inlineStr">
        <is>
          <t>Dragon Energy</t>
        </is>
      </c>
      <c r="C836" s="29" t="inlineStr">
        <is>
          <t>ドラゴンエナジー</t>
        </is>
      </c>
      <c r="D836" s="29" t="inlineStr">
        <is>
          <t>Draco-Énergie</t>
        </is>
      </c>
      <c r="E836" s="29" t="inlineStr">
        <is>
          <t>Drachenkräfte</t>
        </is>
      </c>
      <c r="F836" s="29" t="inlineStr">
        <is>
          <t>Dracoenergía</t>
        </is>
      </c>
      <c r="G836" s="29" t="inlineStr">
        <is>
          <t>Dragoenergia</t>
        </is>
      </c>
      <c r="H836" s="29" t="inlineStr">
        <is>
          <t>드래곤에너지</t>
        </is>
      </c>
      <c r="I836" s="29" t="inlineStr">
        <is>
          <t>巨龍威能</t>
        </is>
      </c>
      <c r="J836" s="29">
        <f>IFERROR(__xludf.DUMMYFUNCTION("GOOGLETRANSLATE(I836,""zh_HANT"",""zh_HANS"")"),"巨龙威能")</f>
        <v/>
      </c>
      <c r="K836" s="29">
        <f>F836</f>
        <v/>
      </c>
    </row>
    <row r="837">
      <c r="A837" s="29">
        <f>CONCATENATE("NAME_MOVE_", SUBSTITUTE(SUBSTITUTE(UPPER(B837), " ", ""), "-", ""))</f>
        <v/>
      </c>
      <c r="B837" s="29" t="inlineStr">
        <is>
          <t>Freezing Glare</t>
        </is>
      </c>
      <c r="C837" s="29" t="inlineStr">
        <is>
          <t>いてつくしせん</t>
        </is>
      </c>
      <c r="D837" s="29" t="inlineStr">
        <is>
          <t>Regard Glaçant</t>
        </is>
      </c>
      <c r="E837" s="29" t="inlineStr">
        <is>
          <t>Eisiger Blick</t>
        </is>
      </c>
      <c r="F837" s="29" t="inlineStr">
        <is>
          <t>Mirada Heladora</t>
        </is>
      </c>
      <c r="G837" s="29" t="inlineStr">
        <is>
          <t>Sguardo Gelido</t>
        </is>
      </c>
      <c r="H837" s="29" t="inlineStr">
        <is>
          <t>얼어붙는시선</t>
        </is>
      </c>
      <c r="I837" s="29" t="inlineStr">
        <is>
          <t>冰冷視線</t>
        </is>
      </c>
      <c r="J837" s="29">
        <f>IFERROR(__xludf.DUMMYFUNCTION("GOOGLETRANSLATE(I837,""zh_HANT"",""zh_HANS"")"),"冰冷视线")</f>
        <v/>
      </c>
      <c r="K837" s="29">
        <f>F837</f>
        <v/>
      </c>
    </row>
    <row r="838">
      <c r="A838" s="29">
        <f>CONCATENATE("NAME_MOVE_", SUBSTITUTE(SUBSTITUTE(UPPER(B838), " ", ""), "-", ""))</f>
        <v/>
      </c>
      <c r="B838" s="29" t="inlineStr">
        <is>
          <t>Fiery Wrath</t>
        </is>
      </c>
      <c r="C838" s="29" t="inlineStr">
        <is>
          <t>もえあがるいかり</t>
        </is>
      </c>
      <c r="D838" s="29" t="inlineStr">
        <is>
          <t>Fureur Ardente</t>
        </is>
      </c>
      <c r="E838" s="29" t="inlineStr">
        <is>
          <t>Brennender Zorn</t>
        </is>
      </c>
      <c r="F838" s="29" t="inlineStr">
        <is>
          <t>Furia Candente</t>
        </is>
      </c>
      <c r="G838" s="29" t="inlineStr">
        <is>
          <t>Furia Ardente</t>
        </is>
      </c>
      <c r="H838" s="29" t="inlineStr">
        <is>
          <t>타오르는분노</t>
        </is>
      </c>
      <c r="I838" s="29" t="inlineStr">
        <is>
          <t>怒火中燒</t>
        </is>
      </c>
      <c r="J838" s="29">
        <f>IFERROR(__xludf.DUMMYFUNCTION("GOOGLETRANSLATE(I838,""zh_HANT"",""zh_HANS"")"),"怒火中烧")</f>
        <v/>
      </c>
      <c r="K838" s="29">
        <f>F838</f>
        <v/>
      </c>
    </row>
    <row r="839">
      <c r="A839" s="29">
        <f>CONCATENATE("NAME_MOVE_", SUBSTITUTE(SUBSTITUTE(UPPER(B839), " ", ""), "-", ""))</f>
        <v/>
      </c>
      <c r="B839" s="29" t="inlineStr">
        <is>
          <t>Thunderous Kick</t>
        </is>
      </c>
      <c r="C839" s="29" t="inlineStr">
        <is>
          <t>らいめいげり</t>
        </is>
      </c>
      <c r="D839" s="29" t="inlineStr">
        <is>
          <t>Coup Fulgurant</t>
        </is>
      </c>
      <c r="E839" s="29" t="inlineStr">
        <is>
          <t>Donnernder Tritt</t>
        </is>
      </c>
      <c r="F839" s="29" t="inlineStr">
        <is>
          <t>Patada Relámpago</t>
        </is>
      </c>
      <c r="G839" s="29" t="inlineStr">
        <is>
          <t>Calcio Tonante</t>
        </is>
      </c>
      <c r="H839" s="29" t="inlineStr">
        <is>
          <t>천둥차기</t>
        </is>
      </c>
      <c r="I839" s="29" t="inlineStr">
        <is>
          <t>雷鳴蹴擊</t>
        </is>
      </c>
      <c r="J839" s="29">
        <f>IFERROR(__xludf.DUMMYFUNCTION("GOOGLETRANSLATE(I839,""zh_HANT"",""zh_HANS"")"),"雷鸣蹴击")</f>
        <v/>
      </c>
      <c r="K839" s="29">
        <f>F839</f>
        <v/>
      </c>
    </row>
    <row r="840">
      <c r="A840" s="29">
        <f>CONCATENATE("NAME_MOVE_", SUBSTITUTE(SUBSTITUTE(UPPER(B840), " ", ""), "-", ""))</f>
        <v/>
      </c>
      <c r="B840" s="29" t="inlineStr">
        <is>
          <t>Glacial Lance</t>
        </is>
      </c>
      <c r="C840" s="29" t="inlineStr">
        <is>
          <t>ブリザードランス</t>
        </is>
      </c>
      <c r="D840" s="29" t="inlineStr">
        <is>
          <t>Lance de Glace</t>
        </is>
      </c>
      <c r="E840" s="29" t="inlineStr">
        <is>
          <t>Blizzardlanze</t>
        </is>
      </c>
      <c r="F840" s="29" t="inlineStr">
        <is>
          <t>Lanza Glacial</t>
        </is>
      </c>
      <c r="G840" s="29" t="inlineStr">
        <is>
          <t>Lancia Glaciale</t>
        </is>
      </c>
      <c r="H840" s="29" t="inlineStr">
        <is>
          <t>블리자드랜스</t>
        </is>
      </c>
      <c r="I840" s="29" t="inlineStr">
        <is>
          <t>雪矛</t>
        </is>
      </c>
      <c r="J840" s="29">
        <f>I840</f>
        <v/>
      </c>
      <c r="K840" s="29">
        <f>F840</f>
        <v/>
      </c>
    </row>
    <row r="841">
      <c r="A841" s="29">
        <f>CONCATENATE("NAME_MOVE_", SUBSTITUTE(SUBSTITUTE(UPPER(B841), " ", ""), "-", ""))</f>
        <v/>
      </c>
      <c r="B841" s="29" t="inlineStr">
        <is>
          <t>Astral Barrage</t>
        </is>
      </c>
      <c r="C841" s="29" t="inlineStr">
        <is>
          <t>アストラルビット</t>
        </is>
      </c>
      <c r="D841" s="29" t="inlineStr">
        <is>
          <t>Éclat Spectral</t>
        </is>
      </c>
      <c r="E841" s="29" t="inlineStr">
        <is>
          <t>Astralfragmente</t>
        </is>
      </c>
      <c r="F841" s="29" t="inlineStr">
        <is>
          <t>Orbes Espretro</t>
        </is>
      </c>
      <c r="G841" s="29" t="inlineStr">
        <is>
          <t>Schegge Astrali</t>
        </is>
      </c>
      <c r="H841" s="29" t="inlineStr">
        <is>
          <t>아스트랄비트</t>
        </is>
      </c>
      <c r="I841" s="29" t="inlineStr">
        <is>
          <t>星碎</t>
        </is>
      </c>
      <c r="J841" s="29">
        <f>I841</f>
        <v/>
      </c>
      <c r="K841" s="29">
        <f>F841</f>
        <v/>
      </c>
    </row>
    <row r="842">
      <c r="A842" s="29">
        <f>CONCATENATE("NAME_MOVE_", SUBSTITUTE(SUBSTITUTE(UPPER(B842), " ", ""), "-", ""))</f>
        <v/>
      </c>
      <c r="B842" s="29" t="inlineStr">
        <is>
          <t>Eerie Spell</t>
        </is>
      </c>
      <c r="C842" s="29" t="inlineStr">
        <is>
          <t>ぶきみなじゅもん</t>
        </is>
      </c>
      <c r="D842" s="29" t="inlineStr">
        <is>
          <t>Sort Sinistre</t>
        </is>
      </c>
      <c r="E842" s="29" t="inlineStr">
        <is>
          <t>Schauderspruch</t>
        </is>
      </c>
      <c r="F842" s="29" t="inlineStr">
        <is>
          <t>Conjuro Funesto</t>
        </is>
      </c>
      <c r="G842" s="29" t="inlineStr">
        <is>
          <t>Inquietantesimo</t>
        </is>
      </c>
      <c r="H842" s="6" t="inlineStr">
        <is>
          <t>섬뜩한주문</t>
        </is>
      </c>
      <c r="I842" s="6" t="inlineStr">
        <is>
          <t>詭異咒語</t>
        </is>
      </c>
      <c r="J842" s="29">
        <f>IFERROR(__xludf.DUMMYFUNCTION("GOOGLETRANSLATE(I842,""zh_HANT"",""zh_HANS"")"),"诡异咒语")</f>
        <v/>
      </c>
      <c r="K842" s="29">
        <f>F842</f>
        <v/>
      </c>
    </row>
    <row r="843">
      <c r="A843" s="29">
        <f>CONCATENATE("NAME_MOVE_", SUBSTITUTE(SUBSTITUTE(UPPER(B843), " ", ""), "-", ""))</f>
        <v/>
      </c>
      <c r="B843" s="29" t="inlineStr">
        <is>
          <t>Dire Claw</t>
        </is>
      </c>
      <c r="C843" s="29" t="inlineStr">
        <is>
          <t>フェイタルクロー</t>
        </is>
      </c>
      <c r="D843" s="29" t="inlineStr">
        <is>
          <t>Griffes Funestes</t>
        </is>
      </c>
      <c r="E843" s="29" t="inlineStr">
        <is>
          <t>Unheilsklauen</t>
        </is>
      </c>
      <c r="F843" s="29" t="inlineStr">
        <is>
          <t>Garra Nociva</t>
        </is>
      </c>
      <c r="G843" s="29" t="inlineStr">
        <is>
          <t>Artigli Fatali</t>
        </is>
      </c>
      <c r="H843" s="6" t="inlineStr">
        <is>
          <t>페이탈클로</t>
        </is>
      </c>
      <c r="I843" s="6" t="inlineStr">
        <is>
          <t>剋命爪</t>
        </is>
      </c>
      <c r="J843" s="29">
        <f>IFERROR(__xludf.DUMMYFUNCTION("GOOGLETRANSLATE(I843,""zh_HANT"",""zh_HANS"")"),"克命爪")</f>
        <v/>
      </c>
      <c r="K843" s="29">
        <f>F843</f>
        <v/>
      </c>
    </row>
    <row r="844">
      <c r="A844" s="29">
        <f>CONCATENATE("NAME_MOVE_", SUBSTITUTE(SUBSTITUTE(UPPER(B844), " ", ""), "-", ""))</f>
        <v/>
      </c>
      <c r="B844" s="29" t="inlineStr">
        <is>
          <t>Psyshield Smash</t>
        </is>
      </c>
      <c r="C844" s="29" t="inlineStr">
        <is>
          <t>バリアーラッシュ</t>
        </is>
      </c>
      <c r="D844" s="29" t="inlineStr">
        <is>
          <t>Sprint Bouclier</t>
        </is>
      </c>
      <c r="E844" s="29" t="inlineStr">
        <is>
          <t>Barrierenstoß</t>
        </is>
      </c>
      <c r="F844" s="29" t="inlineStr">
        <is>
          <t>Asalto Barrera</t>
        </is>
      </c>
      <c r="G844" s="29" t="inlineStr">
        <is>
          <t>Barrierassalto</t>
        </is>
      </c>
      <c r="H844" s="6" t="inlineStr">
        <is>
          <t>배리어러시</t>
        </is>
      </c>
      <c r="I844" s="6" t="inlineStr">
        <is>
          <t>屏障猛攻</t>
        </is>
      </c>
      <c r="J844" s="29">
        <f>I844</f>
        <v/>
      </c>
      <c r="K844" s="29">
        <f>F844</f>
        <v/>
      </c>
    </row>
    <row r="845">
      <c r="A845" s="29">
        <f>CONCATENATE("NAME_MOVE_", SUBSTITUTE(SUBSTITUTE(UPPER(B845), " ", ""), "-", ""))</f>
        <v/>
      </c>
      <c r="B845" s="29" t="inlineStr">
        <is>
          <t>Power Shift</t>
        </is>
      </c>
      <c r="C845" s="29" t="inlineStr">
        <is>
          <t>パワーシフト</t>
        </is>
      </c>
      <c r="D845" s="29" t="inlineStr">
        <is>
          <t>Échange Force</t>
        </is>
      </c>
      <c r="E845" s="29" t="inlineStr">
        <is>
          <t>Kraftwechsel</t>
        </is>
      </c>
      <c r="F845" s="29" t="inlineStr">
        <is>
          <t>Cambiapoder</t>
        </is>
      </c>
      <c r="G845" s="29" t="inlineStr">
        <is>
          <t>Scambioforza</t>
        </is>
      </c>
      <c r="H845" s="6" t="inlineStr">
        <is>
          <t>파워시프트</t>
        </is>
      </c>
      <c r="I845" s="6" t="inlineStr">
        <is>
          <t>力量轉換</t>
        </is>
      </c>
      <c r="J845" s="29">
        <f>IFERROR(__xludf.DUMMYFUNCTION("GOOGLETRANSLATE(I845,""zh_HANT"",""zh_HANS"")"),"力量转换")</f>
        <v/>
      </c>
      <c r="K845" s="29">
        <f>F845</f>
        <v/>
      </c>
    </row>
    <row r="846">
      <c r="A846" s="29">
        <f>CONCATENATE("NAME_MOVE_", SUBSTITUTE(SUBSTITUTE(UPPER(B846), " ", ""), "-", ""))</f>
        <v/>
      </c>
      <c r="B846" s="29" t="inlineStr">
        <is>
          <t>Stone Axe</t>
        </is>
      </c>
      <c r="C846" s="29" t="inlineStr">
        <is>
          <t>がんせきアックス</t>
        </is>
      </c>
      <c r="D846" s="29" t="inlineStr">
        <is>
          <t>Hache del Pierre</t>
        </is>
      </c>
      <c r="E846" s="29" t="inlineStr">
        <is>
          <t>Felsaxt</t>
        </is>
      </c>
      <c r="F846" s="29" t="inlineStr">
        <is>
          <t>Hachazo Pétreo</t>
        </is>
      </c>
      <c r="G846" s="29" t="inlineStr">
        <is>
          <t>Rocciascure</t>
        </is>
      </c>
      <c r="H846" s="6" t="inlineStr">
        <is>
          <t>암석액스</t>
        </is>
      </c>
      <c r="I846" s="6" t="inlineStr">
        <is>
          <t>岩斧</t>
        </is>
      </c>
      <c r="J846" s="29">
        <f>I846</f>
        <v/>
      </c>
      <c r="K846" s="29">
        <f>F846</f>
        <v/>
      </c>
    </row>
    <row r="847">
      <c r="A847" s="29">
        <f>CONCATENATE("NAME_MOVE_", SUBSTITUTE(SUBSTITUTE(UPPER(B847), " ", ""), "-", ""))</f>
        <v/>
      </c>
      <c r="B847" s="29" t="inlineStr">
        <is>
          <t>Springtide Storm</t>
        </is>
      </c>
      <c r="C847" s="29" t="inlineStr">
        <is>
          <t>はるのあらし</t>
        </is>
      </c>
      <c r="D847" s="29" t="inlineStr">
        <is>
          <t>Typhon Passionné</t>
        </is>
      </c>
      <c r="E847" s="29" t="inlineStr">
        <is>
          <t>Frühlingsorkan</t>
        </is>
      </c>
      <c r="F847" s="29" t="inlineStr">
        <is>
          <t>Ciclón Primavera</t>
        </is>
      </c>
      <c r="G847" s="29" t="inlineStr">
        <is>
          <t>Tempesta Zefirea</t>
        </is>
      </c>
      <c r="H847" s="6" t="inlineStr">
        <is>
          <t>봄의폭풍</t>
        </is>
      </c>
      <c r="I847" s="6" t="inlineStr">
        <is>
          <t>陽春風暴</t>
        </is>
      </c>
      <c r="J847" s="29">
        <f>IFERROR(__xludf.DUMMYFUNCTION("GOOGLETRANSLATE(I847,""zh_HANT"",""zh_HANS"")"),"阳春风暴")</f>
        <v/>
      </c>
      <c r="K847" s="29">
        <f>F847</f>
        <v/>
      </c>
    </row>
    <row r="848">
      <c r="A848" s="29">
        <f>CONCATENATE("NAME_MOVE_", SUBSTITUTE(SUBSTITUTE(UPPER(B848), " ", ""), "-", ""))</f>
        <v/>
      </c>
      <c r="B848" s="29" t="inlineStr">
        <is>
          <t>Mystical Power</t>
        </is>
      </c>
      <c r="C848" s="29" t="inlineStr">
        <is>
          <t>しんぴのちから</t>
        </is>
      </c>
      <c r="D848" s="29" t="inlineStr">
        <is>
          <t>Force Mystique</t>
        </is>
      </c>
      <c r="E848" s="29" t="inlineStr">
        <is>
          <t>Mythenkraft</t>
        </is>
      </c>
      <c r="F848" s="29" t="inlineStr">
        <is>
          <t>Poder Místico</t>
        </is>
      </c>
      <c r="G848" s="29" t="inlineStr">
        <is>
          <t>Forza Mistica</t>
        </is>
      </c>
      <c r="H848" s="29" t="inlineStr">
        <is>
          <t>신비의힘</t>
        </is>
      </c>
      <c r="I848" s="29" t="inlineStr">
        <is>
          <t>神秘之力</t>
        </is>
      </c>
      <c r="J848" s="29">
        <f>I848</f>
        <v/>
      </c>
      <c r="K848" s="29">
        <f>F848</f>
        <v/>
      </c>
    </row>
    <row r="849">
      <c r="A849" s="29">
        <f>CONCATENATE("NAME_MOVE_", SUBSTITUTE(SUBSTITUTE(UPPER(B849), " ", ""), "-", ""))</f>
        <v/>
      </c>
      <c r="B849" s="29" t="inlineStr">
        <is>
          <t>Raging Fury</t>
        </is>
      </c>
      <c r="C849" s="29" t="inlineStr">
        <is>
          <t>だいふんばき</t>
        </is>
      </c>
      <c r="D849" s="29" t="inlineStr">
        <is>
          <t>Grand Courroux</t>
        </is>
      </c>
      <c r="E849" s="29" t="inlineStr">
        <is>
          <t>Flammenwut</t>
        </is>
      </c>
      <c r="F849" s="29" t="inlineStr">
        <is>
          <t>Erupción de Ira</t>
        </is>
      </c>
      <c r="G849" s="29" t="inlineStr">
        <is>
          <t>Ira Furente</t>
        </is>
      </c>
      <c r="H849" s="6" t="inlineStr">
        <is>
          <t>대격분</t>
        </is>
      </c>
      <c r="I849" s="6" t="inlineStr">
        <is>
          <t>大憤慨</t>
        </is>
      </c>
      <c r="J849" s="29">
        <f>IFERROR(__xludf.DUMMYFUNCTION("GOOGLETRANSLATE(I849,""zh_HANT"",""zh_HANS"")"),"大愤慨")</f>
        <v/>
      </c>
      <c r="K849" s="29">
        <f>F849</f>
        <v/>
      </c>
    </row>
    <row r="850">
      <c r="A850" s="29">
        <f>CONCATENATE("NAME_MOVE_", SUBSTITUTE(SUBSTITUTE(UPPER(B850), " ", ""), "-", ""))</f>
        <v/>
      </c>
      <c r="B850" s="29" t="inlineStr">
        <is>
          <t>Wave Crash</t>
        </is>
      </c>
      <c r="C850" s="29" t="inlineStr">
        <is>
          <t>ウェーブタックル</t>
        </is>
      </c>
      <c r="D850" s="29" t="inlineStr">
        <is>
          <t>Aquatacle</t>
        </is>
      </c>
      <c r="E850" s="29" t="inlineStr">
        <is>
          <t>Wallentackle</t>
        </is>
      </c>
      <c r="F850" s="29" t="inlineStr">
        <is>
          <t>Envite Acuático</t>
        </is>
      </c>
      <c r="G850" s="29" t="inlineStr">
        <is>
          <t>Ondaschianto</t>
        </is>
      </c>
      <c r="H850" s="6" t="inlineStr">
        <is>
          <t>웨이브태클</t>
        </is>
      </c>
      <c r="I850" s="6" t="inlineStr">
        <is>
          <t>波動衝</t>
        </is>
      </c>
      <c r="J850" s="29">
        <f>IFERROR(__xludf.DUMMYFUNCTION("GOOGLETRANSLATE(I850,""zh_HANT"",""zh_HANS"")"),"波动冲")</f>
        <v/>
      </c>
      <c r="K850" s="29">
        <f>F850</f>
        <v/>
      </c>
    </row>
    <row r="851">
      <c r="A851" s="29">
        <f>CONCATENATE("NAME_MOVE_", SUBSTITUTE(SUBSTITUTE(UPPER(B851), " ", ""), "-", ""))</f>
        <v/>
      </c>
      <c r="B851" s="29" t="inlineStr">
        <is>
          <t>Chloroblast</t>
        </is>
      </c>
      <c r="C851" s="29" t="inlineStr">
        <is>
          <t>クロロブラスト</t>
        </is>
      </c>
      <c r="D851" s="29" t="inlineStr">
        <is>
          <t>Herblast</t>
        </is>
      </c>
      <c r="E851" s="29" t="inlineStr">
        <is>
          <t>Chlorostrahl</t>
        </is>
      </c>
      <c r="F851" s="29" t="inlineStr">
        <is>
          <t>Clorofiláser</t>
        </is>
      </c>
      <c r="G851" s="29" t="inlineStr">
        <is>
          <t>Clorofillaser</t>
        </is>
      </c>
      <c r="H851" s="29" t="inlineStr">
        <is>
          <t>클로로블라스트</t>
        </is>
      </c>
      <c r="I851" s="29">
        <f>IFERROR(__xludf.DUMMYFUNCTION("GOOGLETRANSLATE(J851,""zh_HANS"",""zh_HANT"")"),"葉綠爆震")</f>
        <v/>
      </c>
      <c r="J851" s="29" t="inlineStr">
        <is>
          <t>叶绿爆震</t>
        </is>
      </c>
      <c r="K851" s="29">
        <f>F851</f>
        <v/>
      </c>
    </row>
    <row r="852">
      <c r="A852" s="29">
        <f>CONCATENATE("NAME_MOVE_", SUBSTITUTE(SUBSTITUTE(UPPER(B852), " ", ""), "-", ""))</f>
        <v/>
      </c>
      <c r="B852" s="29" t="inlineStr">
        <is>
          <t>Mountain Gale</t>
        </is>
      </c>
      <c r="C852" s="29" t="inlineStr">
        <is>
          <t>ひょうざんおろし</t>
        </is>
      </c>
      <c r="D852" s="29" t="inlineStr">
        <is>
          <t>Bise Glaciaire</t>
        </is>
      </c>
      <c r="E852" s="29" t="inlineStr">
        <is>
          <t>Frostfallwind</t>
        </is>
      </c>
      <c r="F852" s="29" t="inlineStr">
        <is>
          <t>Viento Carámbano</t>
        </is>
      </c>
      <c r="G852" s="29" t="inlineStr">
        <is>
          <t>Soffio d’Iceberg</t>
        </is>
      </c>
      <c r="H852" s="29" t="inlineStr">
        <is>
          <t>빙산바람</t>
        </is>
      </c>
      <c r="I852" s="29">
        <f>IFERROR(__xludf.DUMMYFUNCTION("GOOGLETRANSLATE(J852,""zh_HANS"",""zh_HANT"")"),"冰山風")</f>
        <v/>
      </c>
      <c r="J852" s="29" t="inlineStr">
        <is>
          <t>冰山风</t>
        </is>
      </c>
      <c r="K852" s="29">
        <f>F852</f>
        <v/>
      </c>
    </row>
    <row r="853">
      <c r="A853" s="29">
        <f>CONCATENATE("NAME_MOVE_", SUBSTITUTE(SUBSTITUTE(UPPER(B853), " ", ""), "-", ""))</f>
        <v/>
      </c>
      <c r="B853" s="29" t="inlineStr">
        <is>
          <t>Victory Dance</t>
        </is>
      </c>
      <c r="C853" s="29" t="inlineStr">
        <is>
          <t>しょうりのまい</t>
        </is>
      </c>
      <c r="D853" s="29" t="inlineStr">
        <is>
          <t>Danse Victoire</t>
        </is>
      </c>
      <c r="E853" s="29" t="inlineStr">
        <is>
          <t>Siegestanz</t>
        </is>
      </c>
      <c r="F853" s="29" t="inlineStr">
        <is>
          <t>Danza Triunfal</t>
        </is>
      </c>
      <c r="G853" s="29" t="inlineStr">
        <is>
          <t>Danzavittoria</t>
        </is>
      </c>
      <c r="H853" s="6" t="inlineStr">
        <is>
          <t>승리의춤</t>
        </is>
      </c>
      <c r="I853" s="6" t="inlineStr">
        <is>
          <t>勝利之舞</t>
        </is>
      </c>
      <c r="J853" s="29">
        <f>IFERROR(__xludf.DUMMYFUNCTION("GOOGLETRANSLATE(I853,""zh_HANT"",""zh_HANS"")"),"胜利之舞")</f>
        <v/>
      </c>
      <c r="K853" s="29">
        <f>F853</f>
        <v/>
      </c>
    </row>
    <row r="854">
      <c r="A854" s="29">
        <f>CONCATENATE("NAME_MOVE_", SUBSTITUTE(SUBSTITUTE(UPPER(B854), " ", ""), "-", ""))</f>
        <v/>
      </c>
      <c r="B854" s="29" t="inlineStr">
        <is>
          <t>Headlong Rush</t>
        </is>
      </c>
      <c r="C854" s="29" t="inlineStr">
        <is>
          <t>ぶちかまし</t>
        </is>
      </c>
      <c r="D854" s="29" t="inlineStr">
        <is>
          <t>Assaut Frontal</t>
        </is>
      </c>
      <c r="E854" s="29" t="inlineStr">
        <is>
          <t>Schmetterramme</t>
        </is>
      </c>
      <c r="F854" s="29" t="inlineStr">
        <is>
          <t>Arremetida</t>
        </is>
      </c>
      <c r="G854" s="29" t="inlineStr">
        <is>
          <t>Scontro Frontale</t>
        </is>
      </c>
      <c r="H854" s="6" t="inlineStr">
        <is>
          <t>들이받기</t>
        </is>
      </c>
      <c r="I854" s="6" t="inlineStr">
        <is>
          <t>突飛猛撲</t>
        </is>
      </c>
      <c r="J854" s="29">
        <f>IFERROR(__xludf.DUMMYFUNCTION("GOOGLETRANSLATE(I854,""zh_HANT"",""zh_HANS"")"),"突飞猛扑")</f>
        <v/>
      </c>
      <c r="K854" s="29">
        <f>F854</f>
        <v/>
      </c>
    </row>
    <row r="855">
      <c r="A855" s="29">
        <f>CONCATENATE("NAME_MOVE_", SUBSTITUTE(SUBSTITUTE(UPPER(B855), " ", ""), "-", ""))</f>
        <v/>
      </c>
      <c r="B855" s="29" t="inlineStr">
        <is>
          <t>Barb Barrage</t>
        </is>
      </c>
      <c r="C855" s="29" t="inlineStr">
        <is>
          <t>どくばりセンボン</t>
        </is>
      </c>
      <c r="D855" s="29" t="inlineStr">
        <is>
          <t>Multitoxik</t>
        </is>
      </c>
      <c r="E855" s="29" t="inlineStr">
        <is>
          <t>Giftstachelregen</t>
        </is>
      </c>
      <c r="F855" s="29" t="inlineStr">
        <is>
          <t>Mil Púas Tóxicas</t>
        </is>
      </c>
      <c r="G855" s="29" t="inlineStr">
        <is>
          <t>Mille Fielespine</t>
        </is>
      </c>
      <c r="H855" s="6" t="inlineStr">
        <is>
          <t>독침천발</t>
        </is>
      </c>
      <c r="I855" s="6" t="inlineStr">
        <is>
          <t>毒千針</t>
        </is>
      </c>
      <c r="J855" s="29">
        <f>IFERROR(__xludf.DUMMYFUNCTION("GOOGLETRANSLATE(I855,""zh_HANT"",""zh_HANS"")"),"毒千针")</f>
        <v/>
      </c>
      <c r="K855" s="29">
        <f>F855</f>
        <v/>
      </c>
    </row>
    <row r="856">
      <c r="A856" s="29">
        <f>CONCATENATE("NAME_MOVE_", SUBSTITUTE(SUBSTITUTE(UPPER(B856), " ", ""), "-", ""))</f>
        <v/>
      </c>
      <c r="B856" s="29" t="inlineStr">
        <is>
          <t>Esper Wing</t>
        </is>
      </c>
      <c r="C856" s="29" t="inlineStr">
        <is>
          <t>オーラウイング</t>
        </is>
      </c>
      <c r="D856" s="29" t="inlineStr">
        <is>
          <t>Ailes Psycho</t>
        </is>
      </c>
      <c r="E856" s="29" t="inlineStr">
        <is>
          <t>Auraschwingen</t>
        </is>
      </c>
      <c r="F856" s="29" t="inlineStr">
        <is>
          <t>Ala Aural</t>
        </is>
      </c>
      <c r="G856" s="29" t="inlineStr">
        <is>
          <t>Ali d'Aura</t>
        </is>
      </c>
      <c r="H856" s="29" t="inlineStr">
        <is>
          <t>오라윙</t>
        </is>
      </c>
      <c r="I856" s="29" t="inlineStr">
        <is>
          <t>氣場之翼</t>
        </is>
      </c>
      <c r="J856" s="29">
        <f>IFERROR(__xludf.DUMMYFUNCTION("GOOGLETRANSLATE(I856,""zh_HANT"",""zh_HANS"")"),"气场之翼")</f>
        <v/>
      </c>
      <c r="K856" s="29">
        <f>F856</f>
        <v/>
      </c>
    </row>
    <row r="857">
      <c r="A857" s="29">
        <f>CONCATENATE("NAME_MOVE_", SUBSTITUTE(SUBSTITUTE(UPPER(B857), " ", ""), "-", ""))</f>
        <v/>
      </c>
      <c r="B857" s="29" t="inlineStr">
        <is>
          <t>Bitter Malice</t>
        </is>
      </c>
      <c r="C857" s="29" t="inlineStr">
        <is>
          <t>うらみつらみ</t>
        </is>
      </c>
      <c r="D857" s="29" t="inlineStr">
        <is>
          <t>Cœur de Rancœur</t>
        </is>
      </c>
      <c r="E857" s="29" t="inlineStr">
        <is>
          <t>Niedertracht</t>
        </is>
      </c>
      <c r="F857" s="29" t="inlineStr">
        <is>
          <t>Rencor Reprimido</t>
        </is>
      </c>
      <c r="G857" s="29" t="inlineStr">
        <is>
          <t>Livore</t>
        </is>
      </c>
      <c r="H857" s="29" t="inlineStr">
        <is>
          <t>천추지한</t>
        </is>
      </c>
      <c r="I857" s="29" t="inlineStr">
        <is>
          <t>冤冤相報</t>
        </is>
      </c>
      <c r="J857" s="29">
        <f>I857</f>
        <v/>
      </c>
      <c r="K857" s="29">
        <f>F857</f>
        <v/>
      </c>
    </row>
    <row r="858">
      <c r="A858" s="29">
        <f>CONCATENATE("NAME_MOVE_", SUBSTITUTE(SUBSTITUTE(UPPER(B858), " ", ""), "-", ""))</f>
        <v/>
      </c>
      <c r="B858" s="29" t="inlineStr">
        <is>
          <t>Shelter</t>
        </is>
      </c>
      <c r="C858" s="29" t="inlineStr">
        <is>
          <t>たつにもる</t>
        </is>
      </c>
      <c r="D858" s="29" t="inlineStr">
        <is>
          <t>Mur Fumigène</t>
        </is>
      </c>
      <c r="E858" s="29" t="inlineStr">
        <is>
          <t>Refugium</t>
        </is>
      </c>
      <c r="F858" s="29" t="inlineStr">
        <is>
          <t>Retracción</t>
        </is>
      </c>
      <c r="G858" s="29" t="inlineStr">
        <is>
          <t>Barricata</t>
        </is>
      </c>
      <c r="H858" s="29" t="inlineStr">
        <is>
          <t>농성</t>
        </is>
      </c>
      <c r="I858" s="29" t="inlineStr">
        <is>
          <t>閉關</t>
        </is>
      </c>
      <c r="J858" s="29">
        <f>IFERROR(__xludf.DUMMYFUNCTION("GOOGLETRANSLATE(I858,""zh_HANT"",""zh_HANS"")"),"闭关")</f>
        <v/>
      </c>
      <c r="K858" s="29">
        <f>F858</f>
        <v/>
      </c>
    </row>
    <row r="859">
      <c r="A859" s="29">
        <f>CONCATENATE("NAME_MOVE_", SUBSTITUTE(SUBSTITUTE(UPPER(B859), " ", ""), "-", ""))</f>
        <v/>
      </c>
      <c r="B859" s="29" t="inlineStr">
        <is>
          <t>Triple Arrows</t>
        </is>
      </c>
      <c r="C859" s="29" t="inlineStr">
        <is>
          <t>３ぼんのや</t>
        </is>
      </c>
      <c r="D859" s="29" t="inlineStr">
        <is>
          <t>Triple Flèche</t>
        </is>
      </c>
      <c r="E859" s="29" t="inlineStr">
        <is>
          <t>Drillingspfeile</t>
        </is>
      </c>
      <c r="F859" s="29" t="inlineStr">
        <is>
          <t>Triple Flecha</t>
        </is>
      </c>
      <c r="G859" s="29" t="inlineStr">
        <is>
          <t>Triplodardo</t>
        </is>
      </c>
      <c r="H859" s="29" t="inlineStr">
        <is>
          <t>３연화살</t>
        </is>
      </c>
      <c r="I859" s="29" t="inlineStr">
        <is>
          <t>三連箭</t>
        </is>
      </c>
      <c r="J859" s="29">
        <f>IFERROR(__xludf.DUMMYFUNCTION("GOOGLETRANSLATE(I859,""zh_HANT"",""zh_HANS"")"),"三连箭")</f>
        <v/>
      </c>
      <c r="K859" s="29">
        <f>F859</f>
        <v/>
      </c>
    </row>
    <row r="860">
      <c r="A860" s="29">
        <f>CONCATENATE("NAME_MOVE_", SUBSTITUTE(SUBSTITUTE(UPPER(B860), " ", ""), "-", ""))</f>
        <v/>
      </c>
      <c r="B860" s="29" t="inlineStr">
        <is>
          <t>Infernal Parade</t>
        </is>
      </c>
      <c r="C860" s="29" t="inlineStr">
        <is>
          <t>ひゃっきやにう</t>
        </is>
      </c>
      <c r="D860" s="29" t="inlineStr">
        <is>
          <t>Cortège Funèbre</t>
        </is>
      </c>
      <c r="E860" s="29" t="inlineStr">
        <is>
          <t>Phantomparade</t>
        </is>
      </c>
      <c r="F860" s="29" t="inlineStr">
        <is>
          <t>Marcha Espectral</t>
        </is>
      </c>
      <c r="G860" s="29" t="inlineStr">
        <is>
          <t>Corteo Spettrale</t>
        </is>
      </c>
      <c r="H860" s="29" t="inlineStr">
        <is>
          <t>백귀야행</t>
        </is>
      </c>
      <c r="I860" s="29" t="inlineStr">
        <is>
          <t>群魔亂舞</t>
        </is>
      </c>
      <c r="J860" s="29">
        <f>IFERROR(__xludf.DUMMYFUNCTION("GOOGLETRANSLATE(I860,""zh_HANT"",""zh_HANS"")"),"群魔乱舞")</f>
        <v/>
      </c>
      <c r="K860" s="29">
        <f>F860</f>
        <v/>
      </c>
    </row>
    <row r="861">
      <c r="A861" s="29">
        <f>CONCATENATE("NAME_MOVE_", SUBSTITUTE(SUBSTITUTE(UPPER(B861), " ", ""), "-", ""))</f>
        <v/>
      </c>
      <c r="B861" s="29" t="inlineStr">
        <is>
          <t>Ceaseless Edge</t>
        </is>
      </c>
      <c r="C861" s="29" t="inlineStr">
        <is>
          <t>ひけん・ちえなみ</t>
        </is>
      </c>
      <c r="D861" s="29" t="inlineStr">
        <is>
          <t>Vagues à Lames</t>
        </is>
      </c>
      <c r="E861" s="29" t="inlineStr">
        <is>
          <t>Klingenschwall</t>
        </is>
      </c>
      <c r="F861" s="29" t="inlineStr">
        <is>
          <t>Tajo Metralla</t>
        </is>
      </c>
      <c r="G861" s="29" t="inlineStr">
        <is>
          <t>Lama Milleflutti</t>
        </is>
      </c>
      <c r="H861" s="29" t="inlineStr">
        <is>
          <t>비검천중파</t>
        </is>
      </c>
      <c r="I861" s="29" t="inlineStr">
        <is>
          <t>秘劍・千重濤</t>
        </is>
      </c>
      <c r="J861" s="29">
        <f>IFERROR(__xludf.DUMMYFUNCTION("GOOGLETRANSLATE(I861,""zh_HANT"",""zh_HANS"")"),"秘剑・千重涛")</f>
        <v/>
      </c>
      <c r="K861" s="29">
        <f>F861</f>
        <v/>
      </c>
    </row>
    <row r="862">
      <c r="A862" s="29">
        <f>CONCATENATE("NAME_MOVE_", SUBSTITUTE(SUBSTITUTE(UPPER(B862), " ", ""), "-", ""))</f>
        <v/>
      </c>
      <c r="B862" s="29" t="inlineStr">
        <is>
          <t>Bleakwind Storm</t>
        </is>
      </c>
      <c r="C862" s="29" t="inlineStr">
        <is>
          <t>こがらしあらし</t>
        </is>
      </c>
      <c r="D862" s="29" t="inlineStr">
        <is>
          <t>Typhon Hivernal</t>
        </is>
      </c>
      <c r="E862" s="29" t="inlineStr">
        <is>
          <t>Polarorkan</t>
        </is>
      </c>
      <c r="F862" s="29" t="inlineStr">
        <is>
          <t>Vendaval Gélido</t>
        </is>
      </c>
      <c r="G862" s="29" t="inlineStr">
        <is>
          <t>Tempesta Boreale</t>
        </is>
      </c>
      <c r="H862" s="29" t="inlineStr">
        <is>
          <t>찬바람폭풍</t>
        </is>
      </c>
      <c r="I862" s="29" t="inlineStr">
        <is>
          <t>枯葉風暴</t>
        </is>
      </c>
      <c r="J862" s="29">
        <f>IFERROR(__xludf.DUMMYFUNCTION("GOOGLETRANSLATE(I862,""zh_HANT"",""zh_HANS"")"),"枯叶风暴")</f>
        <v/>
      </c>
      <c r="K862" s="29">
        <f>F862</f>
        <v/>
      </c>
    </row>
    <row r="863">
      <c r="A863" s="29">
        <f>CONCATENATE("NAME_MOVE_", SUBSTITUTE(SUBSTITUTE(UPPER(B863), " ", ""), "-", ""))</f>
        <v/>
      </c>
      <c r="B863" s="29" t="inlineStr">
        <is>
          <t>Wildbolt Storm</t>
        </is>
      </c>
      <c r="C863" s="29" t="inlineStr">
        <is>
          <t>かみなりあらし</t>
        </is>
      </c>
      <c r="D863" s="29" t="inlineStr">
        <is>
          <t>Typhon Fulgurant</t>
        </is>
      </c>
      <c r="E863" s="29" t="inlineStr">
        <is>
          <t>Donnerorkan</t>
        </is>
      </c>
      <c r="F863" s="29" t="inlineStr">
        <is>
          <t>Electormenta</t>
        </is>
      </c>
      <c r="G863" s="29" t="inlineStr">
        <is>
          <t>Tempesta Tonante</t>
        </is>
      </c>
      <c r="H863" s="29" t="inlineStr">
        <is>
          <t>번개폭풍</t>
        </is>
      </c>
      <c r="I863" s="29" t="inlineStr">
        <is>
          <t>鳴雷風暴</t>
        </is>
      </c>
      <c r="J863" s="29">
        <f>IFERROR(__xludf.DUMMYFUNCTION("GOOGLETRANSLATE(I863,""zh_HANT"",""zh_HANS"")"),"鸣雷风暴")</f>
        <v/>
      </c>
      <c r="K863" s="29">
        <f>F863</f>
        <v/>
      </c>
    </row>
    <row r="864">
      <c r="A864" s="29">
        <f>CONCATENATE("NAME_MOVE_", SUBSTITUTE(SUBSTITUTE(UPPER(B864), " ", ""), "-", ""))</f>
        <v/>
      </c>
      <c r="B864" s="29" t="inlineStr">
        <is>
          <t>Sandsear Storm</t>
        </is>
      </c>
      <c r="C864" s="29" t="inlineStr">
        <is>
          <t>ねっさのあらし</t>
        </is>
      </c>
      <c r="D864" s="29" t="inlineStr">
        <is>
          <t>Typhon Pyrosable</t>
        </is>
      </c>
      <c r="E864" s="29" t="inlineStr">
        <is>
          <t>Wüstenorkan</t>
        </is>
      </c>
      <c r="F864" s="29" t="inlineStr">
        <is>
          <t>Simún de Arena</t>
        </is>
      </c>
      <c r="G864" s="29" t="inlineStr">
        <is>
          <t>Tempesta Ardente</t>
        </is>
      </c>
      <c r="H864" s="29" t="inlineStr">
        <is>
          <t>열사의폭풍</t>
        </is>
      </c>
      <c r="I864" s="29" t="inlineStr">
        <is>
          <t>熱沙風暴</t>
        </is>
      </c>
      <c r="J864" s="29">
        <f>IFERROR(__xludf.DUMMYFUNCTION("GOOGLETRANSLATE(I864,""zh_HANT"",""zh_HANS"")"),"热沙风暴")</f>
        <v/>
      </c>
      <c r="K864" s="29">
        <f>F864</f>
        <v/>
      </c>
    </row>
    <row r="865">
      <c r="A865" s="29">
        <f>CONCATENATE("NAME_MOVE_", SUBSTITUTE(SUBSTITUTE(UPPER(B865), " ", ""), "-", ""))</f>
        <v/>
      </c>
      <c r="B865" s="29" t="inlineStr">
        <is>
          <t>Lunar Blessing</t>
        </is>
      </c>
      <c r="C865" s="29" t="inlineStr">
        <is>
          <t>みかづきのいのり</t>
        </is>
      </c>
      <c r="D865" s="29" t="inlineStr">
        <is>
          <t>Prière Lunaire</t>
        </is>
      </c>
      <c r="E865" s="29" t="inlineStr">
        <is>
          <t>Lunargebet</t>
        </is>
      </c>
      <c r="F865" s="29" t="inlineStr">
        <is>
          <t>Plegaria Lunar</t>
        </is>
      </c>
      <c r="G865" s="29" t="inlineStr">
        <is>
          <t>Invocaluna</t>
        </is>
      </c>
      <c r="H865" s="29" t="inlineStr">
        <is>
          <t>초승달의기도</t>
        </is>
      </c>
      <c r="I865" s="29" t="inlineStr">
        <is>
          <t>新月祈禱</t>
        </is>
      </c>
      <c r="J865" s="29">
        <f>IFERROR(__xludf.DUMMYFUNCTION("GOOGLETRANSLATE(I865,""zh_HANT"",""zh_HANS"")"),"新月祈祷")</f>
        <v/>
      </c>
      <c r="K865" s="29">
        <f>F865</f>
        <v/>
      </c>
    </row>
    <row r="866">
      <c r="A866" s="29">
        <f>CONCATENATE("NAME_MOVE_", SUBSTITUTE(SUBSTITUTE(UPPER(B866), " ", ""), "-", ""))</f>
        <v/>
      </c>
      <c r="B866" s="29" t="inlineStr">
        <is>
          <t>Take Heart</t>
        </is>
      </c>
      <c r="C866" s="29" t="inlineStr">
        <is>
          <t>ブレイブチャージ</t>
        </is>
      </c>
      <c r="D866" s="29" t="inlineStr">
        <is>
          <t>Extravaillance</t>
        </is>
      </c>
      <c r="E866" s="29" t="inlineStr">
        <is>
          <t>Mutschub</t>
        </is>
      </c>
      <c r="F866" s="29" t="inlineStr">
        <is>
          <t>Bálsamo Osado</t>
        </is>
      </c>
      <c r="G866" s="29" t="inlineStr">
        <is>
          <t>Baldimpulso</t>
        </is>
      </c>
      <c r="H866" s="29" t="inlineStr">
        <is>
          <t>브레이브차지</t>
        </is>
      </c>
      <c r="I866" s="29" t="inlineStr">
        <is>
          <t>勇氣填充</t>
        </is>
      </c>
      <c r="J866" s="29">
        <f>IFERROR(__xludf.DUMMYFUNCTION("GOOGLETRANSLATE(I866,""zh_HANT"",""zh_HANS"")"),"勇气填充")</f>
        <v/>
      </c>
      <c r="K866" s="29">
        <f>F866</f>
        <v/>
      </c>
    </row>
    <row r="867">
      <c r="A867" s="29">
        <f>CONCATENATE("NAME_MOVE_", SUBSTITUTE(SUBSTITUTE(UPPER(B867), " ", ""), "-", ""))</f>
        <v/>
      </c>
      <c r="B867" s="29" t="inlineStr">
        <is>
          <t>Tera Blast</t>
        </is>
      </c>
      <c r="C867" s="29" t="inlineStr">
        <is>
          <t>テラバースト</t>
        </is>
      </c>
      <c r="D867" s="29" t="inlineStr">
        <is>
          <t>Téra Explosion</t>
        </is>
      </c>
      <c r="E867" s="29" t="inlineStr">
        <is>
          <t>Tera-Ausbruch</t>
        </is>
      </c>
      <c r="F867" s="29" t="inlineStr">
        <is>
          <t>Teraexplosión</t>
        </is>
      </c>
      <c r="G867" s="29" t="inlineStr">
        <is>
          <t>Terascoppio</t>
        </is>
      </c>
      <c r="H867" s="29" t="inlineStr">
        <is>
          <t>테라버스트</t>
        </is>
      </c>
      <c r="I867" s="29">
        <f>IFERROR(__xludf.DUMMYFUNCTION("GOOGLETRANSLATE(J867,""zh_HANS"",""zh_HANT"")"),"太晶爆發")</f>
        <v/>
      </c>
      <c r="J867" s="29" t="inlineStr">
        <is>
          <t>太晶爆发</t>
        </is>
      </c>
      <c r="K867" s="29">
        <f>F867</f>
        <v/>
      </c>
    </row>
    <row r="868">
      <c r="A868" s="29">
        <f>CONCATENATE("NAME_MOVE_", SUBSTITUTE(SUBSTITUTE(UPPER(B868), " ", ""), "-", ""))</f>
        <v/>
      </c>
      <c r="B868" s="29" t="inlineStr">
        <is>
          <t>Silk Trap</t>
        </is>
      </c>
      <c r="C868" s="29" t="inlineStr">
        <is>
          <t>スレッドトラップ</t>
        </is>
      </c>
      <c r="D868" s="29" t="inlineStr">
        <is>
          <t>Piège de Fil</t>
        </is>
      </c>
      <c r="E868" s="29" t="inlineStr">
        <is>
          <t>Fadenfalle</t>
        </is>
      </c>
      <c r="F868" s="29" t="inlineStr">
        <is>
          <t>Telatrampa</t>
        </is>
      </c>
      <c r="G868" s="29" t="inlineStr">
        <is>
          <t>Telatrappola</t>
        </is>
      </c>
      <c r="H868" s="29" t="inlineStr">
        <is>
          <t>스레드트랩</t>
        </is>
      </c>
      <c r="I868" s="29">
        <f>IFERROR(__xludf.DUMMYFUNCTION("GOOGLETRANSLATE(J868,""zh_HANS"",""zh_HANT"")"),"線阱")</f>
        <v/>
      </c>
      <c r="J868" s="29" t="inlineStr">
        <is>
          <t>线阱</t>
        </is>
      </c>
      <c r="K868" s="29">
        <f>F868</f>
        <v/>
      </c>
    </row>
    <row r="869">
      <c r="A869" s="29">
        <f>CONCATENATE("NAME_MOVE_", SUBSTITUTE(SUBSTITUTE(UPPER(B869), " ", ""), "-", ""))</f>
        <v/>
      </c>
      <c r="B869" s="29" t="inlineStr">
        <is>
          <t>Axe Kick</t>
        </is>
      </c>
      <c r="C869" s="29" t="inlineStr">
        <is>
          <t>かかとおとし</t>
        </is>
      </c>
      <c r="D869" s="29" t="inlineStr">
        <is>
          <t>Talon-Marteau</t>
        </is>
      </c>
      <c r="E869" s="29" t="inlineStr">
        <is>
          <t>Fersenkick</t>
        </is>
      </c>
      <c r="F869" s="29" t="inlineStr">
        <is>
          <t>Patada Hacha</t>
        </is>
      </c>
      <c r="G869" s="29" t="inlineStr">
        <is>
          <t>Calcio ad Ascia</t>
        </is>
      </c>
      <c r="H869" s="29" t="inlineStr">
        <is>
          <t>발꿈치찍기</t>
        </is>
      </c>
      <c r="I869" s="29">
        <f>IFERROR(__xludf.DUMMYFUNCTION("GOOGLETRANSLATE(J869,""zh_HANS"",""zh_HANT"")"),"下壓踢")</f>
        <v/>
      </c>
      <c r="J869" s="29" t="inlineStr">
        <is>
          <t>下压踢</t>
        </is>
      </c>
      <c r="K869" s="29">
        <f>F869</f>
        <v/>
      </c>
    </row>
    <row r="870">
      <c r="A870" s="29">
        <f>CONCATENATE("NAME_MOVE_", SUBSTITUTE(SUBSTITUTE(UPPER(B870), " ", ""), "-", ""))</f>
        <v/>
      </c>
      <c r="B870" s="29" t="inlineStr">
        <is>
          <t>Last Respects</t>
        </is>
      </c>
      <c r="C870" s="29" t="inlineStr">
        <is>
          <t>おはかまいり</t>
        </is>
      </c>
      <c r="D870" s="29" t="inlineStr">
        <is>
          <t>Hommage Posthume</t>
        </is>
      </c>
      <c r="E870" s="29" t="inlineStr">
        <is>
          <t>Letzte Ehre</t>
        </is>
      </c>
      <c r="F870" s="29" t="inlineStr">
        <is>
          <t>Homenaje Póstumo</t>
        </is>
      </c>
      <c r="G870" s="29" t="inlineStr">
        <is>
          <t>Omaggio ai KO</t>
        </is>
      </c>
      <c r="H870" s="29" t="inlineStr">
        <is>
          <t>성묘</t>
        </is>
      </c>
      <c r="I870" s="29">
        <f>IFERROR(__xludf.DUMMYFUNCTION("GOOGLETRANSLATE(J870,""zh_HANS"",""zh_HANT"")"),"掃墓")</f>
        <v/>
      </c>
      <c r="J870" s="29" t="inlineStr">
        <is>
          <t>扫墓</t>
        </is>
      </c>
      <c r="K870" s="29">
        <f>F870</f>
        <v/>
      </c>
    </row>
    <row r="871">
      <c r="A871" s="29">
        <f>CONCATENATE("NAME_MOVE_", SUBSTITUTE(SUBSTITUTE(UPPER(B871), " ", ""), "-", ""))</f>
        <v/>
      </c>
      <c r="B871" s="29" t="inlineStr">
        <is>
          <t>Lumina Crash</t>
        </is>
      </c>
      <c r="C871" s="29" t="inlineStr">
        <is>
          <t>ルミナコリジョン</t>
        </is>
      </c>
      <c r="D871" s="29" t="inlineStr">
        <is>
          <t>Lumino-Impact</t>
        </is>
      </c>
      <c r="E871" s="29" t="inlineStr">
        <is>
          <t>Lichteinschlag</t>
        </is>
      </c>
      <c r="F871" s="29" t="inlineStr">
        <is>
          <t>Fotocolisión</t>
        </is>
      </c>
      <c r="G871" s="29" t="inlineStr">
        <is>
          <t>Fotocollisione</t>
        </is>
      </c>
      <c r="H871" s="29" t="inlineStr">
        <is>
          <t>루미나콜리전</t>
        </is>
      </c>
      <c r="I871" s="29">
        <f>IFERROR(__xludf.DUMMYFUNCTION("GOOGLETRANSLATE(J871,""zh_HANS"",""zh_HANT"")"),"琉光沖激")</f>
        <v/>
      </c>
      <c r="J871" s="29" t="inlineStr">
        <is>
          <t>琉光冲激</t>
        </is>
      </c>
      <c r="K871" s="29">
        <f>F871</f>
        <v/>
      </c>
    </row>
    <row r="872">
      <c r="A872" s="29">
        <f>CONCATENATE("NAME_MOVE_", SUBSTITUTE(SUBSTITUTE(UPPER(B872), " ", ""), "-", ""))</f>
        <v/>
      </c>
      <c r="B872" s="29" t="inlineStr">
        <is>
          <t>Order Up</t>
        </is>
      </c>
      <c r="C872" s="29" t="inlineStr">
        <is>
          <t>いっちょうあがり</t>
        </is>
      </c>
      <c r="D872" s="29" t="inlineStr">
        <is>
          <t>Plat du Jour</t>
        </is>
      </c>
      <c r="E872" s="29" t="inlineStr">
        <is>
          <t>Auftischen</t>
        </is>
      </c>
      <c r="F872" s="29" t="inlineStr">
        <is>
          <t>Oído Cocina</t>
        </is>
      </c>
      <c r="G872" s="29" t="inlineStr">
        <is>
          <t>Alta Cucina</t>
        </is>
      </c>
      <c r="H872" s="29" t="inlineStr">
        <is>
          <t>한판내기</t>
        </is>
      </c>
      <c r="I872" s="29" t="inlineStr">
        <is>
          <t>上菜</t>
        </is>
      </c>
      <c r="J872" s="29">
        <f>I872</f>
        <v/>
      </c>
      <c r="K872" s="29">
        <f>F872</f>
        <v/>
      </c>
    </row>
    <row r="873">
      <c r="A873" s="29">
        <f>CONCATENATE("NAME_MOVE_", SUBSTITUTE(SUBSTITUTE(UPPER(B873), " ", ""), "-", ""))</f>
        <v/>
      </c>
      <c r="B873" s="29" t="inlineStr">
        <is>
          <t>Jet Punch</t>
        </is>
      </c>
      <c r="C873" s="29" t="inlineStr">
        <is>
          <t>ジェットパンチ</t>
        </is>
      </c>
      <c r="D873" s="29" t="inlineStr">
        <is>
          <t>Poing Sonique</t>
        </is>
      </c>
      <c r="E873" s="29" t="inlineStr">
        <is>
          <t>Düsenhieb</t>
        </is>
      </c>
      <c r="F873" s="29" t="inlineStr">
        <is>
          <t>Puño Jet</t>
        </is>
      </c>
      <c r="G873" s="29" t="inlineStr">
        <is>
          <t>Pugno Jet</t>
        </is>
      </c>
      <c r="H873" s="29" t="inlineStr">
        <is>
          <t>제트펀치</t>
        </is>
      </c>
      <c r="I873" s="29">
        <f>IFERROR(__xludf.DUMMYFUNCTION("GOOGLETRANSLATE(J873,""zh_HANS"",""zh_HANT"")"),"噴射拳")</f>
        <v/>
      </c>
      <c r="J873" s="29" t="inlineStr">
        <is>
          <t>喷射拳</t>
        </is>
      </c>
      <c r="K873" s="29">
        <f>F873</f>
        <v/>
      </c>
    </row>
    <row r="874">
      <c r="A874" s="29">
        <f>CONCATENATE("NAME_MOVE_", SUBSTITUTE(SUBSTITUTE(UPPER(B874), " ", ""), "-", ""))</f>
        <v/>
      </c>
      <c r="B874" s="29" t="inlineStr">
        <is>
          <t>Spicy Extract</t>
        </is>
      </c>
      <c r="C874" s="29" t="inlineStr">
        <is>
          <t>ハバネロエキス</t>
        </is>
      </c>
      <c r="D874" s="29" t="inlineStr">
        <is>
          <t>Habanerage</t>
        </is>
      </c>
      <c r="E874" s="29" t="inlineStr">
        <is>
          <t>Chili-Essenz</t>
        </is>
      </c>
      <c r="F874" s="29" t="inlineStr">
        <is>
          <t>Extracto Picante</t>
        </is>
      </c>
      <c r="G874" s="29" t="inlineStr">
        <is>
          <t>Essenza Piccante</t>
        </is>
      </c>
      <c r="H874" s="29" t="inlineStr">
        <is>
          <t>하바네로엑기스</t>
        </is>
      </c>
      <c r="I874" s="29">
        <f>IFERROR(__xludf.DUMMYFUNCTION("GOOGLETRANSLATE(J874,""zh_HANS"",""zh_HANT"")"),"辣椒精華")</f>
        <v/>
      </c>
      <c r="J874" s="29" t="inlineStr">
        <is>
          <t>辣椒精华</t>
        </is>
      </c>
      <c r="K874" s="29">
        <f>F874</f>
        <v/>
      </c>
    </row>
    <row r="875">
      <c r="A875" s="29">
        <f>CONCATENATE("NAME_MOVE_", SUBSTITUTE(SUBSTITUTE(UPPER(B875), " ", ""), "-", ""))</f>
        <v/>
      </c>
      <c r="B875" s="29" t="inlineStr">
        <is>
          <t>Spin Out</t>
        </is>
      </c>
      <c r="C875" s="29" t="inlineStr">
        <is>
          <t>ホイールスピン</t>
        </is>
      </c>
      <c r="D875" s="29" t="inlineStr">
        <is>
          <t>Dérapage</t>
        </is>
      </c>
      <c r="E875" s="29" t="inlineStr">
        <is>
          <t>Reifendrehung</t>
        </is>
      </c>
      <c r="F875" s="29" t="inlineStr">
        <is>
          <t>Quemarrueda</t>
        </is>
      </c>
      <c r="G875" s="29" t="inlineStr">
        <is>
          <t>Slittaruote</t>
        </is>
      </c>
      <c r="H875" s="29" t="inlineStr">
        <is>
          <t>휠스핀</t>
        </is>
      </c>
      <c r="I875" s="29">
        <f>IFERROR(__xludf.DUMMYFUNCTION("GOOGLETRANSLATE(J875,""zh_HANS"",""zh_HANT"")"),"疾速轉輪")</f>
        <v/>
      </c>
      <c r="J875" s="29" t="inlineStr">
        <is>
          <t>疾速转轮</t>
        </is>
      </c>
      <c r="K875" s="29">
        <f>F875</f>
        <v/>
      </c>
    </row>
    <row r="876">
      <c r="A876" s="29">
        <f>CONCATENATE("NAME_MOVE_", SUBSTITUTE(SUBSTITUTE(UPPER(B876), " ", ""), "-", ""))</f>
        <v/>
      </c>
      <c r="B876" s="29" t="inlineStr">
        <is>
          <t>Population Bomb</t>
        </is>
      </c>
      <c r="C876" s="29" t="inlineStr">
        <is>
          <t>ネズミざん</t>
        </is>
      </c>
      <c r="D876" s="29" t="inlineStr">
        <is>
          <t>Prolifération</t>
        </is>
      </c>
      <c r="E876" s="29" t="inlineStr">
        <is>
          <t>Mäuseplage</t>
        </is>
      </c>
      <c r="F876" s="29" t="inlineStr">
        <is>
          <t>Proliferación</t>
        </is>
      </c>
      <c r="G876" s="29" t="inlineStr">
        <is>
          <t>Infestazione</t>
        </is>
      </c>
      <c r="H876" s="29" t="inlineStr">
        <is>
          <t>찍찍베기</t>
        </is>
      </c>
      <c r="I876" s="29">
        <f>IFERROR(__xludf.DUMMYFUNCTION("GOOGLETRANSLATE(J876,""zh_HANS"",""zh_HANT"")"),"鼠數兒")</f>
        <v/>
      </c>
      <c r="J876" s="29" t="inlineStr">
        <is>
          <t>鼠数儿</t>
        </is>
      </c>
      <c r="K876" s="29">
        <f>F876</f>
        <v/>
      </c>
    </row>
    <row r="877">
      <c r="A877" s="29">
        <f>CONCATENATE("NAME_MOVE_", SUBSTITUTE(SUBSTITUTE(UPPER(B877), " ", ""), "-", ""))</f>
        <v/>
      </c>
      <c r="B877" s="29" t="inlineStr">
        <is>
          <t>Ice Spinner</t>
        </is>
      </c>
      <c r="C877" s="29" t="inlineStr">
        <is>
          <t>アイススピナー</t>
        </is>
      </c>
      <c r="D877" s="29" t="inlineStr">
        <is>
          <t>Cryo-Pirouette</t>
        </is>
      </c>
      <c r="E877" s="29" t="inlineStr">
        <is>
          <t>Eiskreisel</t>
        </is>
      </c>
      <c r="F877" s="29" t="inlineStr">
        <is>
          <t>Pirueta Helada</t>
        </is>
      </c>
      <c r="G877" s="29" t="inlineStr">
        <is>
          <t>Vortighiaccio</t>
        </is>
      </c>
      <c r="H877" s="29" t="inlineStr">
        <is>
          <t>아이스스피너</t>
        </is>
      </c>
      <c r="I877" s="29" t="inlineStr">
        <is>
          <t>冰旋</t>
        </is>
      </c>
      <c r="J877" s="29">
        <f>I877</f>
        <v/>
      </c>
      <c r="K877" s="29">
        <f>F877</f>
        <v/>
      </c>
    </row>
    <row r="878">
      <c r="A878" s="29">
        <f>CONCATENATE("NAME_MOVE_", SUBSTITUTE(SUBSTITUTE(UPPER(B878), " ", ""), "-", ""))</f>
        <v/>
      </c>
      <c r="B878" s="29" t="inlineStr">
        <is>
          <t>Glaive Rush</t>
        </is>
      </c>
      <c r="C878" s="29" t="inlineStr">
        <is>
          <t>きょけんとつげき</t>
        </is>
      </c>
      <c r="D878" s="29" t="inlineStr">
        <is>
          <t>Charge Glaive</t>
        </is>
      </c>
      <c r="E878" s="29" t="inlineStr">
        <is>
          <t>Großklingenstoß</t>
        </is>
      </c>
      <c r="F878" s="29" t="inlineStr">
        <is>
          <t>Asalto Espadón</t>
        </is>
      </c>
      <c r="G878" s="29" t="inlineStr">
        <is>
          <t>Spadoncarica</t>
        </is>
      </c>
      <c r="H878" s="29" t="inlineStr">
        <is>
          <t>대검돌격</t>
        </is>
      </c>
      <c r="I878" s="29">
        <f>IFERROR(__xludf.DUMMYFUNCTION("GOOGLETRANSLATE(J878,""zh_HANS"",""zh_HANT"")"),"大劍突擊")</f>
        <v/>
      </c>
      <c r="J878" s="29" t="inlineStr">
        <is>
          <t>巨剑突击</t>
        </is>
      </c>
      <c r="K878" s="29">
        <f>F878</f>
        <v/>
      </c>
    </row>
    <row r="879">
      <c r="A879" s="29">
        <f>CONCATENATE("NAME_MOVE_", SUBSTITUTE(SUBSTITUTE(UPPER(B879), " ", ""), "-", ""))</f>
        <v/>
      </c>
      <c r="B879" s="29" t="inlineStr">
        <is>
          <t>Revival Blessing</t>
        </is>
      </c>
      <c r="C879" s="29" t="inlineStr">
        <is>
          <t>さいきのいのり</t>
        </is>
      </c>
      <c r="D879" s="29" t="inlineStr">
        <is>
          <t>Second Souffle</t>
        </is>
      </c>
      <c r="E879" s="29" t="inlineStr">
        <is>
          <t>Vitalsegen</t>
        </is>
      </c>
      <c r="F879" s="29" t="inlineStr">
        <is>
          <t>Plegaria Vital</t>
        </is>
      </c>
      <c r="G879" s="29" t="inlineStr">
        <is>
          <t>Preghiera Vitale</t>
        </is>
      </c>
      <c r="H879" s="29" t="inlineStr">
        <is>
          <t>회생의기도</t>
        </is>
      </c>
      <c r="I879" s="29">
        <f>IFERROR(__xludf.DUMMYFUNCTION("GOOGLETRANSLATE(J879,""zh_HANS"",""zh_HANT"")"),"復生祈禱")</f>
        <v/>
      </c>
      <c r="J879" s="29" t="inlineStr">
        <is>
          <t>复生祈祷</t>
        </is>
      </c>
      <c r="K879" s="29">
        <f>F879</f>
        <v/>
      </c>
    </row>
    <row r="880">
      <c r="A880" s="29">
        <f>CONCATENATE("NAME_MOVE_", SUBSTITUTE(SUBSTITUTE(UPPER(B880), " ", ""), "-", ""))</f>
        <v/>
      </c>
      <c r="B880" s="29" t="inlineStr">
        <is>
          <t>Salt Cure</t>
        </is>
      </c>
      <c r="C880" s="29" t="inlineStr">
        <is>
          <t>いわづけ</t>
        </is>
      </c>
      <c r="D880" s="29" t="inlineStr">
        <is>
          <t>Salaison</t>
        </is>
      </c>
      <c r="E880" s="29" t="inlineStr">
        <is>
          <t>Pökelsalz</t>
        </is>
      </c>
      <c r="F880" s="29" t="inlineStr">
        <is>
          <t>Salazón</t>
        </is>
      </c>
      <c r="G880" s="29" t="inlineStr">
        <is>
          <t>Sotto Sale</t>
        </is>
      </c>
      <c r="H880" s="29" t="inlineStr">
        <is>
          <t>소금절이</t>
        </is>
      </c>
      <c r="I880" s="29">
        <f>IFERROR(__xludf.DUMMYFUNCTION("GOOGLETRANSLATE(J880,""zh_HANS"",""zh_HANT"")"),"鹽醃")</f>
        <v/>
      </c>
      <c r="J880" s="29" t="inlineStr">
        <is>
          <t>盐腌</t>
        </is>
      </c>
      <c r="K880" s="29">
        <f>F880</f>
        <v/>
      </c>
    </row>
    <row r="881">
      <c r="A881" s="29">
        <f>CONCATENATE("NAME_MOVE_", SUBSTITUTE(SUBSTITUTE(UPPER(B881), " ", ""), "-", ""))</f>
        <v/>
      </c>
      <c r="B881" s="29" t="inlineStr">
        <is>
          <t>Triple Dive</t>
        </is>
      </c>
      <c r="C881" s="29" t="inlineStr">
        <is>
          <t>トリプルダイブ</t>
        </is>
      </c>
      <c r="D881" s="29" t="inlineStr">
        <is>
          <t>Triple Plongeon</t>
        </is>
      </c>
      <c r="E881" s="29" t="inlineStr">
        <is>
          <t>Tauchtriade</t>
        </is>
      </c>
      <c r="F881" s="29" t="inlineStr">
        <is>
          <t>Triple Inmersión</t>
        </is>
      </c>
      <c r="G881" s="29" t="inlineStr">
        <is>
          <t>Triplo Tuffo</t>
        </is>
      </c>
      <c r="H881" s="29" t="inlineStr">
        <is>
          <t>트리플다이브</t>
        </is>
      </c>
      <c r="I881" s="29">
        <f>IFERROR(__xludf.DUMMYFUNCTION("GOOGLETRANSLATE(J881,""zh_HANS"",""zh_HANT"")"),"三連鑽")</f>
        <v/>
      </c>
      <c r="J881" s="29" t="inlineStr">
        <is>
          <t>三连钻</t>
        </is>
      </c>
      <c r="K881" s="29">
        <f>F881</f>
        <v/>
      </c>
    </row>
    <row r="882">
      <c r="A882" s="29">
        <f>CONCATENATE("NAME_MOVE_", SUBSTITUTE(SUBSTITUTE(UPPER(B882), " ", ""), "-", ""))</f>
        <v/>
      </c>
      <c r="B882" s="29" t="inlineStr">
        <is>
          <t>Mortal Spin</t>
        </is>
      </c>
      <c r="C882" s="29" t="inlineStr">
        <is>
          <t>キラースピン</t>
        </is>
      </c>
      <c r="D882" s="29" t="inlineStr">
        <is>
          <t>Toupie Éclat</t>
        </is>
      </c>
      <c r="E882" s="29" t="inlineStr">
        <is>
          <t>Letalwirbler</t>
        </is>
      </c>
      <c r="F882" s="29" t="inlineStr">
        <is>
          <t>Giro Mortífero</t>
        </is>
      </c>
      <c r="G882" s="29" t="inlineStr">
        <is>
          <t>Glitturbine</t>
        </is>
      </c>
      <c r="H882" s="29" t="inlineStr">
        <is>
          <t>킬러스핀</t>
        </is>
      </c>
      <c r="I882" s="29">
        <f>IFERROR(__xludf.DUMMYFUNCTION("GOOGLETRANSLATE(J882,""zh_HANS"",""zh_HANT"")"),"晶光轉轉")</f>
        <v/>
      </c>
      <c r="J882" s="29" t="inlineStr">
        <is>
          <t>晶光转转</t>
        </is>
      </c>
      <c r="K882" s="29">
        <f>F882</f>
        <v/>
      </c>
    </row>
    <row r="883">
      <c r="A883" s="29">
        <f>CONCATENATE("NAME_MOVE_", SUBSTITUTE(SUBSTITUTE(UPPER(B883), " ", ""), "-", ""))</f>
        <v/>
      </c>
      <c r="B883" s="29" t="inlineStr">
        <is>
          <t>Doodle</t>
        </is>
      </c>
      <c r="C883" s="29" t="inlineStr">
        <is>
          <t>うつしえ</t>
        </is>
      </c>
      <c r="D883" s="29" t="inlineStr">
        <is>
          <t>Décalquage</t>
        </is>
      </c>
      <c r="E883" s="29" t="inlineStr">
        <is>
          <t>Abpausen</t>
        </is>
      </c>
      <c r="F883" s="29" t="inlineStr">
        <is>
          <t>Decalcomanía</t>
        </is>
      </c>
      <c r="G883" s="29" t="inlineStr">
        <is>
          <t>Ricalco</t>
        </is>
      </c>
      <c r="H883" s="29" t="inlineStr">
        <is>
          <t>베껴그리기</t>
        </is>
      </c>
      <c r="I883" s="29">
        <f>IFERROR(__xludf.DUMMYFUNCTION("GOOGLETRANSLATE(J883,""zh_HANS"",""zh_HANT"")"),"描繪")</f>
        <v/>
      </c>
      <c r="J883" s="29" t="inlineStr">
        <is>
          <t>描绘</t>
        </is>
      </c>
      <c r="K883" s="29">
        <f>F883</f>
        <v/>
      </c>
    </row>
    <row r="884">
      <c r="A884" s="29">
        <f>CONCATENATE("NAME_MOVE_", SUBSTITUTE(SUBSTITUTE(UPPER(B884), " ", ""), "-", ""))</f>
        <v/>
      </c>
      <c r="B884" s="29" t="inlineStr">
        <is>
          <t>Fillet Away</t>
        </is>
      </c>
      <c r="C884" s="29" t="inlineStr">
        <is>
          <t>あかたづけ</t>
        </is>
      </c>
      <c r="D884" s="29" t="inlineStr">
        <is>
          <t>Décharnement</t>
        </is>
      </c>
      <c r="E884" s="29" t="inlineStr">
        <is>
          <t>Abspaltung</t>
        </is>
      </c>
      <c r="F884" s="29" t="inlineStr">
        <is>
          <t>Deslome</t>
        </is>
      </c>
      <c r="G884" s="29" t="inlineStr">
        <is>
          <t>Alleggerimento</t>
        </is>
      </c>
      <c r="H884" s="29" t="inlineStr">
        <is>
          <t>제살깎기</t>
        </is>
      </c>
      <c r="I884" s="29" t="inlineStr">
        <is>
          <t>甩肉</t>
        </is>
      </c>
      <c r="J884" s="29">
        <f>I884</f>
        <v/>
      </c>
      <c r="K884" s="29">
        <f>F884</f>
        <v/>
      </c>
    </row>
    <row r="885">
      <c r="A885" s="29">
        <f>CONCATENATE("NAME_MOVE_", SUBSTITUTE(SUBSTITUTE(UPPER(B885), " ", ""), "-", ""))</f>
        <v/>
      </c>
      <c r="B885" s="29" t="inlineStr">
        <is>
          <t>Kowtow Cleave</t>
        </is>
      </c>
      <c r="C885" s="29" t="inlineStr">
        <is>
          <t>ドゲザン</t>
        </is>
      </c>
      <c r="D885" s="29" t="inlineStr">
        <is>
          <t>Génusection</t>
        </is>
      </c>
      <c r="E885" s="29" t="inlineStr">
        <is>
          <t>Kniefallspalter</t>
        </is>
      </c>
      <c r="F885" s="29" t="inlineStr">
        <is>
          <t>Genufendiente</t>
        </is>
      </c>
      <c r="G885" s="29" t="inlineStr">
        <is>
          <t>Genufendente</t>
        </is>
      </c>
      <c r="H885" s="29" t="inlineStr">
        <is>
          <t>도각참</t>
        </is>
      </c>
      <c r="I885" s="29">
        <f>IFERROR(__xludf.DUMMYFUNCTION("GOOGLETRANSLATE(J885,""zh_HANS"",""zh_HANT"")"),"僕刀")</f>
        <v/>
      </c>
      <c r="J885" s="29" t="inlineStr">
        <is>
          <t>仆刀</t>
        </is>
      </c>
      <c r="K885" s="29">
        <f>F885</f>
        <v/>
      </c>
    </row>
    <row r="886">
      <c r="A886" s="29">
        <f>CONCATENATE("NAME_MOVE_", SUBSTITUTE(SUBSTITUTE(UPPER(B886), " ", ""), "-", ""))</f>
        <v/>
      </c>
      <c r="B886" s="29" t="inlineStr">
        <is>
          <t>Flower Trick</t>
        </is>
      </c>
      <c r="C886" s="29" t="inlineStr">
        <is>
          <t>トリックフラワー</t>
        </is>
      </c>
      <c r="D886" s="29" t="inlineStr">
        <is>
          <t>Magie Florale</t>
        </is>
      </c>
      <c r="E886" s="29" t="inlineStr">
        <is>
          <t>Blumentrick</t>
        </is>
      </c>
      <c r="F886" s="29" t="inlineStr">
        <is>
          <t>Truco Floral</t>
        </is>
      </c>
      <c r="G886" s="29" t="inlineStr">
        <is>
          <t>Prestigiafiore</t>
        </is>
      </c>
      <c r="H886" s="29" t="inlineStr">
        <is>
          <t>트릭플라워</t>
        </is>
      </c>
      <c r="I886" s="29">
        <f>IFERROR(__xludf.DUMMYFUNCTION("GOOGLETRANSLATE(J886,""zh_HANS"",""zh_HANT"")"),"千變萬花")</f>
        <v/>
      </c>
      <c r="J886" s="29" t="inlineStr">
        <is>
          <t>千变万花</t>
        </is>
      </c>
      <c r="K886" s="29">
        <f>F886</f>
        <v/>
      </c>
    </row>
    <row r="887">
      <c r="A887" s="29">
        <f>CONCATENATE("NAME_MOVE_", SUBSTITUTE(SUBSTITUTE(UPPER(B887), " ", ""), "-", ""))</f>
        <v/>
      </c>
      <c r="B887" s="29" t="inlineStr">
        <is>
          <t>Torch Song</t>
        </is>
      </c>
      <c r="C887" s="29" t="inlineStr">
        <is>
          <t>フレアソング</t>
        </is>
      </c>
      <c r="D887" s="29" t="inlineStr">
        <is>
          <t>Chant Flamboyant</t>
        </is>
      </c>
      <c r="E887" s="29" t="inlineStr">
        <is>
          <t>Loderlied</t>
        </is>
      </c>
      <c r="F887" s="29" t="inlineStr">
        <is>
          <t>Canto Ardiente</t>
        </is>
      </c>
      <c r="G887" s="29" t="inlineStr">
        <is>
          <t>Canzone Ardente</t>
        </is>
      </c>
      <c r="H887" s="29" t="inlineStr">
        <is>
          <t>플레어송</t>
        </is>
      </c>
      <c r="I887" s="29">
        <f>IFERROR(__xludf.DUMMYFUNCTION("GOOGLETRANSLATE(J887,""zh_HANS"",""zh_HANT"")"),"閃焰高歌")</f>
        <v/>
      </c>
      <c r="J887" s="29" t="inlineStr">
        <is>
          <t>闪焰高歌</t>
        </is>
      </c>
      <c r="K887" s="29">
        <f>F887</f>
        <v/>
      </c>
    </row>
    <row r="888">
      <c r="A888" s="29">
        <f>CONCATENATE("NAME_MOVE_", SUBSTITUTE(SUBSTITUTE(UPPER(B888), " ", ""), "-", ""))</f>
        <v/>
      </c>
      <c r="B888" s="29" t="inlineStr">
        <is>
          <t>Aqua Step</t>
        </is>
      </c>
      <c r="C888" s="29" t="inlineStr">
        <is>
          <t>アクアステップ</t>
        </is>
      </c>
      <c r="D888" s="29" t="inlineStr">
        <is>
          <t>Danse Aquatique</t>
        </is>
      </c>
      <c r="E888" s="29" t="inlineStr">
        <is>
          <t>Wogentanz</t>
        </is>
      </c>
      <c r="F888" s="29" t="inlineStr">
        <is>
          <t>Danza Acuática</t>
        </is>
      </c>
      <c r="G888" s="29" t="inlineStr">
        <is>
          <t>Idroballetto</t>
        </is>
      </c>
      <c r="H888" s="29" t="inlineStr">
        <is>
          <t>아쿠아스텝</t>
        </is>
      </c>
      <c r="I888" s="29" t="inlineStr">
        <is>
          <t>流水旋舞</t>
        </is>
      </c>
      <c r="J888" s="29">
        <f>I888</f>
        <v/>
      </c>
      <c r="K888" s="29">
        <f>F888</f>
        <v/>
      </c>
    </row>
    <row r="889">
      <c r="A889" s="29">
        <f>CONCATENATE("NAME_MOVE_", SUBSTITUTE(SUBSTITUTE(UPPER(B889), " ", ""), "-", ""))</f>
        <v/>
      </c>
      <c r="B889" s="29" t="inlineStr">
        <is>
          <t>Raging Bull</t>
        </is>
      </c>
      <c r="C889" s="29" t="inlineStr">
        <is>
          <t>レイジングブル</t>
        </is>
      </c>
      <c r="D889" s="29" t="inlineStr">
        <is>
          <t>Taurogne</t>
        </is>
      </c>
      <c r="E889" s="29" t="inlineStr">
        <is>
          <t>Rasender Stier</t>
        </is>
      </c>
      <c r="F889" s="29" t="inlineStr">
        <is>
          <t>Furia Taurina</t>
        </is>
      </c>
      <c r="G889" s="29" t="inlineStr">
        <is>
          <t>Scatenatoro</t>
        </is>
      </c>
      <c r="H889" s="29" t="inlineStr">
        <is>
          <t>레이징불</t>
        </is>
      </c>
      <c r="I889" s="29" t="inlineStr">
        <is>
          <t>怒牛</t>
        </is>
      </c>
      <c r="J889" s="29">
        <f>I889</f>
        <v/>
      </c>
      <c r="K889" s="29">
        <f>F889</f>
        <v/>
      </c>
    </row>
    <row r="890">
      <c r="A890" s="29">
        <f>CONCATENATE("NAME_MOVE_", SUBSTITUTE(SUBSTITUTE(UPPER(B890), " ", ""), "-", ""))</f>
        <v/>
      </c>
      <c r="B890" s="29" t="inlineStr">
        <is>
          <t>Make It Rain</t>
        </is>
      </c>
      <c r="C890" s="29" t="inlineStr">
        <is>
          <t>ゴールドラッシュ</t>
        </is>
      </c>
      <c r="D890" s="29" t="inlineStr">
        <is>
          <t>Ruée d’Or</t>
        </is>
      </c>
      <c r="E890" s="29" t="inlineStr">
        <is>
          <t>Goldrausch</t>
        </is>
      </c>
      <c r="F890" s="29" t="inlineStr">
        <is>
          <t>Fiebre Dorada</t>
        </is>
      </c>
      <c r="G890" s="29" t="inlineStr">
        <is>
          <t>Corsa all'Oro</t>
        </is>
      </c>
      <c r="H890" s="29" t="inlineStr">
        <is>
          <t>골드러시</t>
        </is>
      </c>
      <c r="I890" s="29" t="inlineStr">
        <is>
          <t>淘金潮</t>
        </is>
      </c>
      <c r="J890" s="29">
        <f>I890</f>
        <v/>
      </c>
      <c r="K890" s="29">
        <f>F890</f>
        <v/>
      </c>
    </row>
    <row r="891">
      <c r="A891" s="29">
        <f>CONCATENATE("NAME_MOVE_", SUBSTITUTE(SUBSTITUTE(UPPER(B891), " ", ""), "-", ""))</f>
        <v/>
      </c>
      <c r="B891" s="29" t="inlineStr">
        <is>
          <t>Psyblade</t>
        </is>
      </c>
      <c r="C891" s="29" t="inlineStr">
        <is>
          <t>サイコブレイド</t>
        </is>
      </c>
      <c r="D891" s="29" t="inlineStr">
        <is>
          <t>Lame Psychique</t>
        </is>
      </c>
      <c r="E891" s="29" t="inlineStr">
        <is>
          <t>Psychoschneide</t>
        </is>
      </c>
      <c r="F891" s="29" t="inlineStr">
        <is>
          <t>Psicohojas</t>
        </is>
      </c>
      <c r="G891" s="29" t="inlineStr">
        <is>
          <t>Psicolama</t>
        </is>
      </c>
      <c r="H891" s="29" t="inlineStr">
        <is>
          <t>사이코블레이드</t>
        </is>
      </c>
      <c r="I891" s="29">
        <f>IFERROR(__xludf.DUMMYFUNCTION("GOOGLETRANSLATE(J891,""zh_HANS"",""zh_HANT"")"),"精神劍")</f>
        <v/>
      </c>
      <c r="J891" s="29" t="inlineStr">
        <is>
          <t>精神剑</t>
        </is>
      </c>
      <c r="K891" s="29">
        <f>F891</f>
        <v/>
      </c>
    </row>
    <row r="892">
      <c r="A892" s="29">
        <f>CONCATENATE("NAME_MOVE_", SUBSTITUTE(SUBSTITUTE(UPPER(B892), " ", ""), "-", ""))</f>
        <v/>
      </c>
      <c r="B892" s="29" t="inlineStr">
        <is>
          <t>Hydro Steam</t>
        </is>
      </c>
      <c r="C892" s="29" t="inlineStr">
        <is>
          <t>ハイドロスチーム</t>
        </is>
      </c>
      <c r="D892" s="29" t="inlineStr">
        <is>
          <t>Hydrovapeur</t>
        </is>
      </c>
      <c r="E892" s="29" t="inlineStr">
        <is>
          <t>Hydrodampf</t>
        </is>
      </c>
      <c r="F892" s="29" t="inlineStr">
        <is>
          <t>Hidrovapor</t>
        </is>
      </c>
      <c r="G892" s="29" t="inlineStr">
        <is>
          <t>Idrovapore</t>
        </is>
      </c>
      <c r="H892" s="29" t="inlineStr">
        <is>
          <t>하이드로스팀</t>
        </is>
      </c>
      <c r="I892" s="29">
        <f>IFERROR(__xludf.DUMMYFUNCTION("GOOGLETRANSLATE(J892,""zh_HANS"",""zh_HANT"")"),"水蒸氣")</f>
        <v/>
      </c>
      <c r="J892" s="29" t="inlineStr">
        <is>
          <t>水蒸气</t>
        </is>
      </c>
      <c r="K892" s="29">
        <f>F892</f>
        <v/>
      </c>
    </row>
    <row r="893">
      <c r="A893" s="29">
        <f>CONCATENATE("NAME_MOVE_", SUBSTITUTE(SUBSTITUTE(UPPER(B893), " ", ""), "-", ""))</f>
        <v/>
      </c>
      <c r="B893" s="29" t="inlineStr">
        <is>
          <t>Ruination</t>
        </is>
      </c>
      <c r="C893" s="29" t="inlineStr">
        <is>
          <t>カタストロフィ</t>
        </is>
      </c>
      <c r="D893" s="29" t="inlineStr">
        <is>
          <t>Cataclysme</t>
        </is>
      </c>
      <c r="E893" s="29" t="inlineStr">
        <is>
          <t>Verderben</t>
        </is>
      </c>
      <c r="F893" s="29" t="inlineStr">
        <is>
          <t>Calamidad</t>
        </is>
      </c>
      <c r="G893" s="29" t="inlineStr">
        <is>
          <t>Catastrofe</t>
        </is>
      </c>
      <c r="H893" s="29" t="inlineStr">
        <is>
          <t>카타스트로피</t>
        </is>
      </c>
      <c r="I893" s="29">
        <f>IFERROR(__xludf.DUMMYFUNCTION("GOOGLETRANSLATE(J893,""zh_HANS"",""zh_HANT"")"),"大災難")</f>
        <v/>
      </c>
      <c r="J893" s="29" t="inlineStr">
        <is>
          <t>大灾难</t>
        </is>
      </c>
      <c r="K893" s="29">
        <f>F893</f>
        <v/>
      </c>
    </row>
    <row r="894">
      <c r="A894" s="29">
        <f>CONCATENATE("NAME_MOVE_", SUBSTITUTE(SUBSTITUTE(UPPER(B894), " ", ""), "-", ""))</f>
        <v/>
      </c>
      <c r="B894" s="29" t="inlineStr">
        <is>
          <t>Collision Course</t>
        </is>
      </c>
      <c r="C894" s="29" t="inlineStr">
        <is>
          <t>アクセルブレイク</t>
        </is>
      </c>
      <c r="D894" s="29" t="inlineStr">
        <is>
          <t>Nitro Crash</t>
        </is>
      </c>
      <c r="E894" s="29" t="inlineStr">
        <is>
          <t>Kollisionskurs</t>
        </is>
      </c>
      <c r="F894" s="29" t="inlineStr">
        <is>
          <t>Nitrochoque</t>
        </is>
      </c>
      <c r="G894" s="29" t="inlineStr">
        <is>
          <t>Turboschianto</t>
        </is>
      </c>
      <c r="H894" s="29" t="inlineStr">
        <is>
          <t>액셀브레이크</t>
        </is>
      </c>
      <c r="I894" s="29">
        <f>IFERROR(__xludf.DUMMYFUNCTION("GOOGLETRANSLATE(J894,""zh_HANS"",""zh_HANT"")"),"全開猛撞")</f>
        <v/>
      </c>
      <c r="J894" s="29" t="inlineStr">
        <is>
          <t>全开猛撞</t>
        </is>
      </c>
      <c r="K894" s="29">
        <f>F894</f>
        <v/>
      </c>
    </row>
    <row r="895">
      <c r="A895" s="29">
        <f>CONCATENATE("NAME_MOVE_", SUBSTITUTE(SUBSTITUTE(UPPER(B895), " ", ""), "-", ""))</f>
        <v/>
      </c>
      <c r="B895" s="29" t="inlineStr">
        <is>
          <t>Electro Drift</t>
        </is>
      </c>
      <c r="C895" s="29" t="inlineStr">
        <is>
          <t>イナズマドライブ</t>
        </is>
      </c>
      <c r="D895" s="29" t="inlineStr">
        <is>
          <t>Turbo Volt</t>
        </is>
      </c>
      <c r="E895" s="29" t="inlineStr">
        <is>
          <t>Blitztour</t>
        </is>
      </c>
      <c r="F895" s="29" t="inlineStr">
        <is>
          <t>Electroderrape</t>
        </is>
      </c>
      <c r="G895" s="29" t="inlineStr">
        <is>
          <t>Fulmiscatto</t>
        </is>
      </c>
      <c r="H895" s="29" t="inlineStr">
        <is>
          <t>라이트닝드라이브</t>
        </is>
      </c>
      <c r="I895" s="29">
        <f>IFERROR(__xludf.DUMMYFUNCTION("GOOGLETRANSLATE(J895,""zh_HANS"",""zh_HANT"")"),"閃電猛衝")</f>
        <v/>
      </c>
      <c r="J895" s="29" t="inlineStr">
        <is>
          <t>闪电猛冲</t>
        </is>
      </c>
      <c r="K895" s="29">
        <f>F895</f>
        <v/>
      </c>
    </row>
    <row r="896">
      <c r="A896" s="29">
        <f>CONCATENATE("NAME_MOVE_", SUBSTITUTE(SUBSTITUTE(UPPER(B896), " ", ""), "-", ""))</f>
        <v/>
      </c>
      <c r="B896" s="29" t="inlineStr">
        <is>
          <t>Shed Tail</t>
        </is>
      </c>
      <c r="C896" s="29" t="inlineStr">
        <is>
          <t>しっぽきり</t>
        </is>
      </c>
      <c r="D896" s="29" t="inlineStr">
        <is>
          <t>Queulonage</t>
        </is>
      </c>
      <c r="E896" s="29" t="inlineStr">
        <is>
          <t>Schwanzabwurf</t>
        </is>
      </c>
      <c r="F896" s="29" t="inlineStr">
        <is>
          <t>Autotomía</t>
        </is>
      </c>
      <c r="G896" s="29" t="inlineStr">
        <is>
          <t>Tagliacoda</t>
        </is>
      </c>
      <c r="H896" s="29" t="inlineStr">
        <is>
          <t>꼬리자르기</t>
        </is>
      </c>
      <c r="I896" s="29">
        <f>IFERROR(__xludf.DUMMYFUNCTION("GOOGLETRANSLATE(J896,""zh_HANS"",""zh_HANT"")"),"斷尾")</f>
        <v/>
      </c>
      <c r="J896" s="29" t="inlineStr">
        <is>
          <t>断尾</t>
        </is>
      </c>
      <c r="K896" s="29">
        <f>F896</f>
        <v/>
      </c>
    </row>
    <row r="897">
      <c r="A897" s="29">
        <f>CONCATENATE("NAME_MOVE_", SUBSTITUTE(SUBSTITUTE(UPPER(B897), " ", ""), "-", ""))</f>
        <v/>
      </c>
      <c r="B897" s="29" t="inlineStr">
        <is>
          <t>Chilly Reception</t>
        </is>
      </c>
      <c r="C897" s="29" t="inlineStr">
        <is>
          <t>さむいキャグ</t>
        </is>
      </c>
      <c r="D897" s="29" t="inlineStr">
        <is>
          <t>Neigeux de Mots</t>
        </is>
      </c>
      <c r="E897" s="29" t="inlineStr">
        <is>
          <t>Eisige Stimmung</t>
        </is>
      </c>
      <c r="F897" s="29" t="inlineStr">
        <is>
          <t>Fría acogida</t>
        </is>
      </c>
      <c r="G897" s="29" t="inlineStr">
        <is>
          <t>Freddura</t>
        </is>
      </c>
      <c r="H897" s="29" t="inlineStr">
        <is>
          <t>썰렁개그</t>
        </is>
      </c>
      <c r="I897" s="29">
        <f>IFERROR(__xludf.DUMMYFUNCTION("GOOGLETRANSLATE(J897,""zh_HANS"",""zh_HANT"")"),"冷笑話")</f>
        <v/>
      </c>
      <c r="J897" s="29" t="inlineStr">
        <is>
          <t>冷笑话</t>
        </is>
      </c>
      <c r="K897" s="29">
        <f>F897</f>
        <v/>
      </c>
    </row>
    <row r="898">
      <c r="A898" s="29">
        <f>CONCATENATE("NAME_MOVE_", SUBSTITUTE(SUBSTITUTE(UPPER(B898), " ", ""), "-", ""))</f>
        <v/>
      </c>
      <c r="B898" s="29" t="inlineStr">
        <is>
          <t>Tidy Up</t>
        </is>
      </c>
      <c r="C898" s="29" t="inlineStr">
        <is>
          <t>みをけぞる</t>
        </is>
      </c>
      <c r="D898" s="29" t="inlineStr">
        <is>
          <t>Grand Nettoyage</t>
        </is>
      </c>
      <c r="E898" s="29" t="inlineStr">
        <is>
          <t>Aufräumen</t>
        </is>
      </c>
      <c r="F898" s="29" t="inlineStr">
        <is>
          <t>Limipieza General</t>
        </is>
      </c>
      <c r="G898" s="29" t="inlineStr">
        <is>
          <t>Pulizie</t>
        </is>
      </c>
      <c r="H898" s="29" t="inlineStr">
        <is>
          <t>정리정돈</t>
        </is>
      </c>
      <c r="I898" s="29">
        <f>IFERROR(__xludf.DUMMYFUNCTION("GOOGLETRANSLATE(J898,""zh_HANS"",""zh_HANT"")"),"大掃除")</f>
        <v/>
      </c>
      <c r="J898" s="29" t="inlineStr">
        <is>
          <t>大扫除</t>
        </is>
      </c>
      <c r="K898" s="29">
        <f>F898</f>
        <v/>
      </c>
    </row>
    <row r="899">
      <c r="A899" s="29">
        <f>CONCATENATE("NAME_MOVE_", SUBSTITUTE(SUBSTITUTE(UPPER(B899), " ", ""), "-", ""))</f>
        <v/>
      </c>
      <c r="B899" s="29" t="inlineStr">
        <is>
          <t>Snowscape</t>
        </is>
      </c>
      <c r="C899" s="29" t="inlineStr">
        <is>
          <t>ゆきげしき</t>
        </is>
      </c>
      <c r="D899" s="29" t="inlineStr">
        <is>
          <t>Chute de Neige</t>
        </is>
      </c>
      <c r="E899" s="29" t="inlineStr">
        <is>
          <t>Schneelandschaft</t>
        </is>
      </c>
      <c r="F899" s="29" t="inlineStr">
        <is>
          <t>Paisaje Nevado</t>
        </is>
      </c>
      <c r="G899" s="29" t="inlineStr">
        <is>
          <t>Vista Innevata</t>
        </is>
      </c>
      <c r="H899" s="29" t="inlineStr">
        <is>
          <t>설경</t>
        </is>
      </c>
      <c r="I899" s="29" t="inlineStr">
        <is>
          <t>雪景</t>
        </is>
      </c>
      <c r="J899" s="29">
        <f>I899</f>
        <v/>
      </c>
      <c r="K899" s="29">
        <f>F899</f>
        <v/>
      </c>
    </row>
    <row r="900">
      <c r="A900" s="29">
        <f>CONCATENATE("NAME_MOVE_", SUBSTITUTE(SUBSTITUTE(UPPER(B900), " ", ""), "-", ""))</f>
        <v/>
      </c>
      <c r="B900" s="29" t="inlineStr">
        <is>
          <t>Pounce</t>
        </is>
      </c>
      <c r="C900" s="29" t="inlineStr">
        <is>
          <t>とびつく</t>
        </is>
      </c>
      <c r="D900" s="29" t="inlineStr">
        <is>
          <t>Bond</t>
        </is>
      </c>
      <c r="E900" s="29" t="inlineStr">
        <is>
          <t>Anspringen</t>
        </is>
      </c>
      <c r="F900" s="29" t="inlineStr">
        <is>
          <t>Brinco</t>
        </is>
      </c>
      <c r="G900" s="29" t="inlineStr">
        <is>
          <t>Balzo</t>
        </is>
      </c>
      <c r="H900" s="29" t="inlineStr">
        <is>
          <t>달려들기</t>
        </is>
      </c>
      <c r="I900" s="29">
        <f>IFERROR(__xludf.DUMMYFUNCTION("GOOGLETRANSLATE(J900,""zh_HANS"",""zh_HANT"")"),"蟲撲")</f>
        <v/>
      </c>
      <c r="J900" s="29" t="inlineStr">
        <is>
          <t>虫扑</t>
        </is>
      </c>
      <c r="K900" s="29">
        <f>F900</f>
        <v/>
      </c>
    </row>
    <row r="901">
      <c r="A901" s="29">
        <f>CONCATENATE("NAME_MOVE_", SUBSTITUTE(SUBSTITUTE(UPPER(B901), " ", ""), "-", ""))</f>
        <v/>
      </c>
      <c r="B901" s="29" t="inlineStr">
        <is>
          <t>Trailblaze</t>
        </is>
      </c>
      <c r="C901" s="29" t="inlineStr">
        <is>
          <t>くさわけ</t>
        </is>
      </c>
      <c r="D901" s="29" t="inlineStr">
        <is>
          <t>Désherbaffe</t>
        </is>
      </c>
      <c r="E901" s="29" t="inlineStr">
        <is>
          <t>Wegbereiter</t>
        </is>
      </c>
      <c r="F901" s="29" t="inlineStr">
        <is>
          <t>Truco Floral</t>
        </is>
      </c>
      <c r="G901" s="29" t="inlineStr">
        <is>
          <t>Apripista</t>
        </is>
      </c>
      <c r="H901" s="29" t="inlineStr">
        <is>
          <t>개척하기</t>
        </is>
      </c>
      <c r="I901" s="29" t="inlineStr">
        <is>
          <t>起草</t>
        </is>
      </c>
      <c r="J901" s="29">
        <f>I901</f>
        <v/>
      </c>
      <c r="K901" s="29">
        <f>F901</f>
        <v/>
      </c>
    </row>
    <row r="902">
      <c r="A902" s="29">
        <f>CONCATENATE("NAME_MOVE_", SUBSTITUTE(SUBSTITUTE(UPPER(B902), " ", ""), "-", ""))</f>
        <v/>
      </c>
      <c r="B902" s="29" t="inlineStr">
        <is>
          <t>Chilling Water</t>
        </is>
      </c>
      <c r="C902" s="29" t="inlineStr">
        <is>
          <t>ひやみず</t>
        </is>
      </c>
      <c r="D902" s="29" t="inlineStr">
        <is>
          <t>Douche Froide</t>
        </is>
      </c>
      <c r="E902" s="29" t="inlineStr">
        <is>
          <t>Kalte Dusche</t>
        </is>
      </c>
      <c r="F902" s="29" t="inlineStr">
        <is>
          <t>Agua fría</t>
        </is>
      </c>
      <c r="G902" s="29" t="inlineStr">
        <is>
          <t>Doccia Fredda</t>
        </is>
      </c>
      <c r="H902" s="29" t="inlineStr">
        <is>
          <t>찬물끼얹기</t>
        </is>
      </c>
      <c r="I902" s="29">
        <f>IFERROR(__xludf.DUMMYFUNCTION("GOOGLETRANSLATE(J902,""zh_HANS"",""zh_HANT"")"),"潑冷水")</f>
        <v/>
      </c>
      <c r="J902" s="29" t="inlineStr">
        <is>
          <t>泼冷水</t>
        </is>
      </c>
      <c r="K902" s="29">
        <f>F902</f>
        <v/>
      </c>
    </row>
    <row r="903">
      <c r="A903" s="29">
        <f>CONCATENATE("NAME_MOVE_", SUBSTITUTE(SUBSTITUTE(UPPER(B903), " ", ""), "-", ""))</f>
        <v/>
      </c>
      <c r="B903" s="29" t="inlineStr">
        <is>
          <t>Hyper Drill</t>
        </is>
      </c>
      <c r="C903" s="29" t="inlineStr">
        <is>
          <t>ハイパードリル</t>
        </is>
      </c>
      <c r="D903" s="29" t="inlineStr">
        <is>
          <t>Hyperceuse</t>
        </is>
      </c>
      <c r="E903" s="29" t="inlineStr">
        <is>
          <t>Hyperbohrer</t>
        </is>
      </c>
      <c r="F903" s="29" t="inlineStr">
        <is>
          <t>Hipertaladro</t>
        </is>
      </c>
      <c r="G903" s="29" t="inlineStr">
        <is>
          <t>Ipertrapano</t>
        </is>
      </c>
      <c r="H903" s="29" t="inlineStr">
        <is>
          <t>하이퍼드릴</t>
        </is>
      </c>
      <c r="I903" s="29">
        <f>IFERROR(__xludf.DUMMYFUNCTION("GOOGLETRANSLATE(J903,""zh_HANS"",""zh_HANT"")"),"強力鑽")</f>
        <v/>
      </c>
      <c r="J903" s="29" t="inlineStr">
        <is>
          <t>强力钻</t>
        </is>
      </c>
      <c r="K903" s="29">
        <f>F903</f>
        <v/>
      </c>
    </row>
    <row r="904">
      <c r="A904" s="29">
        <f>CONCATENATE("NAME_MOVE_", SUBSTITUTE(SUBSTITUTE(UPPER(B904), " ", ""), "-", ""))</f>
        <v/>
      </c>
      <c r="B904" s="29" t="inlineStr">
        <is>
          <t>Twin Beam</t>
        </is>
      </c>
      <c r="C904" s="29" t="inlineStr">
        <is>
          <t>ツインビーム</t>
        </is>
      </c>
      <c r="D904" s="29" t="inlineStr">
        <is>
          <t>Double Laser</t>
        </is>
      </c>
      <c r="E904" s="29" t="inlineStr">
        <is>
          <t>Doppelstrahl</t>
        </is>
      </c>
      <c r="F904" s="29" t="inlineStr">
        <is>
          <t>Láser Doble</t>
        </is>
      </c>
      <c r="G904" s="29" t="inlineStr">
        <is>
          <t>Doppioraggio</t>
        </is>
      </c>
      <c r="H904" s="29" t="inlineStr">
        <is>
          <t>트윈빔</t>
        </is>
      </c>
      <c r="I904" s="29">
        <f>IFERROR(__xludf.DUMMYFUNCTION("GOOGLETRANSLATE(J904,""zh_HANS"",""zh_HANT"")"),"雙光束")</f>
        <v/>
      </c>
      <c r="J904" s="29" t="inlineStr">
        <is>
          <t>双光束</t>
        </is>
      </c>
      <c r="K904" s="29">
        <f>F904</f>
        <v/>
      </c>
    </row>
    <row r="905">
      <c r="A905" s="29">
        <f>CONCATENATE("NAME_MOVE_", SUBSTITUTE(SUBSTITUTE(UPPER(B905), " ", ""), "-", ""))</f>
        <v/>
      </c>
      <c r="B905" s="29" t="inlineStr">
        <is>
          <t>Rage Fist</t>
        </is>
      </c>
      <c r="C905" s="29" t="inlineStr">
        <is>
          <t>ふんどのこぶし</t>
        </is>
      </c>
      <c r="D905" s="29" t="inlineStr">
        <is>
          <t>Poing de Colère</t>
        </is>
      </c>
      <c r="E905" s="29" t="inlineStr">
        <is>
          <t>Zornesfaust</t>
        </is>
      </c>
      <c r="F905" s="29" t="inlineStr">
        <is>
          <t>Puño Furia</t>
        </is>
      </c>
      <c r="G905" s="29" t="inlineStr">
        <is>
          <t>Pugno Furibondo</t>
        </is>
      </c>
      <c r="H905" s="29" t="inlineStr">
        <is>
          <t>분노의주먹</t>
        </is>
      </c>
      <c r="I905" s="29">
        <f>IFERROR(__xludf.DUMMYFUNCTION("GOOGLETRANSLATE(J905,""zh_HANS"",""zh_HANT"")"),"憤怒之拳")</f>
        <v/>
      </c>
      <c r="J905" s="29" t="inlineStr">
        <is>
          <t>愤怒之拳</t>
        </is>
      </c>
      <c r="K905" s="29">
        <f>F905</f>
        <v/>
      </c>
    </row>
    <row r="906">
      <c r="A906" s="29">
        <f>CONCATENATE("NAME_MOVE_", SUBSTITUTE(SUBSTITUTE(UPPER(B906), " ", ""), "-", ""))</f>
        <v/>
      </c>
      <c r="B906" s="29" t="inlineStr">
        <is>
          <t>Armor Cannon</t>
        </is>
      </c>
      <c r="C906" s="29" t="inlineStr">
        <is>
          <t>アーマーキャノン</t>
        </is>
      </c>
      <c r="D906" s="29" t="inlineStr">
        <is>
          <t>Canon Blindé</t>
        </is>
      </c>
      <c r="E906" s="29" t="inlineStr">
        <is>
          <t>Rüstungskanone</t>
        </is>
      </c>
      <c r="F906" s="29" t="inlineStr">
        <is>
          <t>Cañón armadura</t>
        </is>
      </c>
      <c r="G906" s="29" t="inlineStr">
        <is>
          <t>Corazza Cannone</t>
        </is>
      </c>
      <c r="H906" s="29" t="inlineStr">
        <is>
          <t>아머캐논</t>
        </is>
      </c>
      <c r="I906" s="29">
        <f>IFERROR(__xludf.DUMMYFUNCTION("GOOGLETRANSLATE(J906,""zh_HANS"",""zh_HANT"")"),"鎧農炮")</f>
        <v/>
      </c>
      <c r="J906" s="29" t="inlineStr">
        <is>
          <t>铠农炮</t>
        </is>
      </c>
      <c r="K906" s="29">
        <f>F906</f>
        <v/>
      </c>
    </row>
    <row r="907">
      <c r="A907" s="29">
        <f>CONCATENATE("NAME_MOVE_", SUBSTITUTE(SUBSTITUTE(UPPER(B907), " ", ""), "-", ""))</f>
        <v/>
      </c>
      <c r="B907" s="29" t="inlineStr">
        <is>
          <t>Bitter Blade</t>
        </is>
      </c>
      <c r="C907" s="29" t="inlineStr">
        <is>
          <t>むねんのつるぎ</t>
        </is>
      </c>
      <c r="D907" s="29" t="inlineStr">
        <is>
          <t>Lame en Peine</t>
        </is>
      </c>
      <c r="E907" s="29" t="inlineStr">
        <is>
          <t>Reueschwert</t>
        </is>
      </c>
      <c r="F907" s="29" t="inlineStr">
        <is>
          <t>Espada Lamento</t>
        </is>
      </c>
      <c r="G907" s="29" t="inlineStr">
        <is>
          <t>Lama del Rimorso</t>
        </is>
      </c>
      <c r="H907" s="29" t="inlineStr">
        <is>
          <t>원념의칼</t>
        </is>
      </c>
      <c r="I907" s="29">
        <f>IFERROR(__xludf.DUMMYFUNCTION("GOOGLETRANSLATE(J907,""zh_HANS"",""zh_HANT"")"),"悔念劍")</f>
        <v/>
      </c>
      <c r="J907" s="29" t="inlineStr">
        <is>
          <t>悔念剑</t>
        </is>
      </c>
      <c r="K907" s="29">
        <f>F907</f>
        <v/>
      </c>
    </row>
    <row r="908">
      <c r="A908" s="29">
        <f>CONCATENATE("NAME_MOVE_", SUBSTITUTE(SUBSTITUTE(UPPER(B908), " ", ""), "-", ""))</f>
        <v/>
      </c>
      <c r="B908" s="29" t="inlineStr">
        <is>
          <t>Double Shock</t>
        </is>
      </c>
      <c r="C908" s="29" t="inlineStr">
        <is>
          <t>でんこうそうげき</t>
        </is>
      </c>
      <c r="D908" s="29" t="inlineStr">
        <is>
          <t>Double Décharge</t>
        </is>
      </c>
      <c r="E908" s="29" t="inlineStr">
        <is>
          <t>Zweifachladung</t>
        </is>
      </c>
      <c r="F908" s="29" t="inlineStr">
        <is>
          <t>Electropalmas</t>
        </is>
      </c>
      <c r="G908" s="29" t="inlineStr">
        <is>
          <t>Doppiolampo</t>
        </is>
      </c>
      <c r="H908" s="29" t="inlineStr">
        <is>
          <t>전광쌍격</t>
        </is>
      </c>
      <c r="I908" s="29">
        <f>IFERROR(__xludf.DUMMYFUNCTION("GOOGLETRANSLATE(J908,""zh_HANS"",""zh_HANT"")"),"電光雙擊")</f>
        <v/>
      </c>
      <c r="J908" s="29" t="inlineStr">
        <is>
          <t>电光双击</t>
        </is>
      </c>
      <c r="K908" s="29">
        <f>F908</f>
        <v/>
      </c>
    </row>
    <row r="909">
      <c r="A909" s="29">
        <f>CONCATENATE("NAME_MOVE_", SUBSTITUTE(SUBSTITUTE(UPPER(B909), " ", ""), "-", ""))</f>
        <v/>
      </c>
      <c r="B909" s="29" t="inlineStr">
        <is>
          <t>Gigaton Hammer</t>
        </is>
      </c>
      <c r="C909" s="29" t="inlineStr">
        <is>
          <t>デカハンマー</t>
        </is>
      </c>
      <c r="D909" s="29" t="inlineStr">
        <is>
          <t>Marteau Mastoc</t>
        </is>
      </c>
      <c r="E909" s="29" t="inlineStr">
        <is>
          <t>Riesenhammer</t>
        </is>
      </c>
      <c r="F909" s="29" t="inlineStr">
        <is>
          <t>Martillo Colosal</t>
        </is>
      </c>
      <c r="G909" s="29" t="inlineStr">
        <is>
          <t>Granmartello</t>
        </is>
      </c>
      <c r="H909" s="29" t="inlineStr">
        <is>
          <t>거대해머</t>
        </is>
      </c>
      <c r="I909" s="29">
        <f>IFERROR(__xludf.DUMMYFUNCTION("GOOGLETRANSLATE(J909,""zh_HANS"",""zh_HANT"")"),"巨力錘")</f>
        <v/>
      </c>
      <c r="J909" s="29" t="inlineStr">
        <is>
          <t>巨力锤</t>
        </is>
      </c>
      <c r="K909" s="29">
        <f>F909</f>
        <v/>
      </c>
    </row>
    <row r="910">
      <c r="A910" s="29">
        <f>CONCATENATE("NAME_MOVE_", SUBSTITUTE(SUBSTITUTE(UPPER(B910), " ", ""), "-", ""))</f>
        <v/>
      </c>
      <c r="B910" s="29" t="inlineStr">
        <is>
          <t>Comeuppance</t>
        </is>
      </c>
      <c r="C910" s="29" t="inlineStr">
        <is>
          <t>ほうふく</t>
        </is>
      </c>
      <c r="D910" s="29" t="inlineStr">
        <is>
          <t>Vindicte</t>
        </is>
      </c>
      <c r="E910" s="29" t="inlineStr">
        <is>
          <t>Vandetta</t>
        </is>
      </c>
      <c r="F910" s="29" t="inlineStr">
        <is>
          <t>Resarcimiento</t>
        </is>
      </c>
      <c r="G910" s="29" t="inlineStr">
        <is>
          <t>Ritorsione</t>
        </is>
      </c>
      <c r="H910" s="29" t="inlineStr">
        <is>
          <t>앙갚음</t>
        </is>
      </c>
      <c r="I910" s="29">
        <f>IFERROR(__xludf.DUMMYFUNCTION("GOOGLETRANSLATE(J910,""zh_HANS"",""zh_HANT"")"),"復仇")</f>
        <v/>
      </c>
      <c r="J910" s="29" t="inlineStr">
        <is>
          <t>复仇</t>
        </is>
      </c>
      <c r="K910" s="29">
        <f>F910</f>
        <v/>
      </c>
    </row>
    <row r="911">
      <c r="A911" s="29">
        <f>CONCATENATE("NAME_MOVE_", SUBSTITUTE(SUBSTITUTE(UPPER(B911), " ", ""), "-", ""))</f>
        <v/>
      </c>
      <c r="B911" s="29" t="inlineStr">
        <is>
          <t>Aqua Cutter</t>
        </is>
      </c>
      <c r="C911" s="29" t="inlineStr">
        <is>
          <t>アクアカッター</t>
        </is>
      </c>
      <c r="D911" s="29" t="inlineStr">
        <is>
          <t>Tranch'Aqua</t>
        </is>
      </c>
      <c r="E911" s="29" t="inlineStr">
        <is>
          <t>Aquaschnitt</t>
        </is>
      </c>
      <c r="F911" s="29" t="inlineStr">
        <is>
          <t>Tajo Acuático</t>
        </is>
      </c>
      <c r="G911" s="29" t="inlineStr">
        <is>
          <t>Idrotaglio</t>
        </is>
      </c>
      <c r="H911" s="29" t="inlineStr">
        <is>
          <t>아쿠아커터</t>
        </is>
      </c>
      <c r="I911" s="29" t="inlineStr">
        <is>
          <t>水波刀</t>
        </is>
      </c>
      <c r="J911" s="29">
        <f>I911</f>
        <v/>
      </c>
      <c r="K911" s="29">
        <f>F911</f>
        <v/>
      </c>
    </row>
    <row r="912">
      <c r="A912" s="29">
        <f>CONCATENATE("NAME_MOVE_", SUBSTITUTE(SUBSTITUTE(UPPER(B912), " ", ""), "-", ""))</f>
        <v/>
      </c>
      <c r="B912" s="29" t="inlineStr">
        <is>
          <t>Blazing Torque</t>
        </is>
      </c>
      <c r="C912" s="29" t="inlineStr">
        <is>
          <t>バーンアクセル</t>
        </is>
      </c>
      <c r="D912" s="29" t="inlineStr">
        <is>
          <t>Crash Brûlant</t>
        </is>
      </c>
      <c r="E912" s="29" t="inlineStr">
        <is>
          <t>Hitzeturbo</t>
        </is>
      </c>
      <c r="F912" s="29" t="inlineStr">
        <is>
          <t>Pirochoque</t>
        </is>
      </c>
      <c r="G912" s="29" t="inlineStr">
        <is>
          <t>Turboustione</t>
        </is>
      </c>
      <c r="H912" s="29" t="inlineStr">
        <is>
          <t>번액셀</t>
        </is>
      </c>
      <c r="I912" s="29">
        <f>IFERROR(__xludf.DUMMYFUNCTION("GOOGLETRANSLATE(J912,""zh_HANS"",""zh_HANT"")"),"灼熱暴衝")</f>
        <v/>
      </c>
      <c r="J912" s="29" t="inlineStr">
        <is>
          <t>灼热暴冲</t>
        </is>
      </c>
      <c r="K912" s="29">
        <f>F912</f>
        <v/>
      </c>
    </row>
    <row r="913">
      <c r="A913" s="29">
        <f>CONCATENATE("NAME_MOVE_", SUBSTITUTE(SUBSTITUTE(UPPER(B913), " ", ""), "-", ""))</f>
        <v/>
      </c>
      <c r="B913" s="29" t="inlineStr">
        <is>
          <t>Wicked Torque</t>
        </is>
      </c>
      <c r="C913" s="29" t="inlineStr">
        <is>
          <t>ダークアクセル</t>
        </is>
      </c>
      <c r="D913" s="29" t="inlineStr">
        <is>
          <t>Crash Obscur</t>
        </is>
      </c>
      <c r="E913" s="29" t="inlineStr">
        <is>
          <t>Finsterturbo</t>
        </is>
      </c>
      <c r="F913" s="29" t="inlineStr">
        <is>
          <t>Ominochoque</t>
        </is>
      </c>
      <c r="G913" s="29" t="inlineStr">
        <is>
          <t>Turbotenebra</t>
        </is>
      </c>
      <c r="H913" s="29" t="inlineStr">
        <is>
          <t>다크액셀</t>
        </is>
      </c>
      <c r="I913" s="29">
        <f>IFERROR(__xludf.DUMMYFUNCTION("GOOGLETRANSLATE(J913,""zh_HANS"",""zh_HANT"")"),"黑暗暴衝")</f>
        <v/>
      </c>
      <c r="J913" s="29" t="inlineStr">
        <is>
          <t>黑暗暴冲</t>
        </is>
      </c>
      <c r="K913" s="29">
        <f>F913</f>
        <v/>
      </c>
    </row>
    <row r="914">
      <c r="A914" s="29">
        <f>CONCATENATE("NAME_MOVE_", SUBSTITUTE(SUBSTITUTE(UPPER(B914), " ", ""), "-", ""))</f>
        <v/>
      </c>
      <c r="B914" s="29" t="inlineStr">
        <is>
          <t>Noxious Torque</t>
        </is>
      </c>
      <c r="C914" s="29" t="inlineStr">
        <is>
          <t>ポイソンアクセル</t>
        </is>
      </c>
      <c r="D914" s="29" t="inlineStr">
        <is>
          <t>Crash Toxique</t>
        </is>
      </c>
      <c r="E914" s="29" t="inlineStr">
        <is>
          <t>Toxiturbo</t>
        </is>
      </c>
      <c r="F914" s="29" t="inlineStr">
        <is>
          <t>Ponzochoque</t>
        </is>
      </c>
      <c r="G914" s="29" t="inlineStr">
        <is>
          <t>Turbotossina</t>
        </is>
      </c>
      <c r="H914" s="29" t="inlineStr">
        <is>
          <t>포이즌액셀</t>
        </is>
      </c>
      <c r="I914" s="29">
        <f>IFERROR(__xludf.DUMMYFUNCTION("GOOGLETRANSLATE(J914,""zh_HANS"",""zh_HANT"")"),"劇毒暴衝")</f>
        <v/>
      </c>
      <c r="J914" s="29" t="inlineStr">
        <is>
          <t>剧毒暴冲</t>
        </is>
      </c>
      <c r="K914" s="29">
        <f>F914</f>
        <v/>
      </c>
    </row>
    <row r="915">
      <c r="A915" s="29">
        <f>CONCATENATE("NAME_MOVE_", SUBSTITUTE(SUBSTITUTE(UPPER(B915), " ", ""), "-", ""))</f>
        <v/>
      </c>
      <c r="B915" s="29" t="inlineStr">
        <is>
          <t>Combat Torque</t>
        </is>
      </c>
      <c r="C915" s="29" t="inlineStr">
        <is>
          <t>ファイトアクセル</t>
        </is>
      </c>
      <c r="D915" s="29" t="inlineStr">
        <is>
          <t>Crash Musclé</t>
        </is>
      </c>
      <c r="E915" s="29" t="inlineStr">
        <is>
          <t>Raufturbo</t>
        </is>
      </c>
      <c r="F915" s="29" t="inlineStr">
        <is>
          <t>Pugnachoque</t>
        </is>
      </c>
      <c r="G915" s="29">
        <f>G914</f>
        <v/>
      </c>
      <c r="H915" s="29" t="inlineStr">
        <is>
          <t>파이트액셀</t>
        </is>
      </c>
      <c r="I915" s="29">
        <f>IFERROR(__xludf.DUMMYFUNCTION("GOOGLETRANSLATE(J915,""zh_HANS"",""zh_HANT"")"),"格鬥暴衝")</f>
        <v/>
      </c>
      <c r="J915" s="29" t="inlineStr">
        <is>
          <t>格斗暴冲</t>
        </is>
      </c>
      <c r="K915" s="29">
        <f>F915</f>
        <v/>
      </c>
    </row>
    <row r="916">
      <c r="A916" s="29">
        <f>CONCATENATE("NAME_MOVE_", SUBSTITUTE(SUBSTITUTE(UPPER(B916), " ", ""), "-", ""))</f>
        <v/>
      </c>
      <c r="B916" s="29" t="inlineStr">
        <is>
          <t>Magical Torque</t>
        </is>
      </c>
      <c r="C916" s="29" t="inlineStr">
        <is>
          <t>マジカルアクセル</t>
        </is>
      </c>
      <c r="D916" s="29" t="inlineStr">
        <is>
          <t>Crash Magique</t>
        </is>
      </c>
      <c r="E916" s="29" t="inlineStr">
        <is>
          <t>Zauberturbo</t>
        </is>
      </c>
      <c r="F916" s="29" t="inlineStr">
        <is>
          <t>Feerichoque</t>
        </is>
      </c>
      <c r="G916" s="29" t="inlineStr">
        <is>
          <t>Turboincanto</t>
        </is>
      </c>
      <c r="H916" s="29" t="inlineStr">
        <is>
          <t>매지컬액셀</t>
        </is>
      </c>
      <c r="I916" s="29">
        <f>IFERROR(__xludf.DUMMYFUNCTION("GOOGLETRANSLATE(J916,""zh_HANS"",""zh_HANT"")"),"魔法暴衝")</f>
        <v/>
      </c>
      <c r="J916" s="29" t="inlineStr">
        <is>
          <t>魔法暴冲</t>
        </is>
      </c>
      <c r="K916" s="29">
        <f>F916</f>
        <v/>
      </c>
    </row>
    <row r="917">
      <c r="A917" s="29">
        <f>CONCATENATE("NAME_MOVE_", SUBSTITUTE(SUBSTITUTE(UPPER(B917), " ", ""), "-", ""))</f>
        <v/>
      </c>
      <c r="B917" s="29" t="inlineStr">
        <is>
          <t>Blood Moon</t>
        </is>
      </c>
      <c r="C917" s="18" t="inlineStr">
        <is>
          <t>ブラッドムーン</t>
        </is>
      </c>
      <c r="D917" s="29" t="inlineStr">
        <is>
          <t>Lune Rouge</t>
        </is>
      </c>
      <c r="E917" s="29">
        <f>Forms!E215</f>
        <v/>
      </c>
      <c r="F917" s="29" t="inlineStr">
        <is>
          <t>Luna Roja</t>
        </is>
      </c>
      <c r="G917" s="29" t="inlineStr">
        <is>
          <t>Luna Rossa</t>
        </is>
      </c>
      <c r="H917" s="29" t="inlineStr">
        <is>
          <t>블러드문</t>
        </is>
      </c>
      <c r="I917" s="29" t="inlineStr">
        <is>
          <t>血月</t>
        </is>
      </c>
      <c r="J917" s="29">
        <f>I917</f>
        <v/>
      </c>
      <c r="K917" s="29">
        <f>F917</f>
        <v/>
      </c>
    </row>
    <row r="918">
      <c r="A918" s="29">
        <f>CONCATENATE("NAME_MOVE_", SUBSTITUTE(SUBSTITUTE(UPPER(B918), " ", ""), "-", ""))</f>
        <v/>
      </c>
      <c r="B918" s="29" t="inlineStr">
        <is>
          <t>Matcha Gatcha</t>
        </is>
      </c>
      <c r="C918" s="29" t="inlineStr">
        <is>
          <t>シャカシャカほう</t>
        </is>
      </c>
      <c r="D918" s="29" t="inlineStr">
        <is>
          <t>Mortier Matcha</t>
        </is>
      </c>
      <c r="E918" s="29" t="inlineStr">
        <is>
          <t>Quirlschuss</t>
        </is>
      </c>
      <c r="F918" s="29" t="inlineStr">
        <is>
          <t>Cañón Batidor</t>
        </is>
      </c>
      <c r="G918" s="29" t="inlineStr">
        <is>
          <t>Spruzzatè</t>
        </is>
      </c>
      <c r="H918" s="29" t="inlineStr">
        <is>
          <t>휘적휘적포</t>
        </is>
      </c>
      <c r="I918" s="29" t="inlineStr">
        <is>
          <t>刷刷茶炮</t>
        </is>
      </c>
      <c r="J918" s="29">
        <f>I918</f>
        <v/>
      </c>
      <c r="K918" s="29">
        <f>F918</f>
        <v/>
      </c>
    </row>
    <row r="919">
      <c r="A919" s="29">
        <f>CONCATENATE("NAME_MOVE_", SUBSTITUTE(SUBSTITUTE(UPPER(B919), " ", ""), "-", ""))</f>
        <v/>
      </c>
      <c r="B919" s="29" t="inlineStr">
        <is>
          <t>Syrup Bomb</t>
        </is>
      </c>
      <c r="C919" s="29" t="inlineStr">
        <is>
          <t>みずあめボム</t>
        </is>
      </c>
      <c r="D919" s="29" t="inlineStr">
        <is>
          <t>Bombe au Sirop</t>
        </is>
      </c>
      <c r="E919" s="29" t="inlineStr">
        <is>
          <t>Sirupbombe</t>
        </is>
      </c>
      <c r="F919" s="29" t="inlineStr">
        <is>
          <t>Bomba Caramelo</t>
        </is>
      </c>
      <c r="G919" s="29" t="inlineStr">
        <is>
          <t>Bomba Sciroppata</t>
        </is>
      </c>
      <c r="H919" s="29" t="inlineStr">
        <is>
          <t>시럽봄</t>
        </is>
      </c>
      <c r="I919" s="29">
        <f>IFERROR(__xludf.DUMMYFUNCTION("GOOGLETRANSLATE(J919,""zh_HANS"",""zh_HANT"")"),"糖漿炸彈")</f>
        <v/>
      </c>
      <c r="J919" s="29" t="inlineStr">
        <is>
          <t>糖浆炸弹</t>
        </is>
      </c>
      <c r="K919" s="29">
        <f>F919</f>
        <v/>
      </c>
    </row>
    <row r="920">
      <c r="A920" s="29">
        <f>CONCATENATE("NAME_MOVE_", SUBSTITUTE(SUBSTITUTE(UPPER(B920), " ", ""), "-", ""))</f>
        <v/>
      </c>
      <c r="B920" s="29" t="inlineStr">
        <is>
          <t>Ivy Cudgel</t>
        </is>
      </c>
      <c r="C920" s="29" t="inlineStr">
        <is>
          <t>ツタこんぼう</t>
        </is>
      </c>
      <c r="D920" s="29" t="inlineStr">
        <is>
          <t>Massue Liane</t>
        </is>
      </c>
      <c r="E920" s="29" t="inlineStr">
        <is>
          <t>Rankenkeule</t>
        </is>
      </c>
      <c r="F920" s="29" t="inlineStr">
        <is>
          <t>Garrote Liana</t>
        </is>
      </c>
      <c r="G920" s="29" t="inlineStr">
        <is>
          <t>Clava di Liane</t>
        </is>
      </c>
      <c r="H920" s="29" t="inlineStr">
        <is>
          <t>덩굴방망이</t>
        </is>
      </c>
      <c r="I920" s="29">
        <f>J920</f>
        <v/>
      </c>
      <c r="J920" s="29" t="inlineStr">
        <is>
          <t>棘藤棒</t>
        </is>
      </c>
      <c r="K920" s="29">
        <f>F920</f>
        <v/>
      </c>
    </row>
    <row r="921">
      <c r="A921" s="29">
        <f>CONCATENATE("NAME_MOVE_", SUBSTITUTE(SUBSTITUTE(UPPER(B921), " ", ""), "-", ""))</f>
        <v/>
      </c>
      <c r="B921" s="29" t="inlineStr">
        <is>
          <t>Electro Shot</t>
        </is>
      </c>
      <c r="C921" s="29" t="inlineStr">
        <is>
          <t>エレクトロビーム</t>
        </is>
      </c>
      <c r="D921" s="29" t="inlineStr">
        <is>
          <t>Fulgurayon</t>
        </is>
      </c>
      <c r="E921" s="29" t="inlineStr">
        <is>
          <t>Stromstrahl</t>
        </is>
      </c>
      <c r="F921" s="29" t="inlineStr">
        <is>
          <t>Electrorrayo</t>
        </is>
      </c>
      <c r="G921" s="29" t="inlineStr">
        <is>
          <t>Elettroraggio</t>
        </is>
      </c>
      <c r="H921" s="29" t="inlineStr">
        <is>
          <t>일렉트로빔</t>
        </is>
      </c>
      <c r="I921" s="29">
        <f>IFERROR(__xludf.DUMMYFUNCTION("GOOGLETRANSLATE(J921,""zh_HANS"",""zh_HANT"")"),"電光束")</f>
        <v/>
      </c>
      <c r="J921" s="29" t="inlineStr">
        <is>
          <t>电光束</t>
        </is>
      </c>
      <c r="K921" s="29">
        <f>F921</f>
        <v/>
      </c>
    </row>
    <row r="922">
      <c r="A922" s="29">
        <f>CONCATENATE("NAME_MOVE_", SUBSTITUTE(SUBSTITUTE(UPPER(B922), " ", ""), "-", ""))</f>
        <v/>
      </c>
      <c r="B922" s="29" t="inlineStr">
        <is>
          <t>Tera Starstorm</t>
        </is>
      </c>
      <c r="C922" s="29" t="inlineStr">
        <is>
          <t>テラクラスター</t>
        </is>
      </c>
      <c r="D922" s="29" t="inlineStr">
        <is>
          <t>Pluie Térastrale</t>
        </is>
      </c>
      <c r="E922" s="29" t="inlineStr">
        <is>
          <t>Tera-Sternhagel</t>
        </is>
      </c>
      <c r="F922" s="29" t="inlineStr">
        <is>
          <t>Teraclúster</t>
        </is>
      </c>
      <c r="G922" s="29" t="inlineStr">
        <is>
          <t>Teracluster</t>
        </is>
      </c>
      <c r="H922" s="29" t="inlineStr">
        <is>
          <t>테라클러스터</t>
        </is>
      </c>
      <c r="I922" s="29" t="inlineStr">
        <is>
          <t>晶光星群</t>
        </is>
      </c>
      <c r="J922" s="29">
        <f>I922</f>
        <v/>
      </c>
      <c r="K922" s="29">
        <f>F922</f>
        <v/>
      </c>
    </row>
    <row r="923">
      <c r="A923" s="29">
        <f>CONCATENATE("NAME_MOVE_", SUBSTITUTE(SUBSTITUTE(UPPER(B923), " ", ""), "-", ""))</f>
        <v/>
      </c>
      <c r="B923" s="29" t="inlineStr">
        <is>
          <t>Fickle Beam</t>
        </is>
      </c>
      <c r="C923" s="29" t="inlineStr">
        <is>
          <t>きまぐレーザー</t>
        </is>
      </c>
      <c r="D923" s="29" t="inlineStr">
        <is>
          <t>Laser Hasard</t>
        </is>
      </c>
      <c r="E923" s="29" t="inlineStr">
        <is>
          <t>Launenlaser</t>
        </is>
      </c>
      <c r="F923" s="29" t="inlineStr">
        <is>
          <t>Láser Veleidoso</t>
        </is>
      </c>
      <c r="G923" s="29" t="inlineStr">
        <is>
          <t>Irregolaser</t>
        </is>
      </c>
      <c r="H923" s="29" t="inlineStr">
        <is>
          <t>변덕레이저</t>
        </is>
      </c>
      <c r="I923" s="29">
        <f>IFERROR(__xludf.DUMMYFUNCTION("GOOGLETRANSLATE(J923,""zh_HANS"",""zh_HANT"")"),"隨機光")</f>
        <v/>
      </c>
      <c r="J923" s="29" t="inlineStr">
        <is>
          <t>随机光</t>
        </is>
      </c>
      <c r="K923" s="29">
        <f>F923</f>
        <v/>
      </c>
    </row>
    <row r="924">
      <c r="A924" s="29">
        <f>CONCATENATE("NAME_MOVE_", SUBSTITUTE(SUBSTITUTE(UPPER(B924), " ", ""), "-", ""))</f>
        <v/>
      </c>
      <c r="B924" s="29" t="inlineStr">
        <is>
          <t>Burning Bulwark</t>
        </is>
      </c>
      <c r="C924" s="29" t="inlineStr">
        <is>
          <t>かえんのまもり</t>
        </is>
      </c>
      <c r="D924" s="29" t="inlineStr">
        <is>
          <t>Rempart Brûlant</t>
        </is>
      </c>
      <c r="E924" s="29" t="inlineStr">
        <is>
          <t>Flammenschild</t>
        </is>
      </c>
      <c r="F924" s="29" t="inlineStr">
        <is>
          <t>Llama Protectora</t>
        </is>
      </c>
      <c r="G924" s="29" t="inlineStr">
        <is>
          <t>Egida Ignea</t>
        </is>
      </c>
      <c r="H924" s="29" t="inlineStr">
        <is>
          <t>화염의수호</t>
        </is>
      </c>
      <c r="I924" s="29">
        <f>IFERROR(__xludf.DUMMYFUNCTION("GOOGLETRANSLATE(J924,""zh_HANS"",""zh_HANT"")"),"火焰守護")</f>
        <v/>
      </c>
      <c r="J924" s="29" t="inlineStr">
        <is>
          <t>火焰守护</t>
        </is>
      </c>
      <c r="K924" s="29">
        <f>F924</f>
        <v/>
      </c>
    </row>
    <row r="925">
      <c r="A925" s="29">
        <f>CONCATENATE("NAME_MOVE_", SUBSTITUTE(SUBSTITUTE(UPPER(B925), " ", ""), "-", ""))</f>
        <v/>
      </c>
      <c r="B925" s="29" t="inlineStr">
        <is>
          <t>Thunderclap</t>
        </is>
      </c>
      <c r="C925" s="29" t="inlineStr">
        <is>
          <t>じんらい</t>
        </is>
      </c>
      <c r="D925" s="29" t="inlineStr">
        <is>
          <t>Vif Éclair</t>
        </is>
      </c>
      <c r="E925" s="29" t="inlineStr">
        <is>
          <t>Sturmblitz</t>
        </is>
      </c>
      <c r="F925" s="29" t="inlineStr">
        <is>
          <t>Relámpago Súbito</t>
        </is>
      </c>
      <c r="G925" s="29" t="inlineStr">
        <is>
          <t>Saetta</t>
        </is>
      </c>
      <c r="H925" s="29" t="inlineStr">
        <is>
          <t>질풍신뢰</t>
        </is>
      </c>
      <c r="I925" s="29" t="inlineStr">
        <is>
          <t>迅雷</t>
        </is>
      </c>
      <c r="J925" s="29">
        <f>I925</f>
        <v/>
      </c>
      <c r="K925" s="29">
        <f>F925</f>
        <v/>
      </c>
    </row>
    <row r="926">
      <c r="A926" s="29">
        <f>CONCATENATE("NAME_MOVE_", SUBSTITUTE(SUBSTITUTE(UPPER(B926), " ", ""), "-", ""))</f>
        <v/>
      </c>
      <c r="B926" s="29" t="inlineStr">
        <is>
          <t>Mighty Cleave</t>
        </is>
      </c>
      <c r="C926" s="29" t="inlineStr">
        <is>
          <t>パワフルエッジ</t>
        </is>
      </c>
      <c r="D926" s="29" t="inlineStr">
        <is>
          <t>Lame Puissante</t>
        </is>
      </c>
      <c r="E926" s="29" t="inlineStr">
        <is>
          <t>Wuchtklinge</t>
        </is>
      </c>
      <c r="F926" s="29" t="inlineStr">
        <is>
          <t>Filo Potente</t>
        </is>
      </c>
      <c r="G926" s="29" t="inlineStr">
        <is>
          <t>Taglio Poderoso</t>
        </is>
      </c>
      <c r="H926" s="29" t="inlineStr">
        <is>
          <t>파워풀에지</t>
        </is>
      </c>
      <c r="I926" s="29">
        <f>IFERROR(__xludf.DUMMYFUNCTION("GOOGLETRANSLATE(J926,""zh_HANS"",""zh_HANT"")"),"強刃攻擊")</f>
        <v/>
      </c>
      <c r="J926" s="29" t="inlineStr">
        <is>
          <t>强刃攻击</t>
        </is>
      </c>
      <c r="K926" s="29">
        <f>F926</f>
        <v/>
      </c>
    </row>
    <row r="927">
      <c r="A927" s="29">
        <f>CONCATENATE("NAME_MOVE_", SUBSTITUTE(SUBSTITUTE(UPPER(B927), " ", ""), "-", ""))</f>
        <v/>
      </c>
      <c r="B927" s="29" t="inlineStr">
        <is>
          <t>Tachyon Cutter</t>
        </is>
      </c>
      <c r="C927" s="29" t="inlineStr">
        <is>
          <t>タキオンカッター</t>
        </is>
      </c>
      <c r="D927" s="29" t="inlineStr">
        <is>
          <t>Lame Tachyonique</t>
        </is>
      </c>
      <c r="E927" s="29" t="inlineStr">
        <is>
          <t>Tachyon-Schnitt</t>
        </is>
      </c>
      <c r="F927" s="29" t="inlineStr">
        <is>
          <t>Tajo Taquión</t>
        </is>
      </c>
      <c r="G927" s="29" t="inlineStr">
        <is>
          <t>Tachiontaglio</t>
        </is>
      </c>
      <c r="H927" s="29" t="inlineStr">
        <is>
          <t>타키온커터</t>
        </is>
      </c>
      <c r="I927" s="29" t="inlineStr">
        <is>
          <t>迅子利刃</t>
        </is>
      </c>
      <c r="J927" s="29">
        <f>I927</f>
        <v/>
      </c>
      <c r="K927" s="29">
        <f>F927</f>
        <v/>
      </c>
    </row>
    <row r="928">
      <c r="A928" s="29">
        <f>CONCATENATE("NAME_MOVE_", SUBSTITUTE(SUBSTITUTE(UPPER(B928), " ", ""), "-", ""))</f>
        <v/>
      </c>
      <c r="B928" s="29" t="inlineStr">
        <is>
          <t>Hard Press</t>
        </is>
      </c>
      <c r="C928" s="29" t="inlineStr">
        <is>
          <t>ハードプレス</t>
        </is>
      </c>
      <c r="D928" s="29" t="inlineStr">
        <is>
          <t>Pression Extrême</t>
        </is>
      </c>
      <c r="E928" s="29" t="inlineStr">
        <is>
          <t>Stahlpresse</t>
        </is>
      </c>
      <c r="F928" s="29" t="inlineStr">
        <is>
          <t>Prensa Metálica</t>
        </is>
      </c>
      <c r="G928" s="29" t="inlineStr">
        <is>
          <t>Pressa d'Acciaio</t>
        </is>
      </c>
      <c r="H928" s="29" t="inlineStr">
        <is>
          <t>하드프레스</t>
        </is>
      </c>
      <c r="I928" s="29">
        <f>IFERROR(__xludf.DUMMYFUNCTION("GOOGLETRANSLATE(J928,""zh_HANS"",""zh_HANT"")"),"硬壓")</f>
        <v/>
      </c>
      <c r="J928" s="29" t="inlineStr">
        <is>
          <t>硬压</t>
        </is>
      </c>
      <c r="K928" s="29">
        <f>F928</f>
        <v/>
      </c>
    </row>
    <row r="929">
      <c r="A929" s="29">
        <f>CONCATENATE("NAME_MOVE_", SUBSTITUTE(SUBSTITUTE(UPPER(B929), " ", ""), "-", ""))</f>
        <v/>
      </c>
      <c r="B929" s="29" t="inlineStr">
        <is>
          <t>Dragon Cheer</t>
        </is>
      </c>
      <c r="C929" s="29" t="inlineStr">
        <is>
          <t>ドラゴンエール</t>
        </is>
      </c>
      <c r="D929" s="29" t="inlineStr">
        <is>
          <t>Cri Draconique</t>
        </is>
      </c>
      <c r="E929" s="29" t="inlineStr">
        <is>
          <t>Drachenschrei</t>
        </is>
      </c>
      <c r="F929" s="29" t="inlineStr">
        <is>
          <t>Bramido Dragón</t>
        </is>
      </c>
      <c r="G929" s="29" t="inlineStr">
        <is>
          <t>Grido del Drago</t>
        </is>
      </c>
      <c r="H929" s="29" t="inlineStr">
        <is>
          <t>드래곤옐</t>
        </is>
      </c>
      <c r="I929" s="29">
        <f>IFERROR(__xludf.DUMMYFUNCTION("GOOGLETRANSLATE(J929,""zh_HANS"",""zh_HANT"")"),"龍聲鼓舞")</f>
        <v/>
      </c>
      <c r="J929" s="29" t="inlineStr">
        <is>
          <t>龙声鼓舞</t>
        </is>
      </c>
      <c r="K929" s="29">
        <f>F929</f>
        <v/>
      </c>
    </row>
    <row r="930">
      <c r="A930" s="29">
        <f>CONCATENATE("NAME_MOVE_", SUBSTITUTE(SUBSTITUTE(UPPER(B930), " ", ""), "-", ""))</f>
        <v/>
      </c>
      <c r="B930" s="29" t="inlineStr">
        <is>
          <t>Alluring Voice</t>
        </is>
      </c>
      <c r="C930" s="29" t="inlineStr">
        <is>
          <t>みわくのボイス</t>
        </is>
      </c>
      <c r="D930" s="29" t="inlineStr">
        <is>
          <t>Voix Envoûtante</t>
        </is>
      </c>
      <c r="E930" s="29" t="inlineStr">
        <is>
          <t>Lockstimme</t>
        </is>
      </c>
      <c r="F930" s="29" t="inlineStr">
        <is>
          <t>Canto Encantador</t>
        </is>
      </c>
      <c r="G930" s="29" t="inlineStr">
        <is>
          <t>Ammaliavoce</t>
        </is>
      </c>
      <c r="H930" s="29" t="inlineStr">
        <is>
          <t>매혹의보이스</t>
        </is>
      </c>
      <c r="I930" s="29">
        <f>IFERROR(__xludf.DUMMYFUNCTION("GOOGLETRANSLATE(J930,""zh_HANS"",""zh_HANT"")"),"魅誘之聲")</f>
        <v/>
      </c>
      <c r="J930" s="29" t="inlineStr">
        <is>
          <t>魅诱之声</t>
        </is>
      </c>
      <c r="K930" s="29">
        <f>F930</f>
        <v/>
      </c>
    </row>
    <row r="931">
      <c r="A931" s="29">
        <f>CONCATENATE("NAME_MOVE_", SUBSTITUTE(SUBSTITUTE(UPPER(B931), " ", ""), "-", ""))</f>
        <v/>
      </c>
      <c r="B931" s="29" t="inlineStr">
        <is>
          <t>Temper Flare</t>
        </is>
      </c>
      <c r="C931" s="29" t="inlineStr">
        <is>
          <t>やけっぱち</t>
        </is>
      </c>
      <c r="D931" s="29" t="inlineStr">
        <is>
          <t>Indignition</t>
        </is>
      </c>
      <c r="E931" s="29" t="inlineStr">
        <is>
          <t>Frustflamme</t>
        </is>
      </c>
      <c r="F931" s="29" t="inlineStr">
        <is>
          <t>Cólera Ardiente</t>
        </is>
      </c>
      <c r="G931" s="29" t="inlineStr">
        <is>
          <t>Rabbia Bruciante</t>
        </is>
      </c>
      <c r="H931" s="29" t="inlineStr">
        <is>
          <t>열불내기</t>
        </is>
      </c>
      <c r="I931" s="29" t="inlineStr">
        <is>
          <t>豁出去</t>
        </is>
      </c>
      <c r="J931" s="29">
        <f>I931</f>
        <v/>
      </c>
      <c r="K931" s="29">
        <f>F931</f>
        <v/>
      </c>
    </row>
    <row r="932">
      <c r="A932" s="29">
        <f>CONCATENATE("NAME_MOVE_", SUBSTITUTE(SUBSTITUTE(UPPER(B932), " ", ""), "-", ""))</f>
        <v/>
      </c>
      <c r="B932" s="29" t="inlineStr">
        <is>
          <t>Supercell Slam</t>
        </is>
      </c>
      <c r="C932" s="29" t="inlineStr">
        <is>
          <t>サンダーダイブ</t>
        </is>
      </c>
      <c r="D932" s="29" t="inlineStr">
        <is>
          <t>Volt Assaut</t>
        </is>
      </c>
      <c r="E932" s="29" t="inlineStr">
        <is>
          <t>Donnerstoß</t>
        </is>
      </c>
      <c r="F932" s="29" t="inlineStr">
        <is>
          <t>Plancha Voltaica</t>
        </is>
      </c>
      <c r="G932" s="29" t="inlineStr">
        <is>
          <t>Elettrotuffo</t>
        </is>
      </c>
      <c r="H932" s="29" t="inlineStr">
        <is>
          <t>썬더다이브</t>
        </is>
      </c>
      <c r="I932" s="29">
        <f>IFERROR(__xludf.DUMMYFUNCTION("GOOGLETRANSLATE(J932,""zh_HANS"",""zh_HANT"")"),"閃電強襲")</f>
        <v/>
      </c>
      <c r="J932" s="29" t="inlineStr">
        <is>
          <t>闪电强袭</t>
        </is>
      </c>
      <c r="K932" s="29">
        <f>F932</f>
        <v/>
      </c>
    </row>
    <row r="933">
      <c r="A933" s="29">
        <f>CONCATENATE("NAME_MOVE_", SUBSTITUTE(SUBSTITUTE(UPPER(B933), " ", ""), "-", ""))</f>
        <v/>
      </c>
      <c r="B933" s="29" t="inlineStr">
        <is>
          <t>Psychic Noise</t>
        </is>
      </c>
      <c r="C933" s="29" t="inlineStr">
        <is>
          <t>サイコノイズ</t>
        </is>
      </c>
      <c r="D933" s="29" t="inlineStr">
        <is>
          <t>Dissonance Psy</t>
        </is>
      </c>
      <c r="E933" s="29" t="inlineStr">
        <is>
          <t>Psycholärm</t>
        </is>
      </c>
      <c r="F933" s="29" t="inlineStr">
        <is>
          <t>Psicorruido</t>
        </is>
      </c>
      <c r="G933" s="29" t="inlineStr">
        <is>
          <t>Psicorumore</t>
        </is>
      </c>
      <c r="H933" s="29" t="inlineStr">
        <is>
          <t>사이코노이즈</t>
        </is>
      </c>
      <c r="I933" s="29" t="inlineStr">
        <is>
          <t>精神噪音</t>
        </is>
      </c>
      <c r="J933" s="29">
        <f>I933</f>
        <v/>
      </c>
      <c r="K933" s="29">
        <f>F933</f>
        <v/>
      </c>
    </row>
    <row r="934">
      <c r="A934" s="29">
        <f>CONCATENATE("NAME_MOVE_", SUBSTITUTE(SUBSTITUTE(UPPER(B934), " ", ""), "-", ""))</f>
        <v/>
      </c>
      <c r="B934" s="29" t="inlineStr">
        <is>
          <t>Upper Hand</t>
        </is>
      </c>
      <c r="C934" s="29" t="inlineStr">
        <is>
          <t>はやてがえし</t>
        </is>
      </c>
      <c r="D934" s="29" t="inlineStr">
        <is>
          <t>Prio-Parade</t>
        </is>
      </c>
      <c r="E934" s="29" t="inlineStr">
        <is>
          <t>Schnellkonter</t>
        </is>
      </c>
      <c r="F934" s="29" t="inlineStr">
        <is>
          <t>Palma Rauda</t>
        </is>
      </c>
      <c r="G934" s="29" t="inlineStr">
        <is>
          <t>Colpo di Mano</t>
        </is>
      </c>
      <c r="H934" s="29" t="inlineStr">
        <is>
          <t>기선제압</t>
        </is>
      </c>
      <c r="I934" s="29">
        <f>IFERROR(__xludf.DUMMYFUNCTION("GOOGLETRANSLATE(J934,""zh_HANS"",""zh_HANT"")"),"快手還擊")</f>
        <v/>
      </c>
      <c r="J934" s="29" t="inlineStr">
        <is>
          <t>快手还击</t>
        </is>
      </c>
      <c r="K934" s="29">
        <f>F934</f>
        <v/>
      </c>
    </row>
    <row r="935">
      <c r="A935" s="29">
        <f>CONCATENATE("NAME_MOVE_", SUBSTITUTE(SUBSTITUTE(UPPER(B935), " ", ""), "-", ""))</f>
        <v/>
      </c>
      <c r="B935" s="29" t="inlineStr">
        <is>
          <t>Malignant Chain</t>
        </is>
      </c>
      <c r="C935" s="29" t="inlineStr">
        <is>
          <t>じゃどくのくさり</t>
        </is>
      </c>
      <c r="D935" s="29" t="inlineStr">
        <is>
          <t>Chaîne Malsaine</t>
        </is>
      </c>
      <c r="E935" s="29" t="inlineStr">
        <is>
          <t>Giftkettung</t>
        </is>
      </c>
      <c r="F935" s="29" t="inlineStr">
        <is>
          <t>Cadena Virulenta</t>
        </is>
      </c>
      <c r="G935" s="29" t="inlineStr">
        <is>
          <t>Intossicatena</t>
        </is>
      </c>
      <c r="H935" s="29" t="inlineStr">
        <is>
          <t>악독사슬</t>
        </is>
      </c>
      <c r="I935" s="29">
        <f>IFERROR(__xludf.DUMMYFUNCTION("GOOGLETRANSLATE(J935,""zh_HANS"",""zh_HANT"")"),"邪毒鎖鏈")</f>
        <v/>
      </c>
      <c r="J935" s="29" t="inlineStr">
        <is>
          <t>邪毒锁链</t>
        </is>
      </c>
      <c r="K935" s="29">
        <f>F935</f>
        <v/>
      </c>
    </row>
    <row r="936">
      <c r="A936" s="29">
        <f>CONCATENATE("NAME_MOVE_", SUBSTITUTE(SUBSTITUTE(UPPER(B936), " ", ""), "-", ""))</f>
        <v/>
      </c>
      <c r="B936" s="29" t="inlineStr">
        <is>
          <t>Nihil Light</t>
        </is>
      </c>
      <c r="C936" s="29" t="inlineStr">
        <is>
          <t>無に帰す光</t>
        </is>
      </c>
      <c r="D936" s="29" t="inlineStr">
        <is>
          <t>Lux Nihilum</t>
        </is>
      </c>
      <c r="E936" s="29" t="inlineStr">
        <is>
          <t>Tilgungslicht</t>
        </is>
      </c>
      <c r="F936" s="29" t="inlineStr">
        <is>
          <t>Luz Devastadora</t>
        </is>
      </c>
      <c r="G936" s="29" t="inlineStr">
        <is>
          <t>Tabula Laser</t>
        </is>
      </c>
      <c r="H936" s="29" t="inlineStr">
        <is>
          <t>니힐레이저</t>
        </is>
      </c>
      <c r="I936" s="29">
        <f>IFERROR(__xludf.DUMMYFUNCTION("GOOGLETRANSLATE(J936,""zh_HANS"",""zh_HANT"")"),"歸無之光")</f>
        <v/>
      </c>
      <c r="J936" s="29" t="inlineStr">
        <is>
          <t>归无之光</t>
        </is>
      </c>
      <c r="K936" s="29">
        <f>F936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0" summaryRight="0"/>
    <pageSetUpPr/>
  </sheetPr>
  <dimension ref="A1:Z315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2.63" defaultRowHeight="15.75" customHeight="1"/>
  <cols>
    <col width="31.88" customWidth="1" style="31" min="1" max="1"/>
    <col width="15.5" customWidth="1" style="31" min="2" max="2"/>
    <col width="14.88" customWidth="1" style="31" min="3" max="3"/>
    <col width="15" customWidth="1" style="31" min="4" max="4"/>
    <col width="14.75" customWidth="1" style="31" min="5" max="5"/>
    <col width="14.63" customWidth="1" style="31" min="6" max="6"/>
    <col width="15.13" customWidth="1" style="31" min="7" max="7"/>
    <col width="14.5" customWidth="1" style="31" min="8" max="8"/>
    <col width="14.25" customWidth="1" style="31" min="11" max="11"/>
  </cols>
  <sheetData>
    <row r="1">
      <c r="A1" s="2">
        <f>Pokemon!A1</f>
        <v/>
      </c>
      <c r="B1" s="2">
        <f>Pokemon!B1</f>
        <v/>
      </c>
      <c r="C1" s="2">
        <f>Pokemon!C1</f>
        <v/>
      </c>
      <c r="D1" s="2">
        <f>Pokemon!D1</f>
        <v/>
      </c>
      <c r="E1" s="2">
        <f>Pokemon!E1</f>
        <v/>
      </c>
      <c r="F1" s="2">
        <f>Pokemon!F1</f>
        <v/>
      </c>
      <c r="G1" s="2">
        <f>Pokemon!G1</f>
        <v/>
      </c>
      <c r="H1" s="2">
        <f>Pokemon!H1</f>
        <v/>
      </c>
      <c r="I1" s="2">
        <f>Pokemon!I1</f>
        <v/>
      </c>
      <c r="J1" s="2">
        <f>Pokemon!J1</f>
        <v/>
      </c>
      <c r="K1" s="2">
        <f>Pokemon!K1</f>
        <v/>
      </c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</row>
    <row r="2">
      <c r="A2" s="29">
        <f>CONCATENATE("NAME_ABILITY_", SUBSTITUTE(UPPER(B2), " ", ""))</f>
        <v/>
      </c>
      <c r="B2" s="29" t="inlineStr">
        <is>
          <t>Stench</t>
        </is>
      </c>
      <c r="C2" s="29" t="inlineStr">
        <is>
          <t>あくしゅう</t>
        </is>
      </c>
      <c r="D2" s="29" t="inlineStr">
        <is>
          <t>Puanteur</t>
        </is>
      </c>
      <c r="E2" s="29" t="inlineStr">
        <is>
          <t>Duftnote</t>
        </is>
      </c>
      <c r="F2" s="29" t="inlineStr">
        <is>
          <t>Hedor</t>
        </is>
      </c>
      <c r="G2" s="29" t="inlineStr">
        <is>
          <t>Tanfo</t>
        </is>
      </c>
      <c r="H2" s="29" t="inlineStr">
        <is>
          <t>악취</t>
        </is>
      </c>
      <c r="I2" s="29" t="inlineStr">
        <is>
          <t>惡臭</t>
        </is>
      </c>
      <c r="J2" s="29">
        <f>IFERROR(__xludf.DUMMYFUNCTION("GOOGLETRANSLATE(I2,""zh_HANT"",""zh_HANS"")"),"恶臭")</f>
        <v/>
      </c>
      <c r="K2" s="29">
        <f>F2</f>
        <v/>
      </c>
    </row>
    <row r="3">
      <c r="A3" s="29">
        <f>CONCATENATE("NAME_ABILITY_", SUBSTITUTE(UPPER(B3), " ", ""))</f>
        <v/>
      </c>
      <c r="B3" s="29" t="inlineStr">
        <is>
          <t>Drizzle</t>
        </is>
      </c>
      <c r="C3" s="29" t="inlineStr">
        <is>
          <t>あめふらし</t>
        </is>
      </c>
      <c r="D3" s="29" t="inlineStr">
        <is>
          <t>Crachin</t>
        </is>
      </c>
      <c r="E3" s="29" t="inlineStr">
        <is>
          <t>Niesel</t>
        </is>
      </c>
      <c r="F3" s="29" t="inlineStr">
        <is>
          <t>Llovizna</t>
        </is>
      </c>
      <c r="G3" s="29" t="inlineStr">
        <is>
          <t>Piovischio</t>
        </is>
      </c>
      <c r="H3" s="29" t="inlineStr">
        <is>
          <t>잔비</t>
        </is>
      </c>
      <c r="I3" s="29" t="inlineStr">
        <is>
          <t>降雨</t>
        </is>
      </c>
      <c r="J3" s="29">
        <f>I3</f>
        <v/>
      </c>
      <c r="K3" s="29">
        <f>F3</f>
        <v/>
      </c>
    </row>
    <row r="4">
      <c r="A4" s="29">
        <f>CONCATENATE("NAME_ABILITY_", SUBSTITUTE(UPPER(B4), " ", ""))</f>
        <v/>
      </c>
      <c r="B4" s="29" t="inlineStr">
        <is>
          <t>Speed Boost</t>
        </is>
      </c>
      <c r="C4" s="29" t="inlineStr">
        <is>
          <t>かそく</t>
        </is>
      </c>
      <c r="D4" s="29" t="inlineStr">
        <is>
          <t>Turbo</t>
        </is>
      </c>
      <c r="E4" s="29" t="inlineStr">
        <is>
          <t>Temposchub</t>
        </is>
      </c>
      <c r="F4" s="29" t="inlineStr">
        <is>
          <t>Impulso</t>
        </is>
      </c>
      <c r="G4" s="29" t="inlineStr">
        <is>
          <t>Acceleratore</t>
        </is>
      </c>
      <c r="H4" s="29" t="inlineStr">
        <is>
          <t>가속</t>
        </is>
      </c>
      <c r="I4" s="29" t="inlineStr">
        <is>
          <t>加速</t>
        </is>
      </c>
      <c r="J4" s="29">
        <f>I4</f>
        <v/>
      </c>
      <c r="K4" s="29">
        <f>F4</f>
        <v/>
      </c>
    </row>
    <row r="5">
      <c r="A5" s="29">
        <f>CONCATENATE("NAME_ABILITY_", SUBSTITUTE(UPPER(B5), " ", ""))</f>
        <v/>
      </c>
      <c r="B5" s="29" t="inlineStr">
        <is>
          <t>Battle Armor</t>
        </is>
      </c>
      <c r="C5" s="29" t="inlineStr">
        <is>
          <t>カブトアーマー</t>
        </is>
      </c>
      <c r="D5" s="16" t="inlineStr">
        <is>
          <t>Armurbaston</t>
        </is>
      </c>
      <c r="E5" s="29" t="inlineStr">
        <is>
          <t>Kampfpanzer</t>
        </is>
      </c>
      <c r="F5" s="29" t="inlineStr">
        <is>
          <t>Armadura Batalla</t>
        </is>
      </c>
      <c r="G5" s="29" t="inlineStr">
        <is>
          <t>Lottascudo</t>
        </is>
      </c>
      <c r="H5" s="29" t="inlineStr">
        <is>
          <t>전투 무장</t>
        </is>
      </c>
      <c r="I5" s="29" t="inlineStr">
        <is>
          <t>戰鬥盔甲</t>
        </is>
      </c>
      <c r="J5" s="29">
        <f>IFERROR(__xludf.DUMMYFUNCTION("GOOGLETRANSLATE(I5,""zh_HANT"",""zh_HANS"")"),"战斗盔甲")</f>
        <v/>
      </c>
      <c r="K5" s="29">
        <f>F5</f>
        <v/>
      </c>
    </row>
    <row r="6">
      <c r="A6" s="29">
        <f>CONCATENATE("NAME_ABILITY_", SUBSTITUTE(UPPER(B6), " ", ""))</f>
        <v/>
      </c>
      <c r="B6" s="29" t="inlineStr">
        <is>
          <t>Sturdy</t>
        </is>
      </c>
      <c r="C6" s="29" t="inlineStr">
        <is>
          <t>がんじょう</t>
        </is>
      </c>
      <c r="D6" s="29" t="inlineStr">
        <is>
          <t>Fermeté</t>
        </is>
      </c>
      <c r="E6" s="29" t="inlineStr">
        <is>
          <t>Robustheit</t>
        </is>
      </c>
      <c r="F6" s="29" t="inlineStr">
        <is>
          <t>Robustez</t>
        </is>
      </c>
      <c r="G6" s="29" t="inlineStr">
        <is>
          <t>Vigore</t>
        </is>
      </c>
      <c r="H6" s="29" t="inlineStr">
        <is>
          <t>옹골참</t>
        </is>
      </c>
      <c r="I6" s="29" t="inlineStr">
        <is>
          <t>結實</t>
        </is>
      </c>
      <c r="J6" s="29">
        <f>IFERROR(__xludf.DUMMYFUNCTION("GOOGLETRANSLATE(I6,""zh_HANT"",""zh_HANS"")"),"结实")</f>
        <v/>
      </c>
      <c r="K6" s="29">
        <f>F6</f>
        <v/>
      </c>
    </row>
    <row r="7">
      <c r="A7" s="29">
        <f>CONCATENATE("NAME_ABILITY_", SUBSTITUTE(UPPER(B7), " ", ""))</f>
        <v/>
      </c>
      <c r="B7" s="29" t="inlineStr">
        <is>
          <t>Damp</t>
        </is>
      </c>
      <c r="C7" s="29" t="inlineStr">
        <is>
          <t>しめりけ</t>
        </is>
      </c>
      <c r="D7" s="29" t="inlineStr">
        <is>
          <t>Moiteur</t>
        </is>
      </c>
      <c r="E7" s="29" t="inlineStr">
        <is>
          <t>Feuchtigkeit</t>
        </is>
      </c>
      <c r="F7" s="29" t="inlineStr">
        <is>
          <t>Humedad</t>
        </is>
      </c>
      <c r="G7" s="29" t="inlineStr">
        <is>
          <t>Umidità</t>
        </is>
      </c>
      <c r="H7" s="29" t="inlineStr">
        <is>
          <t>습기</t>
        </is>
      </c>
      <c r="I7" s="29" t="inlineStr">
        <is>
          <t>濕氣</t>
        </is>
      </c>
      <c r="J7" s="29">
        <f>IFERROR(__xludf.DUMMYFUNCTION("GOOGLETRANSLATE(I7,""zh_HANT"",""zh_HANS"")"),"湿气")</f>
        <v/>
      </c>
      <c r="K7" s="29">
        <f>F7</f>
        <v/>
      </c>
    </row>
    <row r="8">
      <c r="A8" s="29">
        <f>CONCATENATE("NAME_ABILITY_", SUBSTITUTE(UPPER(B8), " ", ""))</f>
        <v/>
      </c>
      <c r="B8" s="29" t="inlineStr">
        <is>
          <t>Limber</t>
        </is>
      </c>
      <c r="C8" s="29" t="inlineStr">
        <is>
          <t>じゅうなん</t>
        </is>
      </c>
      <c r="D8" s="29" t="inlineStr">
        <is>
          <t>Échauffement</t>
        </is>
      </c>
      <c r="E8" s="29" t="inlineStr">
        <is>
          <t>Flexibilität</t>
        </is>
      </c>
      <c r="F8" s="29" t="inlineStr">
        <is>
          <t>Flexibilidad</t>
        </is>
      </c>
      <c r="G8" s="29" t="inlineStr">
        <is>
          <t>Scioltezza</t>
        </is>
      </c>
      <c r="H8" s="29" t="inlineStr">
        <is>
          <t>유연</t>
        </is>
      </c>
      <c r="I8" s="29" t="inlineStr">
        <is>
          <t>柔軟</t>
        </is>
      </c>
      <c r="J8" s="29">
        <f>IFERROR(__xludf.DUMMYFUNCTION("GOOGLETRANSLATE(I8,""zh_HANT"",""zh_HANS"")"),"柔软")</f>
        <v/>
      </c>
      <c r="K8" s="29">
        <f>F8</f>
        <v/>
      </c>
    </row>
    <row r="9">
      <c r="A9" s="29">
        <f>CONCATENATE("NAME_ABILITY_", SUBSTITUTE(UPPER(B9), " ", ""))</f>
        <v/>
      </c>
      <c r="B9" s="29" t="inlineStr">
        <is>
          <t>Sand Veil</t>
        </is>
      </c>
      <c r="C9" s="29" t="inlineStr">
        <is>
          <t>すながくれ</t>
        </is>
      </c>
      <c r="D9" s="29" t="inlineStr">
        <is>
          <t>Voile Sable</t>
        </is>
      </c>
      <c r="E9" s="29" t="inlineStr">
        <is>
          <t>Sandschleier</t>
        </is>
      </c>
      <c r="F9" s="29" t="inlineStr">
        <is>
          <t>Velo Arena</t>
        </is>
      </c>
      <c r="G9" s="29" t="inlineStr">
        <is>
          <t>Sabbiavelo</t>
        </is>
      </c>
      <c r="H9" s="29" t="inlineStr">
        <is>
          <t>모래숨기</t>
        </is>
      </c>
      <c r="I9" s="29" t="inlineStr">
        <is>
          <t>沙隱</t>
        </is>
      </c>
      <c r="J9" s="29">
        <f>IFERROR(__xludf.DUMMYFUNCTION("GOOGLETRANSLATE(I9,""zh_HANT"",""zh_HANS"")"),"沙隐")</f>
        <v/>
      </c>
      <c r="K9" s="29">
        <f>F9</f>
        <v/>
      </c>
    </row>
    <row r="10">
      <c r="A10" s="29">
        <f>CONCATENATE("NAME_ABILITY_", SUBSTITUTE(UPPER(B10), " ", ""))</f>
        <v/>
      </c>
      <c r="B10" s="29" t="inlineStr">
        <is>
          <t>Static</t>
        </is>
      </c>
      <c r="C10" s="29" t="inlineStr">
        <is>
          <t>せいでんき</t>
        </is>
      </c>
      <c r="D10" s="29" t="inlineStr">
        <is>
          <t>Statik</t>
        </is>
      </c>
      <c r="E10" s="29">
        <f>D10</f>
        <v/>
      </c>
      <c r="F10" s="29" t="inlineStr">
        <is>
          <t>Elec. Estática</t>
        </is>
      </c>
      <c r="G10" s="29">
        <f>CONCATENATE(B10,"o")</f>
        <v/>
      </c>
      <c r="H10" s="29" t="inlineStr">
        <is>
          <t>정전기</t>
        </is>
      </c>
      <c r="I10" s="29" t="inlineStr">
        <is>
          <t>靜電</t>
        </is>
      </c>
      <c r="J10" s="29">
        <f>IFERROR(__xludf.DUMMYFUNCTION("GOOGLETRANSLATE(I10,""zh_HANT"",""zh_HANS"")"),"静电")</f>
        <v/>
      </c>
      <c r="K10" s="29">
        <f>F10</f>
        <v/>
      </c>
    </row>
    <row r="11">
      <c r="A11" s="29">
        <f>CONCATENATE("NAME_ABILITY_", SUBSTITUTE(UPPER(B11), " ", ""))</f>
        <v/>
      </c>
      <c r="B11" s="29" t="inlineStr">
        <is>
          <t>Volt Absorb</t>
        </is>
      </c>
      <c r="C11" s="29" t="inlineStr">
        <is>
          <t>ちくでん</t>
        </is>
      </c>
      <c r="D11" s="29" t="inlineStr">
        <is>
          <t>Absorbe-Volt</t>
        </is>
      </c>
      <c r="E11" s="29" t="inlineStr">
        <is>
          <t>Voltabsorber</t>
        </is>
      </c>
      <c r="F11" s="29" t="inlineStr">
        <is>
          <t>Absorbe Elec.</t>
        </is>
      </c>
      <c r="G11" s="29" t="inlineStr">
        <is>
          <t>Assorbivolt</t>
        </is>
      </c>
      <c r="H11" s="29" t="inlineStr">
        <is>
          <t>축전</t>
        </is>
      </c>
      <c r="I11" s="29" t="inlineStr">
        <is>
          <t>蓄電</t>
        </is>
      </c>
      <c r="J11" s="29">
        <f>IFERROR(__xludf.DUMMYFUNCTION("GOOGLETRANSLATE(I11,""zh_HANT"",""zh_HANS"")"),"蓄电")</f>
        <v/>
      </c>
      <c r="K11" s="29">
        <f>F11</f>
        <v/>
      </c>
    </row>
    <row r="12">
      <c r="A12" s="29">
        <f>CONCATENATE("NAME_ABILITY_", SUBSTITUTE(UPPER(B12), " ", ""))</f>
        <v/>
      </c>
      <c r="B12" s="29" t="inlineStr">
        <is>
          <t>Water Absorb</t>
        </is>
      </c>
      <c r="C12" s="29" t="inlineStr">
        <is>
          <t>ちょすい</t>
        </is>
      </c>
      <c r="D12" s="29" t="inlineStr">
        <is>
          <t>Absorbe-Eau</t>
        </is>
      </c>
      <c r="E12" s="29" t="inlineStr">
        <is>
          <t>H2O-Absorber</t>
        </is>
      </c>
      <c r="F12" s="29" t="inlineStr">
        <is>
          <t>Absorbe Agua</t>
        </is>
      </c>
      <c r="G12" s="29" t="inlineStr">
        <is>
          <t>Assorbacqua</t>
        </is>
      </c>
      <c r="H12" s="29" t="inlineStr">
        <is>
          <t>저수</t>
        </is>
      </c>
      <c r="I12" s="29" t="inlineStr">
        <is>
          <t>儲水</t>
        </is>
      </c>
      <c r="J12" s="29">
        <f>IFERROR(__xludf.DUMMYFUNCTION("GOOGLETRANSLATE(I12,""zh_HANT"",""zh_HANS"")"),"储水")</f>
        <v/>
      </c>
      <c r="K12" s="29">
        <f>F12</f>
        <v/>
      </c>
    </row>
    <row r="13">
      <c r="A13" s="29">
        <f>CONCATENATE("NAME_ABILITY_", SUBSTITUTE(UPPER(B13), " ", ""))</f>
        <v/>
      </c>
      <c r="B13" s="29" t="inlineStr">
        <is>
          <t>Oblivious</t>
        </is>
      </c>
      <c r="C13" s="29" t="inlineStr">
        <is>
          <t>どんかん</t>
        </is>
      </c>
      <c r="D13" s="29" t="inlineStr">
        <is>
          <t>Benêt</t>
        </is>
      </c>
      <c r="E13" s="29" t="inlineStr">
        <is>
          <t>Dösigkeit</t>
        </is>
      </c>
      <c r="F13" s="29" t="inlineStr">
        <is>
          <t>Despiste</t>
        </is>
      </c>
      <c r="G13" s="29" t="inlineStr">
        <is>
          <t>Indifferenza</t>
        </is>
      </c>
      <c r="H13" s="29" t="inlineStr">
        <is>
          <t>둔감</t>
        </is>
      </c>
      <c r="I13" s="29" t="inlineStr">
        <is>
          <t>遲鈍</t>
        </is>
      </c>
      <c r="J13" s="29">
        <f>IFERROR(__xludf.DUMMYFUNCTION("GOOGLETRANSLATE(I13,""zh_HANT"",""zh_HANS"")"),"迟钝")</f>
        <v/>
      </c>
      <c r="K13" s="29">
        <f>F13</f>
        <v/>
      </c>
    </row>
    <row r="14">
      <c r="A14" s="29">
        <f>CONCATENATE("NAME_ABILITY_", SUBSTITUTE(UPPER(B14), " ", ""))</f>
        <v/>
      </c>
      <c r="B14" s="29" t="inlineStr">
        <is>
          <t>Cloud Nine</t>
        </is>
      </c>
      <c r="C14" s="29" t="inlineStr">
        <is>
          <t>ノーてんき</t>
        </is>
      </c>
      <c r="D14" s="29" t="inlineStr">
        <is>
          <t>Ciel Gris</t>
        </is>
      </c>
      <c r="E14" s="29" t="inlineStr">
        <is>
          <t>Wolke Sieben</t>
        </is>
      </c>
      <c r="F14" s="29" t="inlineStr">
        <is>
          <t>Aclimatación</t>
        </is>
      </c>
      <c r="G14" s="29" t="inlineStr">
        <is>
          <t>Antimeteo</t>
        </is>
      </c>
      <c r="H14" s="29" t="inlineStr">
        <is>
          <t>날씨 부정</t>
        </is>
      </c>
      <c r="I14" s="29" t="inlineStr">
        <is>
          <t>無關天氣</t>
        </is>
      </c>
      <c r="J14" s="29">
        <f>IFERROR(__xludf.DUMMYFUNCTION("GOOGLETRANSLATE(I14,""zh_HANT"",""zh_HANS"")"),"无关天气")</f>
        <v/>
      </c>
      <c r="K14" s="29">
        <f>F14</f>
        <v/>
      </c>
    </row>
    <row r="15">
      <c r="A15" s="29">
        <f>CONCATENATE("NAME_ABILITY_", SUBSTITUTE(UPPER(B15), " ", ""))</f>
        <v/>
      </c>
      <c r="B15" s="29" t="inlineStr">
        <is>
          <t>Compund Eyes</t>
        </is>
      </c>
      <c r="C15" s="29" t="inlineStr">
        <is>
          <t>ふくがん</t>
        </is>
      </c>
      <c r="D15" s="29" t="inlineStr">
        <is>
          <t>Oeil Composé</t>
        </is>
      </c>
      <c r="E15" s="29" t="inlineStr">
        <is>
          <t>Facettenauge</t>
        </is>
      </c>
      <c r="F15" s="29" t="inlineStr">
        <is>
          <t>Ojo Compuesto</t>
        </is>
      </c>
      <c r="G15" s="29" t="inlineStr">
        <is>
          <t>Insettochi</t>
        </is>
      </c>
      <c r="H15" s="29" t="inlineStr">
        <is>
          <t>복안</t>
        </is>
      </c>
      <c r="I15" s="29" t="inlineStr">
        <is>
          <t>複眼</t>
        </is>
      </c>
      <c r="J15" s="29">
        <f>IFERROR(__xludf.DUMMYFUNCTION("GOOGLETRANSLATE(I15,""zh_HANT"",""zh_HANS"")"),"复眼")</f>
        <v/>
      </c>
      <c r="K15" s="29">
        <f>F15</f>
        <v/>
      </c>
    </row>
    <row r="16">
      <c r="A16" s="29">
        <f>CONCATENATE("NAME_ABILITY_", SUBSTITUTE(UPPER(B16), " ", ""))</f>
        <v/>
      </c>
      <c r="B16" s="29" t="inlineStr">
        <is>
          <t>Insomia</t>
        </is>
      </c>
      <c r="C16" s="29" t="inlineStr">
        <is>
          <t>ふみん</t>
        </is>
      </c>
      <c r="D16" s="29">
        <f>B16</f>
        <v/>
      </c>
      <c r="E16" s="29">
        <f>B16</f>
        <v/>
      </c>
      <c r="F16" s="29" t="inlineStr">
        <is>
          <t>Insomnio</t>
        </is>
      </c>
      <c r="G16" s="29" t="inlineStr">
        <is>
          <t>Insonnia</t>
        </is>
      </c>
      <c r="H16" s="29" t="inlineStr">
        <is>
          <t>불면</t>
        </is>
      </c>
      <c r="I16" s="29" t="inlineStr">
        <is>
          <t>不眠</t>
        </is>
      </c>
      <c r="J16" s="29">
        <f>I16</f>
        <v/>
      </c>
      <c r="K16" s="29">
        <f>F16</f>
        <v/>
      </c>
    </row>
    <row r="17">
      <c r="A17" s="29">
        <f>CONCATENATE("NAME_ABILITY_", SUBSTITUTE(UPPER(B17), " ", ""))</f>
        <v/>
      </c>
      <c r="B17" s="29" t="inlineStr">
        <is>
          <t>Color Change</t>
        </is>
      </c>
      <c r="C17" s="29" t="inlineStr">
        <is>
          <t>へんしょく</t>
        </is>
      </c>
      <c r="D17" s="29" t="inlineStr">
        <is>
          <t>Homochromie</t>
        </is>
      </c>
      <c r="E17" s="29" t="inlineStr">
        <is>
          <t>Farbwechsel</t>
        </is>
      </c>
      <c r="F17" s="29" t="inlineStr">
        <is>
          <t>Cambio Color</t>
        </is>
      </c>
      <c r="G17" s="29" t="inlineStr">
        <is>
          <t>Cambiacolore</t>
        </is>
      </c>
      <c r="H17" s="29" t="inlineStr">
        <is>
          <t>변색</t>
        </is>
      </c>
      <c r="I17" s="29" t="inlineStr">
        <is>
          <t>變色</t>
        </is>
      </c>
      <c r="J17" s="29">
        <f>IFERROR(__xludf.DUMMYFUNCTION("GOOGLETRANSLATE(I17,""zh_HANT"",""zh_HANS"")"),"变色")</f>
        <v/>
      </c>
      <c r="K17" s="29">
        <f>F17</f>
        <v/>
      </c>
    </row>
    <row r="18">
      <c r="A18" s="29">
        <f>CONCATENATE("NAME_ABILITY_", SUBSTITUTE(UPPER(B18), " ", ""))</f>
        <v/>
      </c>
      <c r="B18" s="29" t="inlineStr">
        <is>
          <t>Immunity</t>
        </is>
      </c>
      <c r="C18" s="29" t="inlineStr">
        <is>
          <t>めんえき</t>
        </is>
      </c>
      <c r="D18" s="29" t="inlineStr">
        <is>
          <t>Vaccin</t>
        </is>
      </c>
      <c r="E18" s="29" t="inlineStr">
        <is>
          <t>Immunität</t>
        </is>
      </c>
      <c r="F18" s="29" t="inlineStr">
        <is>
          <t>Inmunidad</t>
        </is>
      </c>
      <c r="G18" s="29" t="inlineStr">
        <is>
          <t>Immunità</t>
        </is>
      </c>
      <c r="H18" s="29" t="inlineStr">
        <is>
          <t>면역</t>
        </is>
      </c>
      <c r="I18" s="29" t="inlineStr">
        <is>
          <t>免疫</t>
        </is>
      </c>
      <c r="J18" s="29">
        <f>I18</f>
        <v/>
      </c>
      <c r="K18" s="29">
        <f>F18</f>
        <v/>
      </c>
    </row>
    <row r="19">
      <c r="A19" s="29">
        <f>CONCATENATE("NAME_ABILITY_", SUBSTITUTE(UPPER(B19), " ", ""))</f>
        <v/>
      </c>
      <c r="B19" s="29" t="inlineStr">
        <is>
          <t>Flash Fire</t>
        </is>
      </c>
      <c r="C19" s="29" t="inlineStr">
        <is>
          <t>もらいび</t>
        </is>
      </c>
      <c r="D19" s="29" t="inlineStr">
        <is>
          <t>Torche</t>
        </is>
      </c>
      <c r="E19" s="29" t="inlineStr">
        <is>
          <t>Feuerfänger</t>
        </is>
      </c>
      <c r="F19" s="29" t="inlineStr">
        <is>
          <t>Absorbe Fuego</t>
        </is>
      </c>
      <c r="G19" s="29" t="inlineStr">
        <is>
          <t>Fuocardore</t>
        </is>
      </c>
      <c r="H19" s="29" t="inlineStr">
        <is>
          <t>타오르는 불꽃</t>
        </is>
      </c>
      <c r="I19" s="29" t="inlineStr">
        <is>
          <t>引火</t>
        </is>
      </c>
      <c r="J19" s="29">
        <f>I19</f>
        <v/>
      </c>
      <c r="K19" s="29">
        <f>F19</f>
        <v/>
      </c>
    </row>
    <row r="20">
      <c r="A20" s="29">
        <f>CONCATENATE("NAME_ABILITY_", SUBSTITUTE(UPPER(B20), " ", ""))</f>
        <v/>
      </c>
      <c r="B20" s="29" t="inlineStr">
        <is>
          <t>Shield Dust</t>
        </is>
      </c>
      <c r="C20" s="29" t="inlineStr">
        <is>
          <t>りんぷん</t>
        </is>
      </c>
      <c r="D20" s="29" t="inlineStr">
        <is>
          <t>Écran Poudre</t>
        </is>
      </c>
      <c r="E20" s="29" t="inlineStr">
        <is>
          <t>Puderabwehr</t>
        </is>
      </c>
      <c r="F20" s="29" t="inlineStr">
        <is>
          <t>Polvo Escudo</t>
        </is>
      </c>
      <c r="G20" s="29" t="inlineStr">
        <is>
          <t>Polvoscudo</t>
        </is>
      </c>
      <c r="H20" s="29" t="inlineStr">
        <is>
          <t>인분</t>
        </is>
      </c>
      <c r="I20" s="29" t="inlineStr">
        <is>
          <t>鱗粉</t>
        </is>
      </c>
      <c r="J20" s="29">
        <f>IFERROR(__xludf.DUMMYFUNCTION("GOOGLETRANSLATE(I20,""zh_HANT"",""zh_HANS"")"),"鳞粉")</f>
        <v/>
      </c>
      <c r="K20" s="29">
        <f>F20</f>
        <v/>
      </c>
    </row>
    <row r="21">
      <c r="A21" s="29">
        <f>CONCATENATE("NAME_ABILITY_", SUBSTITUTE(UPPER(B21), " ", ""))</f>
        <v/>
      </c>
      <c r="B21" s="29" t="inlineStr">
        <is>
          <t>Own Tempo</t>
        </is>
      </c>
      <c r="C21" s="29" t="inlineStr">
        <is>
          <t>マイペース</t>
        </is>
      </c>
      <c r="D21" s="29" t="inlineStr">
        <is>
          <t>Tempo Perso</t>
        </is>
      </c>
      <c r="E21" s="29" t="inlineStr">
        <is>
          <t>Tempomacher</t>
        </is>
      </c>
      <c r="F21" s="29" t="inlineStr">
        <is>
          <t>Ritmo Propio</t>
        </is>
      </c>
      <c r="G21" s="29" t="inlineStr">
        <is>
          <t>Mente Locale</t>
        </is>
      </c>
      <c r="H21" s="29" t="inlineStr">
        <is>
          <t>마이페이스</t>
        </is>
      </c>
      <c r="I21" s="29" t="inlineStr">
        <is>
          <t>我行我素</t>
        </is>
      </c>
      <c r="J21" s="29">
        <f>I21</f>
        <v/>
      </c>
      <c r="K21" s="29">
        <f>F21</f>
        <v/>
      </c>
    </row>
    <row r="22">
      <c r="A22" s="29">
        <f>CONCATENATE("NAME_ABILITY_", SUBSTITUTE(UPPER(B22), " ", ""))</f>
        <v/>
      </c>
      <c r="B22" s="29" t="inlineStr">
        <is>
          <t>Suction Cups</t>
        </is>
      </c>
      <c r="C22" s="29" t="inlineStr">
        <is>
          <t>きゅうばん</t>
        </is>
      </c>
      <c r="D22" s="29" t="inlineStr">
        <is>
          <t>Ventouse</t>
        </is>
      </c>
      <c r="E22" s="29" t="inlineStr">
        <is>
          <t>Saugnapf</t>
        </is>
      </c>
      <c r="F22" s="29" t="inlineStr">
        <is>
          <t>Ventosas</t>
        </is>
      </c>
      <c r="G22" s="29" t="inlineStr">
        <is>
          <t>Ventose</t>
        </is>
      </c>
      <c r="H22" s="29" t="inlineStr">
        <is>
          <t>흡반</t>
        </is>
      </c>
      <c r="I22" s="29" t="inlineStr">
        <is>
          <t>吸盤</t>
        </is>
      </c>
      <c r="J22" s="29">
        <f>IFERROR(__xludf.DUMMYFUNCTION("GOOGLETRANSLATE(I22,""zh_HANT"",""zh_HANS"")"),"吸盘")</f>
        <v/>
      </c>
      <c r="K22" s="29">
        <f>F22</f>
        <v/>
      </c>
    </row>
    <row r="23">
      <c r="A23" s="29">
        <f>CONCATENATE("NAME_ABILITY_", SUBSTITUTE(UPPER(B23), " ", ""))</f>
        <v/>
      </c>
      <c r="B23" s="29" t="inlineStr">
        <is>
          <t>Intimidate</t>
        </is>
      </c>
      <c r="C23" s="29" t="inlineStr">
        <is>
          <t>いかく</t>
        </is>
      </c>
      <c r="D23" s="29" t="inlineStr">
        <is>
          <t>Intimidation</t>
        </is>
      </c>
      <c r="E23" s="29" t="inlineStr">
        <is>
          <t>Bedroher</t>
        </is>
      </c>
      <c r="F23" s="29" t="inlineStr">
        <is>
          <t>Intimidación</t>
        </is>
      </c>
      <c r="G23" s="29" t="inlineStr">
        <is>
          <t>Prepotenza</t>
        </is>
      </c>
      <c r="H23" s="29" t="inlineStr">
        <is>
          <t>위협</t>
        </is>
      </c>
      <c r="I23" s="29" t="inlineStr">
        <is>
          <t>威嚇</t>
        </is>
      </c>
      <c r="J23" s="29">
        <f>IFERROR(__xludf.DUMMYFUNCTION("GOOGLETRANSLATE(I23,""zh_HANT"",""zh_HANS"")"),"威吓")</f>
        <v/>
      </c>
      <c r="K23" s="29">
        <f>F23</f>
        <v/>
      </c>
    </row>
    <row r="24">
      <c r="A24" s="29">
        <f>CONCATENATE("NAME_ABILITY_", SUBSTITUTE(UPPER(B24), " ", ""))</f>
        <v/>
      </c>
      <c r="B24" s="29" t="inlineStr">
        <is>
          <t>Shadow Tag</t>
        </is>
      </c>
      <c r="C24" s="29" t="inlineStr">
        <is>
          <t>かげふみ</t>
        </is>
      </c>
      <c r="D24" s="29" t="inlineStr">
        <is>
          <t>Marque Ombre</t>
        </is>
      </c>
      <c r="E24" s="29" t="inlineStr">
        <is>
          <t>Wegsperre</t>
        </is>
      </c>
      <c r="F24" s="29" t="inlineStr">
        <is>
          <t>Sombra Trampa</t>
        </is>
      </c>
      <c r="G24" s="29" t="inlineStr">
        <is>
          <t>Pedinombra</t>
        </is>
      </c>
      <c r="H24" s="29" t="inlineStr">
        <is>
          <t>그림자 밟기</t>
        </is>
      </c>
      <c r="I24" s="29" t="inlineStr">
        <is>
          <t>踩影</t>
        </is>
      </c>
      <c r="J24" s="29">
        <f>I24</f>
        <v/>
      </c>
      <c r="K24" s="29">
        <f>F24</f>
        <v/>
      </c>
    </row>
    <row r="25">
      <c r="A25" s="29">
        <f>CONCATENATE("NAME_ABILITY_", SUBSTITUTE(UPPER(B25), " ", ""))</f>
        <v/>
      </c>
      <c r="B25" s="29" t="inlineStr">
        <is>
          <t>Rough Skin</t>
        </is>
      </c>
      <c r="C25" s="29" t="inlineStr">
        <is>
          <t>さめはだ</t>
        </is>
      </c>
      <c r="D25" s="29" t="inlineStr">
        <is>
          <t>Peau Dure</t>
        </is>
      </c>
      <c r="E25" s="29" t="inlineStr">
        <is>
          <t>Rauhaut</t>
        </is>
      </c>
      <c r="F25" s="29" t="inlineStr">
        <is>
          <t>Piel Tosca</t>
        </is>
      </c>
      <c r="G25" s="29" t="inlineStr">
        <is>
          <t>Cartavetro</t>
        </is>
      </c>
      <c r="H25" s="29" t="inlineStr">
        <is>
          <t>까칠한 피부</t>
        </is>
      </c>
      <c r="I25" s="29" t="inlineStr">
        <is>
          <t>粗糙皮膚</t>
        </is>
      </c>
      <c r="J25" s="29">
        <f>IFERROR(__xludf.DUMMYFUNCTION("GOOGLETRANSLATE(I25,""zh_HANT"",""zh_HANS"")"),"粗糙皮肤")</f>
        <v/>
      </c>
      <c r="K25" s="29">
        <f>F25</f>
        <v/>
      </c>
    </row>
    <row r="26">
      <c r="A26" s="29">
        <f>CONCATENATE("NAME_ABILITY_", SUBSTITUTE(UPPER(B26), " ", ""))</f>
        <v/>
      </c>
      <c r="B26" s="29" t="inlineStr">
        <is>
          <t>Wonder Guard</t>
        </is>
      </c>
      <c r="C26" s="29" t="inlineStr">
        <is>
          <t>ふしぎなまもり</t>
        </is>
      </c>
      <c r="D26" s="29" t="inlineStr">
        <is>
          <t>Garde Mystik</t>
        </is>
      </c>
      <c r="E26" s="29" t="inlineStr">
        <is>
          <t>Wunderwache</t>
        </is>
      </c>
      <c r="F26" s="29" t="inlineStr">
        <is>
          <t>Superguarda</t>
        </is>
      </c>
      <c r="G26" s="29" t="inlineStr">
        <is>
          <t>Magidifesa</t>
        </is>
      </c>
      <c r="H26" s="29" t="inlineStr">
        <is>
          <t>불가사의 부적</t>
        </is>
      </c>
      <c r="I26" s="29" t="inlineStr">
        <is>
          <t>神奇守護</t>
        </is>
      </c>
      <c r="J26" s="29">
        <f>IFERROR(__xludf.DUMMYFUNCTION("GOOGLETRANSLATE(I26,""zh_HANT"",""zh_HANS"")"),"神奇守护")</f>
        <v/>
      </c>
      <c r="K26" s="29">
        <f>F26</f>
        <v/>
      </c>
    </row>
    <row r="27">
      <c r="A27" s="29">
        <f>CONCATENATE("NAME_ABILITY_", SUBSTITUTE(UPPER(B27), " ", ""))</f>
        <v/>
      </c>
      <c r="B27" s="29" t="inlineStr">
        <is>
          <t>Levitate</t>
        </is>
      </c>
      <c r="C27" s="29" t="inlineStr">
        <is>
          <t>ふゆう</t>
        </is>
      </c>
      <c r="D27" s="29" t="inlineStr">
        <is>
          <t>Lévitation</t>
        </is>
      </c>
      <c r="E27" s="29" t="inlineStr">
        <is>
          <t>Schwebe</t>
        </is>
      </c>
      <c r="F27" s="29" t="inlineStr">
        <is>
          <t>Levitación</t>
        </is>
      </c>
      <c r="G27" s="29" t="inlineStr">
        <is>
          <t>Levitazione</t>
        </is>
      </c>
      <c r="H27" s="29" t="inlineStr">
        <is>
          <t>부유</t>
        </is>
      </c>
      <c r="I27" s="29" t="inlineStr">
        <is>
          <t>飄浮</t>
        </is>
      </c>
      <c r="J27" s="29">
        <f>IFERROR(__xludf.DUMMYFUNCTION("GOOGLETRANSLATE(I27,""zh_HANT"",""zh_HANS"")"),"飘浮")</f>
        <v/>
      </c>
      <c r="K27" s="29">
        <f>F27</f>
        <v/>
      </c>
    </row>
    <row r="28">
      <c r="A28" s="29">
        <f>CONCATENATE("NAME_ABILITY_", SUBSTITUTE(UPPER(B28), " ", ""))</f>
        <v/>
      </c>
      <c r="B28" s="29" t="inlineStr">
        <is>
          <t>Effect Spore</t>
        </is>
      </c>
      <c r="C28" s="29" t="inlineStr">
        <is>
          <t>ほうし</t>
        </is>
      </c>
      <c r="D28" s="29" t="inlineStr">
        <is>
          <t>Pose Spore</t>
        </is>
      </c>
      <c r="E28" s="29" t="inlineStr">
        <is>
          <t>Sporenwirt</t>
        </is>
      </c>
      <c r="F28" s="29" t="inlineStr">
        <is>
          <t>Efecto Espora</t>
        </is>
      </c>
      <c r="G28" s="29" t="inlineStr">
        <is>
          <t>Spargispora</t>
        </is>
      </c>
      <c r="H28" s="29" t="inlineStr">
        <is>
          <t>포자</t>
        </is>
      </c>
      <c r="I28" s="29" t="inlineStr">
        <is>
          <t>孢子</t>
        </is>
      </c>
      <c r="J28" s="29">
        <f>I28</f>
        <v/>
      </c>
      <c r="K28" s="29">
        <f>F28</f>
        <v/>
      </c>
    </row>
    <row r="29">
      <c r="A29" s="29">
        <f>CONCATENATE("NAME_ABILITY_", SUBSTITUTE(UPPER(B29), " ", ""))</f>
        <v/>
      </c>
      <c r="B29" s="29" t="inlineStr">
        <is>
          <t>Synchonize</t>
        </is>
      </c>
      <c r="C29" s="29" t="inlineStr">
        <is>
          <t>シンクロ</t>
        </is>
      </c>
      <c r="D29" s="29" t="inlineStr">
        <is>
          <t>Synchro</t>
        </is>
      </c>
      <c r="E29" s="29">
        <f>D29</f>
        <v/>
      </c>
      <c r="F29" s="29" t="inlineStr">
        <is>
          <t>Sincronía</t>
        </is>
      </c>
      <c r="G29" s="29" t="inlineStr">
        <is>
          <t>Sincronismo</t>
        </is>
      </c>
      <c r="H29" s="29" t="inlineStr">
        <is>
          <t>싱크로</t>
        </is>
      </c>
      <c r="I29" s="29" t="inlineStr">
        <is>
          <t>同步</t>
        </is>
      </c>
      <c r="J29" s="29">
        <f>I29</f>
        <v/>
      </c>
      <c r="K29" s="29">
        <f>F29</f>
        <v/>
      </c>
    </row>
    <row r="30">
      <c r="A30" s="29">
        <f>CONCATENATE("NAME_ABILITY_", SUBSTITUTE(UPPER(B30), " ", ""))</f>
        <v/>
      </c>
      <c r="B30" s="29" t="inlineStr">
        <is>
          <t>Clear Body</t>
        </is>
      </c>
      <c r="C30" s="29" t="inlineStr">
        <is>
          <t>クリアボヂィ</t>
        </is>
      </c>
      <c r="D30" s="29" t="inlineStr">
        <is>
          <t>Corps Sain</t>
        </is>
      </c>
      <c r="E30" s="29" t="inlineStr">
        <is>
          <t>Neutraltorso</t>
        </is>
      </c>
      <c r="F30" s="29" t="inlineStr">
        <is>
          <t>Cuerpo Puro</t>
        </is>
      </c>
      <c r="G30" s="29" t="inlineStr">
        <is>
          <t>Corpochiaro</t>
        </is>
      </c>
      <c r="H30" s="29" t="inlineStr">
        <is>
          <t>클리어 바디</t>
        </is>
      </c>
      <c r="I30" s="29" t="inlineStr">
        <is>
          <t>恆淨之軀</t>
        </is>
      </c>
      <c r="J30" s="29">
        <f>IFERROR(__xludf.DUMMYFUNCTION("GOOGLETRANSLATE(I30,""zh_HANT"",""zh_HANS"")"),"恒净之躯")</f>
        <v/>
      </c>
      <c r="K30" s="29">
        <f>F30</f>
        <v/>
      </c>
    </row>
    <row r="31">
      <c r="A31" s="29">
        <f>CONCATENATE("NAME_ABILITY_", SUBSTITUTE(UPPER(B31), " ", ""))</f>
        <v/>
      </c>
      <c r="B31" s="29" t="inlineStr">
        <is>
          <t>Natural Cure</t>
        </is>
      </c>
      <c r="C31" s="29" t="inlineStr">
        <is>
          <t>しぜんかいふく</t>
        </is>
      </c>
      <c r="D31" s="29" t="inlineStr">
        <is>
          <t>Médic Nature</t>
        </is>
      </c>
      <c r="E31" s="29" t="inlineStr">
        <is>
          <t>Innere Kraft</t>
        </is>
      </c>
      <c r="F31" s="29" t="inlineStr">
        <is>
          <t>Cura Natural</t>
        </is>
      </c>
      <c r="G31" s="29" t="inlineStr">
        <is>
          <t>Alternacura</t>
        </is>
      </c>
      <c r="H31" s="29" t="inlineStr">
        <is>
          <t>자연회복</t>
        </is>
      </c>
      <c r="I31" s="29" t="inlineStr">
        <is>
          <t>自然回復</t>
        </is>
      </c>
      <c r="J31" s="29">
        <f>IFERROR(__xludf.DUMMYFUNCTION("GOOGLETRANSLATE(I31,""zh_HANT"",""zh_HANS"")"),"自然回复")</f>
        <v/>
      </c>
      <c r="K31" s="29">
        <f>F31</f>
        <v/>
      </c>
    </row>
    <row r="32">
      <c r="A32" s="29">
        <f>CONCATENATE("NAME_ABILITY_", SUBSTITUTE(UPPER(B32), " ", ""))</f>
        <v/>
      </c>
      <c r="B32" s="29" t="inlineStr">
        <is>
          <t>Lightning Rod</t>
        </is>
      </c>
      <c r="C32" s="29" t="inlineStr">
        <is>
          <t>ひらいしん</t>
        </is>
      </c>
      <c r="D32" s="29" t="inlineStr">
        <is>
          <t>Paratonnerre</t>
        </is>
      </c>
      <c r="E32" s="29" t="inlineStr">
        <is>
          <t>Blitzfänger</t>
        </is>
      </c>
      <c r="F32" s="29" t="inlineStr">
        <is>
          <t>Pararrayos</t>
        </is>
      </c>
      <c r="G32" s="29" t="inlineStr">
        <is>
          <t>Parafulmine</t>
        </is>
      </c>
      <c r="H32" s="29" t="inlineStr">
        <is>
          <t>피뢰침</t>
        </is>
      </c>
      <c r="I32" s="29" t="inlineStr">
        <is>
          <t>避雷針</t>
        </is>
      </c>
      <c r="J32" s="29">
        <f>IFERROR(__xludf.DUMMYFUNCTION("GOOGLETRANSLATE(I32,""zh_HANT"",""zh_HANS"")"),"避雷针")</f>
        <v/>
      </c>
      <c r="K32" s="29">
        <f>F32</f>
        <v/>
      </c>
    </row>
    <row r="33">
      <c r="A33" s="29">
        <f>CONCATENATE("NAME_ABILITY_", SUBSTITUTE(UPPER(B33), " ", ""))</f>
        <v/>
      </c>
      <c r="B33" s="29" t="inlineStr">
        <is>
          <t>Serene Grace</t>
        </is>
      </c>
      <c r="C33" s="29" t="inlineStr">
        <is>
          <t>てんのめぐみ</t>
        </is>
      </c>
      <c r="D33" s="29" t="inlineStr">
        <is>
          <t>Sérénité</t>
        </is>
      </c>
      <c r="E33" s="29" t="inlineStr">
        <is>
          <t>Edelmut</t>
        </is>
      </c>
      <c r="F33" s="29" t="inlineStr">
        <is>
          <t>Dicha</t>
        </is>
      </c>
      <c r="G33" s="29" t="inlineStr">
        <is>
          <t>Leggiadro</t>
        </is>
      </c>
      <c r="H33" s="29" t="inlineStr">
        <is>
          <t>하늘의 은총</t>
        </is>
      </c>
      <c r="I33" s="29" t="inlineStr">
        <is>
          <t>天恩</t>
        </is>
      </c>
      <c r="J33" s="29">
        <f>I33</f>
        <v/>
      </c>
      <c r="K33" s="29">
        <f>F33</f>
        <v/>
      </c>
    </row>
    <row r="34">
      <c r="A34" s="29">
        <f>CONCATENATE("NAME_ABILITY_", SUBSTITUTE(UPPER(B34), " ", ""))</f>
        <v/>
      </c>
      <c r="B34" s="29" t="inlineStr">
        <is>
          <t>Swift Swim</t>
        </is>
      </c>
      <c r="C34" s="29" t="inlineStr">
        <is>
          <t>すいすい</t>
        </is>
      </c>
      <c r="D34" s="29" t="inlineStr">
        <is>
          <t>Glissade</t>
        </is>
      </c>
      <c r="E34" s="29" t="inlineStr">
        <is>
          <t>Wassertempo</t>
        </is>
      </c>
      <c r="F34" s="29" t="inlineStr">
        <is>
          <t>Nado Rápido</t>
        </is>
      </c>
      <c r="G34" s="29" t="inlineStr">
        <is>
          <t>Nuotovelox</t>
        </is>
      </c>
      <c r="H34" s="29" t="inlineStr">
        <is>
          <t>쓱쓱</t>
        </is>
      </c>
      <c r="I34" s="29" t="inlineStr">
        <is>
          <t>悠游自如</t>
        </is>
      </c>
      <c r="J34" s="29">
        <f>I34</f>
        <v/>
      </c>
      <c r="K34" s="29">
        <f>F34</f>
        <v/>
      </c>
    </row>
    <row r="35">
      <c r="A35" s="29">
        <f>CONCATENATE("NAME_ABILITY_", SUBSTITUTE(UPPER(B35), " ", ""))</f>
        <v/>
      </c>
      <c r="B35" s="29" t="inlineStr">
        <is>
          <t>Chlorophyll</t>
        </is>
      </c>
      <c r="C35" s="29" t="inlineStr">
        <is>
          <t>ようりょくそ</t>
        </is>
      </c>
      <c r="D35" s="29" t="inlineStr">
        <is>
          <t>Chlorophylle</t>
        </is>
      </c>
      <c r="E35" s="29">
        <f>B35</f>
        <v/>
      </c>
      <c r="F35" s="29" t="inlineStr">
        <is>
          <t>Clorofila</t>
        </is>
      </c>
      <c r="G35" s="29" t="inlineStr">
        <is>
          <t>Clorofilla</t>
        </is>
      </c>
      <c r="H35" s="29" t="inlineStr">
        <is>
          <t>엽록소</t>
        </is>
      </c>
      <c r="I35" s="29" t="inlineStr">
        <is>
          <t>葉綠素</t>
        </is>
      </c>
      <c r="J35" s="29">
        <f>IFERROR(__xludf.DUMMYFUNCTION("GOOGLETRANSLATE(I35,""zh_HANT"",""zh_HANS"")"),"叶绿素")</f>
        <v/>
      </c>
      <c r="K35" s="29">
        <f>F35</f>
        <v/>
      </c>
    </row>
    <row r="36">
      <c r="A36" s="29">
        <f>CONCATENATE("NAME_ABILITY_", SUBSTITUTE(UPPER(B36), " ", ""))</f>
        <v/>
      </c>
      <c r="B36" s="29" t="inlineStr">
        <is>
          <t>Illuminate</t>
        </is>
      </c>
      <c r="C36" s="29" t="inlineStr">
        <is>
          <t>はっこう</t>
        </is>
      </c>
      <c r="D36" s="29" t="inlineStr">
        <is>
          <t>Lumiattirance</t>
        </is>
      </c>
      <c r="E36" s="29" t="inlineStr">
        <is>
          <t>Erleuchtung</t>
        </is>
      </c>
      <c r="F36" s="29" t="inlineStr">
        <is>
          <t>Iluminación</t>
        </is>
      </c>
      <c r="G36" s="29" t="inlineStr">
        <is>
          <t>Risplendi</t>
        </is>
      </c>
      <c r="H36" s="29" t="inlineStr">
        <is>
          <t>발광</t>
        </is>
      </c>
      <c r="I36" s="29" t="inlineStr">
        <is>
          <t>發光</t>
        </is>
      </c>
      <c r="J36" s="29">
        <f>IFERROR(__xludf.DUMMYFUNCTION("GOOGLETRANSLATE(I36,""zh_HANT"",""zh_HANS"")"),"发光")</f>
        <v/>
      </c>
      <c r="K36" s="29">
        <f>F36</f>
        <v/>
      </c>
    </row>
    <row r="37">
      <c r="A37" s="29">
        <f>CONCATENATE("NAME_ABILITY_", SUBSTITUTE(UPPER(B37), " ", ""))</f>
        <v/>
      </c>
      <c r="B37" s="29" t="inlineStr">
        <is>
          <t>Trace</t>
        </is>
      </c>
      <c r="C37" s="29" t="inlineStr">
        <is>
          <t>トレース</t>
        </is>
      </c>
      <c r="D37" s="29" t="inlineStr">
        <is>
          <t>Calque</t>
        </is>
      </c>
      <c r="E37" s="29" t="inlineStr">
        <is>
          <t>Fährte</t>
        </is>
      </c>
      <c r="F37" s="29" t="inlineStr">
        <is>
          <t>Rastro</t>
        </is>
      </c>
      <c r="G37" s="29" t="inlineStr">
        <is>
          <t>Traccia</t>
        </is>
      </c>
      <c r="H37" s="29" t="inlineStr">
        <is>
          <t>트레이스</t>
        </is>
      </c>
      <c r="I37" s="29" t="inlineStr">
        <is>
          <t>複製</t>
        </is>
      </c>
      <c r="J37" s="29">
        <f>IFERROR(__xludf.DUMMYFUNCTION("GOOGLETRANSLATE(I37,""zh_HANT"",""zh_HANS"")"),"克隆")</f>
        <v/>
      </c>
      <c r="K37" s="29">
        <f>F37</f>
        <v/>
      </c>
    </row>
    <row r="38">
      <c r="A38" s="29">
        <f>CONCATENATE("NAME_ABILITY_", SUBSTITUTE(UPPER(B38), " ", ""))</f>
        <v/>
      </c>
      <c r="B38" s="29" t="inlineStr">
        <is>
          <t>Huge Power</t>
        </is>
      </c>
      <c r="C38" s="29" t="inlineStr">
        <is>
          <t>ちからもち</t>
        </is>
      </c>
      <c r="D38" s="29" t="inlineStr">
        <is>
          <t>Coloforce</t>
        </is>
      </c>
      <c r="E38" s="29" t="inlineStr">
        <is>
          <t>Kraftkoloss</t>
        </is>
      </c>
      <c r="F38" s="29" t="inlineStr">
        <is>
          <t>Potencia</t>
        </is>
      </c>
      <c r="G38" s="29" t="inlineStr">
        <is>
          <t>Macroforza</t>
        </is>
      </c>
      <c r="H38" s="29" t="inlineStr">
        <is>
          <t>천하장사</t>
        </is>
      </c>
      <c r="I38" s="29" t="inlineStr">
        <is>
          <t>大力士</t>
        </is>
      </c>
      <c r="J38" s="29">
        <f>I38</f>
        <v/>
      </c>
      <c r="K38" s="29">
        <f>F38</f>
        <v/>
      </c>
    </row>
    <row r="39">
      <c r="A39" s="29">
        <f>CONCATENATE("NAME_ABILITY_", SUBSTITUTE(UPPER(B39), " ", ""))</f>
        <v/>
      </c>
      <c r="B39" s="29" t="inlineStr">
        <is>
          <t>Poison Point</t>
        </is>
      </c>
      <c r="C39" s="29" t="inlineStr">
        <is>
          <t>どくのトゲ</t>
        </is>
      </c>
      <c r="D39" s="29" t="inlineStr">
        <is>
          <t>Point Poison</t>
        </is>
      </c>
      <c r="E39" s="29" t="inlineStr">
        <is>
          <t>Giftdorn</t>
        </is>
      </c>
      <c r="F39" s="29" t="inlineStr">
        <is>
          <t>Punto Tóxico</t>
        </is>
      </c>
      <c r="G39" s="29" t="inlineStr">
        <is>
          <t>Velenopunto</t>
        </is>
      </c>
      <c r="H39" s="29" t="inlineStr">
        <is>
          <t>독가시</t>
        </is>
      </c>
      <c r="I39" s="29" t="inlineStr">
        <is>
          <t>毒刺</t>
        </is>
      </c>
      <c r="J39" s="29">
        <f>I39</f>
        <v/>
      </c>
      <c r="K39" s="29">
        <f>F39</f>
        <v/>
      </c>
    </row>
    <row r="40">
      <c r="A40" s="29">
        <f>CONCATENATE("NAME_ABILITY_", SUBSTITUTE(UPPER(B40), " ", ""))</f>
        <v/>
      </c>
      <c r="B40" s="29" t="inlineStr">
        <is>
          <t>Inner Focus</t>
        </is>
      </c>
      <c r="C40" s="29" t="inlineStr">
        <is>
          <t>せいしんりょく</t>
        </is>
      </c>
      <c r="D40" s="29" t="inlineStr">
        <is>
          <t>Attention</t>
        </is>
      </c>
      <c r="E40" s="29" t="inlineStr">
        <is>
          <t>Konzentrator</t>
        </is>
      </c>
      <c r="F40" s="29" t="inlineStr">
        <is>
          <t>Foco Interno</t>
        </is>
      </c>
      <c r="G40" s="29" t="inlineStr">
        <is>
          <t>Forza Interiore</t>
        </is>
      </c>
      <c r="H40" s="29" t="inlineStr">
        <is>
          <t>정신력</t>
        </is>
      </c>
      <c r="I40" s="29" t="inlineStr">
        <is>
          <t>精神力</t>
        </is>
      </c>
      <c r="J40" s="29">
        <f>I40</f>
        <v/>
      </c>
      <c r="K40" s="29">
        <f>F40</f>
        <v/>
      </c>
    </row>
    <row r="41">
      <c r="A41" s="29">
        <f>CONCATENATE("NAME_ABILITY_", SUBSTITUTE(UPPER(B41), " ", ""))</f>
        <v/>
      </c>
      <c r="B41" s="29" t="inlineStr">
        <is>
          <t>Magma Armor</t>
        </is>
      </c>
      <c r="C41" s="29" t="inlineStr">
        <is>
          <t>マグマのよろい</t>
        </is>
      </c>
      <c r="D41" s="29" t="inlineStr">
        <is>
          <t>Armumagma</t>
        </is>
      </c>
      <c r="E41" s="29" t="inlineStr">
        <is>
          <t>Magmapanzer</t>
        </is>
      </c>
      <c r="F41" s="29" t="inlineStr">
        <is>
          <t>Escudo Magma</t>
        </is>
      </c>
      <c r="G41" s="29" t="inlineStr">
        <is>
          <t>Magmascudo</t>
        </is>
      </c>
      <c r="H41" s="29" t="inlineStr">
        <is>
          <t>마그마의 무장</t>
        </is>
      </c>
      <c r="I41" s="29" t="inlineStr">
        <is>
          <t>熔岩鎧甲</t>
        </is>
      </c>
      <c r="J41" s="29">
        <f>IFERROR(__xludf.DUMMYFUNCTION("GOOGLETRANSLATE(I41,""zh_HANT"",""zh_HANS"")"),"熔岩铠甲")</f>
        <v/>
      </c>
      <c r="K41" s="29">
        <f>F41</f>
        <v/>
      </c>
    </row>
    <row r="42">
      <c r="A42" s="29">
        <f>CONCATENATE("NAME_ABILITY_", SUBSTITUTE(UPPER(B42), " ", ""))</f>
        <v/>
      </c>
      <c r="B42" s="29" t="inlineStr">
        <is>
          <t>Water Veil</t>
        </is>
      </c>
      <c r="C42" s="29" t="inlineStr">
        <is>
          <t>みずのベール</t>
        </is>
      </c>
      <c r="D42" s="29" t="inlineStr">
        <is>
          <t>Ignifu-Voile</t>
        </is>
      </c>
      <c r="E42" s="29" t="inlineStr">
        <is>
          <t>Aquahülle</t>
        </is>
      </c>
      <c r="F42" s="29" t="inlineStr">
        <is>
          <t>Velo Agua</t>
        </is>
      </c>
      <c r="G42" s="29" t="inlineStr">
        <is>
          <t>Idrovelo</t>
        </is>
      </c>
      <c r="H42" s="29" t="inlineStr">
        <is>
          <t>수의 베일</t>
        </is>
      </c>
      <c r="I42" s="29" t="inlineStr">
        <is>
          <t>水幕</t>
        </is>
      </c>
      <c r="J42" s="29">
        <f>I42</f>
        <v/>
      </c>
      <c r="K42" s="29">
        <f>F42</f>
        <v/>
      </c>
    </row>
    <row r="43">
      <c r="A43" s="29">
        <f>CONCATENATE("NAME_ABILITY_", SUBSTITUTE(UPPER(B43), " ", ""))</f>
        <v/>
      </c>
      <c r="B43" s="29" t="inlineStr">
        <is>
          <t>Magnet Pull</t>
        </is>
      </c>
      <c r="C43" s="29" t="inlineStr">
        <is>
          <t>じりょく</t>
        </is>
      </c>
      <c r="D43" s="29" t="inlineStr">
        <is>
          <t>Magnépiège</t>
        </is>
      </c>
      <c r="E43" s="29" t="inlineStr">
        <is>
          <t>Magnetfalle</t>
        </is>
      </c>
      <c r="F43" s="29" t="inlineStr">
        <is>
          <t>Imán</t>
        </is>
      </c>
      <c r="G43" s="29" t="inlineStr">
        <is>
          <t>Magnetismo</t>
        </is>
      </c>
      <c r="H43" s="29" t="inlineStr">
        <is>
          <t>자력</t>
        </is>
      </c>
      <c r="I43" s="29" t="inlineStr">
        <is>
          <t>磁力</t>
        </is>
      </c>
      <c r="J43" s="29">
        <f>I43</f>
        <v/>
      </c>
      <c r="K43" s="29">
        <f>F43</f>
        <v/>
      </c>
    </row>
    <row r="44">
      <c r="A44" s="29">
        <f>CONCATENATE("NAME_ABILITY_", SUBSTITUTE(UPPER(B44), " ", ""))</f>
        <v/>
      </c>
      <c r="B44" s="29" t="inlineStr">
        <is>
          <t>Soundproof</t>
        </is>
      </c>
      <c r="C44" s="29" t="inlineStr">
        <is>
          <t>ぼうおん</t>
        </is>
      </c>
      <c r="D44" s="29" t="inlineStr">
        <is>
          <t>Anti-Bruit</t>
        </is>
      </c>
      <c r="E44" s="29" t="inlineStr">
        <is>
          <t>Lärmschutz</t>
        </is>
      </c>
      <c r="F44" s="29" t="inlineStr">
        <is>
          <t>Insonorizar</t>
        </is>
      </c>
      <c r="G44" s="29" t="inlineStr">
        <is>
          <t>Antisuono</t>
        </is>
      </c>
      <c r="H44" s="29" t="inlineStr">
        <is>
          <t>방음</t>
        </is>
      </c>
      <c r="I44" s="29" t="inlineStr">
        <is>
          <t>隔音</t>
        </is>
      </c>
      <c r="J44" s="29">
        <f>I44</f>
        <v/>
      </c>
      <c r="K44" s="29">
        <f>F44</f>
        <v/>
      </c>
    </row>
    <row r="45">
      <c r="A45" s="29">
        <f>CONCATENATE("NAME_ABILITY_", SUBSTITUTE(UPPER(B45), " ", ""))</f>
        <v/>
      </c>
      <c r="B45" s="29" t="inlineStr">
        <is>
          <t>Rain Dish</t>
        </is>
      </c>
      <c r="C45" s="29" t="inlineStr">
        <is>
          <t>あめうけざら</t>
        </is>
      </c>
      <c r="D45" s="29" t="inlineStr">
        <is>
          <t>Cuvette</t>
        </is>
      </c>
      <c r="E45" s="29" t="inlineStr">
        <is>
          <t>Regengenuss</t>
        </is>
      </c>
      <c r="F45" s="29" t="inlineStr">
        <is>
          <t>Cura Lluvia</t>
        </is>
      </c>
      <c r="G45" s="29" t="inlineStr">
        <is>
          <t>Copripioggia</t>
        </is>
      </c>
      <c r="H45" s="29" t="inlineStr">
        <is>
          <t>젖은접시</t>
        </is>
      </c>
      <c r="I45" s="29" t="inlineStr">
        <is>
          <t>雨盤</t>
        </is>
      </c>
      <c r="J45" s="29">
        <f>IFERROR(__xludf.DUMMYFUNCTION("GOOGLETRANSLATE(I45,""zh_HANT"",""zh_HANS"")"),"雨盘")</f>
        <v/>
      </c>
      <c r="K45" s="29">
        <f>F45</f>
        <v/>
      </c>
    </row>
    <row r="46">
      <c r="A46" s="29">
        <f>CONCATENATE("NAME_ABILITY_", SUBSTITUTE(UPPER(B46), " ", ""))</f>
        <v/>
      </c>
      <c r="B46" s="29" t="inlineStr">
        <is>
          <t>Sand Stream</t>
        </is>
      </c>
      <c r="C46" s="29" t="inlineStr">
        <is>
          <t>すなおこし</t>
        </is>
      </c>
      <c r="D46" s="29" t="inlineStr">
        <is>
          <t>Sable Volant</t>
        </is>
      </c>
      <c r="E46" s="29" t="inlineStr">
        <is>
          <t>Sandsturm</t>
        </is>
      </c>
      <c r="F46" s="29" t="inlineStr">
        <is>
          <t>Chorro Arena</t>
        </is>
      </c>
      <c r="G46" s="29" t="inlineStr">
        <is>
          <t>Sabbiafiume</t>
        </is>
      </c>
      <c r="H46" s="29" t="inlineStr">
        <is>
          <t>모래날림</t>
        </is>
      </c>
      <c r="I46" s="29" t="inlineStr">
        <is>
          <t>揚沙</t>
        </is>
      </c>
      <c r="J46" s="29">
        <f>IFERROR(__xludf.DUMMYFUNCTION("GOOGLETRANSLATE(I46,""zh_HANT"",""zh_HANS"")"),"扬沙")</f>
        <v/>
      </c>
      <c r="K46" s="29">
        <f>F46</f>
        <v/>
      </c>
    </row>
    <row r="47">
      <c r="A47" s="29">
        <f>CONCATENATE("NAME_ABILITY_", SUBSTITUTE(UPPER(B47), " ", ""))</f>
        <v/>
      </c>
      <c r="B47" s="29" t="inlineStr">
        <is>
          <t>Pressure</t>
        </is>
      </c>
      <c r="C47" s="29" t="inlineStr">
        <is>
          <t>プレッシャー</t>
        </is>
      </c>
      <c r="D47" s="29" t="inlineStr">
        <is>
          <t>Pression</t>
        </is>
      </c>
      <c r="E47" s="29" t="inlineStr">
        <is>
          <t>Erzwinger</t>
        </is>
      </c>
      <c r="F47" s="29" t="inlineStr">
        <is>
          <t>Presión</t>
        </is>
      </c>
      <c r="G47" s="29">
        <f>CONCATENATE(D47,"e")</f>
        <v/>
      </c>
      <c r="H47" s="29" t="inlineStr">
        <is>
          <t>프레셔</t>
        </is>
      </c>
      <c r="I47" s="29" t="inlineStr">
        <is>
          <t>壓迫感</t>
        </is>
      </c>
      <c r="J47" s="29">
        <f>IFERROR(__xludf.DUMMYFUNCTION("GOOGLETRANSLATE(I47,""zh_HANT"",""zh_HANS"")"),"压迫感")</f>
        <v/>
      </c>
      <c r="K47" s="29">
        <f>F47</f>
        <v/>
      </c>
    </row>
    <row r="48">
      <c r="A48" s="29">
        <f>CONCATENATE("NAME_ABILITY_", SUBSTITUTE(UPPER(B48), " ", ""))</f>
        <v/>
      </c>
      <c r="B48" s="29" t="inlineStr">
        <is>
          <t>Thick Fat</t>
        </is>
      </c>
      <c r="C48" s="29" t="inlineStr">
        <is>
          <t>あついしぼう</t>
        </is>
      </c>
      <c r="D48" s="29" t="inlineStr">
        <is>
          <t>Isograisse</t>
        </is>
      </c>
      <c r="E48" s="29" t="inlineStr">
        <is>
          <t>Speckschicht</t>
        </is>
      </c>
      <c r="F48" s="29" t="inlineStr">
        <is>
          <t>Sebo</t>
        </is>
      </c>
      <c r="G48" s="29" t="inlineStr">
        <is>
          <t>Grassospesso</t>
        </is>
      </c>
      <c r="H48" s="29" t="inlineStr">
        <is>
          <t>두꺼운 지방</t>
        </is>
      </c>
      <c r="I48" s="29" t="inlineStr">
        <is>
          <t>厚脂肪</t>
        </is>
      </c>
      <c r="J48" s="29">
        <f>I48</f>
        <v/>
      </c>
      <c r="K48" s="29">
        <f>F48</f>
        <v/>
      </c>
    </row>
    <row r="49">
      <c r="A49" s="29">
        <f>CONCATENATE("NAME_ABILITY_", SUBSTITUTE(UPPER(B49), " ", ""))</f>
        <v/>
      </c>
      <c r="B49" s="29" t="inlineStr">
        <is>
          <t>Early Bird</t>
        </is>
      </c>
      <c r="C49" s="29" t="inlineStr">
        <is>
          <t>はやおき</t>
        </is>
      </c>
      <c r="D49" s="29" t="inlineStr">
        <is>
          <t>Matinal</t>
        </is>
      </c>
      <c r="E49" s="29" t="inlineStr">
        <is>
          <t>Frühwecker</t>
        </is>
      </c>
      <c r="F49" s="29" t="inlineStr">
        <is>
          <t>Madrugar</t>
        </is>
      </c>
      <c r="G49" s="29" t="inlineStr">
        <is>
          <t>Sveglialampo</t>
        </is>
      </c>
      <c r="H49" s="29" t="inlineStr">
        <is>
          <t>일찍 기상</t>
        </is>
      </c>
      <c r="I49" s="29" t="inlineStr">
        <is>
          <t>早起</t>
        </is>
      </c>
      <c r="J49" s="29">
        <f>I49</f>
        <v/>
      </c>
      <c r="K49" s="29">
        <f>F49</f>
        <v/>
      </c>
    </row>
    <row r="50">
      <c r="A50" s="29">
        <f>CONCATENATE("NAME_ABILITY_", SUBSTITUTE(UPPER(B50), " ", ""))</f>
        <v/>
      </c>
      <c r="B50" s="29" t="inlineStr">
        <is>
          <t>Flame Body</t>
        </is>
      </c>
      <c r="C50" s="29" t="inlineStr">
        <is>
          <t>ほのおのからだ</t>
        </is>
      </c>
      <c r="D50" s="29" t="inlineStr">
        <is>
          <t>Corps Ardent</t>
        </is>
      </c>
      <c r="E50" s="29" t="inlineStr">
        <is>
          <t>Flammkörper</t>
        </is>
      </c>
      <c r="F50" s="29" t="inlineStr">
        <is>
          <t>Cuerpo Llama</t>
        </is>
      </c>
      <c r="G50" s="29" t="inlineStr">
        <is>
          <t>Corpodifuoco</t>
        </is>
      </c>
      <c r="H50" s="29" t="inlineStr">
        <is>
          <t>불꽃몸</t>
        </is>
      </c>
      <c r="I50" s="29" t="inlineStr">
        <is>
          <t>火焰之軀</t>
        </is>
      </c>
      <c r="J50" s="29">
        <f>IFERROR(__xludf.DUMMYFUNCTION("GOOGLETRANSLATE(I50,""zh_HANT"",""zh_HANS"")"),"火焰之躯")</f>
        <v/>
      </c>
      <c r="K50" s="29">
        <f>F50</f>
        <v/>
      </c>
    </row>
    <row r="51">
      <c r="A51" s="29">
        <f>CONCATENATE("NAME_ABILITY_", SUBSTITUTE(UPPER(B51), " ", ""))</f>
        <v/>
      </c>
      <c r="B51" s="29" t="inlineStr">
        <is>
          <t>Run Away</t>
        </is>
      </c>
      <c r="C51" s="29" t="inlineStr">
        <is>
          <t>にげあし</t>
        </is>
      </c>
      <c r="D51" s="29" t="inlineStr">
        <is>
          <t>Fuite</t>
        </is>
      </c>
      <c r="E51" s="29" t="inlineStr">
        <is>
          <t>Angsthase</t>
        </is>
      </c>
      <c r="F51" s="29" t="inlineStr">
        <is>
          <t>Fuga</t>
        </is>
      </c>
      <c r="G51" s="29">
        <f>CONCATENATE(F51,"facile")</f>
        <v/>
      </c>
      <c r="H51" s="29" t="inlineStr">
        <is>
          <t>도주</t>
        </is>
      </c>
      <c r="I51" s="29" t="inlineStr">
        <is>
          <t>逃跑</t>
        </is>
      </c>
      <c r="J51" s="29">
        <f>I51</f>
        <v/>
      </c>
      <c r="K51" s="29">
        <f>F51</f>
        <v/>
      </c>
    </row>
    <row r="52">
      <c r="A52" s="29">
        <f>CONCATENATE("NAME_ABILITY_", SUBSTITUTE(UPPER(B52), " ", ""))</f>
        <v/>
      </c>
      <c r="B52" s="29" t="inlineStr">
        <is>
          <t>Keen Eye</t>
        </is>
      </c>
      <c r="C52" s="29" t="inlineStr">
        <is>
          <t>するどいめ</t>
        </is>
      </c>
      <c r="D52" s="29" t="inlineStr">
        <is>
          <t>Regard Vif</t>
        </is>
      </c>
      <c r="E52" s="29" t="inlineStr">
        <is>
          <t>Adlerauge</t>
        </is>
      </c>
      <c r="F52" s="29" t="inlineStr">
        <is>
          <t>Vista Lince</t>
        </is>
      </c>
      <c r="G52" s="29" t="inlineStr">
        <is>
          <t>Sguardofermo</t>
        </is>
      </c>
      <c r="H52" s="29" t="inlineStr">
        <is>
          <t>날카로운 눈</t>
        </is>
      </c>
      <c r="I52" s="29" t="inlineStr">
        <is>
          <t>銳利目光</t>
        </is>
      </c>
      <c r="J52" s="29">
        <f>IFERROR(__xludf.DUMMYFUNCTION("GOOGLETRANSLATE(I52,""zh_HANT"",""zh_HANS"")"),"锐利目光")</f>
        <v/>
      </c>
      <c r="K52" s="29">
        <f>F52</f>
        <v/>
      </c>
    </row>
    <row r="53">
      <c r="A53" s="29">
        <f>CONCATENATE("NAME_ABILITY_", SUBSTITUTE(UPPER(B53), " ", ""))</f>
        <v/>
      </c>
      <c r="B53" s="29" t="inlineStr">
        <is>
          <t>Hyper Cutter</t>
        </is>
      </c>
      <c r="C53" s="29" t="inlineStr">
        <is>
          <t>かいりきバサミ</t>
        </is>
      </c>
      <c r="D53" s="29">
        <f>B53</f>
        <v/>
      </c>
      <c r="E53" s="29" t="inlineStr">
        <is>
          <t>Scherenmacht</t>
        </is>
      </c>
      <c r="F53" s="29" t="inlineStr">
        <is>
          <t>Corte Fuerte</t>
        </is>
      </c>
      <c r="G53" s="29" t="inlineStr">
        <is>
          <t>Ipertaglio</t>
        </is>
      </c>
      <c r="H53" s="29" t="inlineStr">
        <is>
          <t>괴력집게</t>
        </is>
      </c>
      <c r="I53" s="29" t="inlineStr">
        <is>
          <t>怪力鉗</t>
        </is>
      </c>
      <c r="J53" s="29">
        <f>IFERROR(__xludf.DUMMYFUNCTION("GOOGLETRANSLATE(I53,""zh_HANT"",""zh_HANS"")"),"怪力钳")</f>
        <v/>
      </c>
      <c r="K53" s="29">
        <f>F53</f>
        <v/>
      </c>
    </row>
    <row r="54">
      <c r="A54" s="29">
        <f>CONCATENATE("NAME_ABILITY_", SUBSTITUTE(UPPER(B54), " ", ""))</f>
        <v/>
      </c>
      <c r="B54" s="29" t="inlineStr">
        <is>
          <t>Pickup</t>
        </is>
      </c>
      <c r="C54" s="29" t="inlineStr">
        <is>
          <t>ものひろい</t>
        </is>
      </c>
      <c r="D54" s="29" t="inlineStr">
        <is>
          <t>Ramassage</t>
        </is>
      </c>
      <c r="E54" s="29" t="inlineStr">
        <is>
          <t>Mitnahme</t>
        </is>
      </c>
      <c r="F54" s="29" t="inlineStr">
        <is>
          <t>Recogida</t>
        </is>
      </c>
      <c r="G54" s="29" t="inlineStr">
        <is>
          <t>Raccolta</t>
        </is>
      </c>
      <c r="H54" s="29" t="inlineStr">
        <is>
          <t>픽업</t>
        </is>
      </c>
      <c r="I54" s="29" t="inlineStr">
        <is>
          <t>撿拾</t>
        </is>
      </c>
      <c r="J54" s="29">
        <f>IFERROR(__xludf.DUMMYFUNCTION("GOOGLETRANSLATE(I54,""zh_HANT"",""zh_HANS"")"),"捡拾")</f>
        <v/>
      </c>
      <c r="K54" s="29">
        <f>F54</f>
        <v/>
      </c>
    </row>
    <row r="55">
      <c r="A55" s="29">
        <f>CONCATENATE("NAME_ABILITY_", SUBSTITUTE(UPPER(B55), " ", ""))</f>
        <v/>
      </c>
      <c r="B55" s="29" t="inlineStr">
        <is>
          <t>Truant</t>
        </is>
      </c>
      <c r="C55" s="29" t="inlineStr">
        <is>
          <t>なまけ</t>
        </is>
      </c>
      <c r="D55" s="29" t="inlineStr">
        <is>
          <t>Absentéisme</t>
        </is>
      </c>
      <c r="E55" s="29" t="inlineStr">
        <is>
          <t>Schnarchnase</t>
        </is>
      </c>
      <c r="F55" s="29" t="inlineStr">
        <is>
          <t>Ausente</t>
        </is>
      </c>
      <c r="G55" s="29" t="inlineStr">
        <is>
          <t>Pigrone</t>
        </is>
      </c>
      <c r="H55" s="29" t="inlineStr">
        <is>
          <t>게으름</t>
        </is>
      </c>
      <c r="I55" s="29" t="inlineStr">
        <is>
          <t>懶惰</t>
        </is>
      </c>
      <c r="J55" s="29">
        <f>IFERROR(__xludf.DUMMYFUNCTION("GOOGLETRANSLATE(I55,""zh_HANT"",""zh_HANS"")"),"懒惰")</f>
        <v/>
      </c>
      <c r="K55" s="29">
        <f>F55</f>
        <v/>
      </c>
    </row>
    <row r="56">
      <c r="A56" s="29">
        <f>CONCATENATE("NAME_ABILITY_", SUBSTITUTE(UPPER(B56), " ", ""))</f>
        <v/>
      </c>
      <c r="B56" s="29" t="inlineStr">
        <is>
          <t>Hustle</t>
        </is>
      </c>
      <c r="C56" s="29" t="inlineStr">
        <is>
          <t>はりきり</t>
        </is>
      </c>
      <c r="D56" s="29" t="inlineStr">
        <is>
          <t>Agitation</t>
        </is>
      </c>
      <c r="E56" s="29" t="inlineStr">
        <is>
          <t>Übereifer</t>
        </is>
      </c>
      <c r="F56" s="29" t="inlineStr">
        <is>
          <t>Entusiasmo</t>
        </is>
      </c>
      <c r="G56" s="29" t="inlineStr">
        <is>
          <t>Tuttafretta</t>
        </is>
      </c>
      <c r="H56" s="29" t="inlineStr">
        <is>
          <t>의욕</t>
        </is>
      </c>
      <c r="I56" s="29" t="inlineStr">
        <is>
          <t>活力</t>
        </is>
      </c>
      <c r="J56" s="29">
        <f>I56</f>
        <v/>
      </c>
      <c r="K56" s="29">
        <f>F56</f>
        <v/>
      </c>
    </row>
    <row r="57">
      <c r="A57" s="29">
        <f>CONCATENATE("NAME_ABILITY_", SUBSTITUTE(UPPER(B57), " ", ""))</f>
        <v/>
      </c>
      <c r="B57" s="29" t="inlineStr">
        <is>
          <t>Cute Charm</t>
        </is>
      </c>
      <c r="C57" s="29" t="inlineStr">
        <is>
          <t>メロメロボディ</t>
        </is>
      </c>
      <c r="D57" s="29" t="inlineStr">
        <is>
          <t>Joli Sourire</t>
        </is>
      </c>
      <c r="E57" s="29" t="inlineStr">
        <is>
          <t>Charmebolzen</t>
        </is>
      </c>
      <c r="F57" s="29" t="inlineStr">
        <is>
          <t>Gran Encanto</t>
        </is>
      </c>
      <c r="G57" s="29" t="inlineStr">
        <is>
          <t>Incantevole</t>
        </is>
      </c>
      <c r="H57" s="29" t="inlineStr">
        <is>
          <t>헤롱헤롱 바디</t>
        </is>
      </c>
      <c r="I57" s="29" t="inlineStr">
        <is>
          <t>迷人之軀</t>
        </is>
      </c>
      <c r="J57" s="29">
        <f>IFERROR(__xludf.DUMMYFUNCTION("GOOGLETRANSLATE(I57,""zh_HANT"",""zh_HANS"")"),"迷人之躯")</f>
        <v/>
      </c>
      <c r="K57" s="29">
        <f>F57</f>
        <v/>
      </c>
    </row>
    <row r="58">
      <c r="A58" s="29">
        <f>CONCATENATE("NAME_ABILITY_", SUBSTITUTE(UPPER(B58), " ", ""))</f>
        <v/>
      </c>
      <c r="B58" s="29" t="inlineStr">
        <is>
          <t>Plus</t>
        </is>
      </c>
      <c r="C58" s="29" t="inlineStr">
        <is>
          <t>プラス</t>
        </is>
      </c>
      <c r="D58" s="29">
        <f>B58</f>
        <v/>
      </c>
      <c r="E58" s="29">
        <f>B58</f>
        <v/>
      </c>
      <c r="F58" s="29" t="inlineStr">
        <is>
          <t>Más</t>
        </is>
      </c>
      <c r="G58" s="29" t="inlineStr">
        <is>
          <t>Più</t>
        </is>
      </c>
      <c r="H58" s="29" t="inlineStr">
        <is>
          <t>플러스</t>
        </is>
      </c>
      <c r="I58" s="29" t="inlineStr">
        <is>
          <t>正電</t>
        </is>
      </c>
      <c r="J58" s="29">
        <f>IFERROR(__xludf.DUMMYFUNCTION("GOOGLETRANSLATE(I58,""zh_HANT"",""zh_HANS"")"),"正电")</f>
        <v/>
      </c>
      <c r="K58" s="29">
        <f>F58</f>
        <v/>
      </c>
    </row>
    <row r="59">
      <c r="A59" s="29">
        <f>CONCATENATE("NAME_ABILITY_", SUBSTITUTE(UPPER(B59), " ", ""))</f>
        <v/>
      </c>
      <c r="B59" s="29" t="inlineStr">
        <is>
          <t>Minus</t>
        </is>
      </c>
      <c r="C59" s="29" t="inlineStr">
        <is>
          <t>マイナス</t>
        </is>
      </c>
      <c r="D59" s="29">
        <f>B59</f>
        <v/>
      </c>
      <c r="E59" s="29">
        <f>B59</f>
        <v/>
      </c>
      <c r="F59" s="29" t="inlineStr">
        <is>
          <t>Menos</t>
        </is>
      </c>
      <c r="G59" s="29" t="inlineStr">
        <is>
          <t>Meno</t>
        </is>
      </c>
      <c r="H59" s="29" t="inlineStr">
        <is>
          <t>마이너스</t>
        </is>
      </c>
      <c r="I59" s="29" t="inlineStr">
        <is>
          <t>負電</t>
        </is>
      </c>
      <c r="J59" s="29">
        <f>IFERROR(__xludf.DUMMYFUNCTION("GOOGLETRANSLATE(I59,""zh_HANT"",""zh_HANS"")"),"负电")</f>
        <v/>
      </c>
      <c r="K59" s="29">
        <f>F59</f>
        <v/>
      </c>
    </row>
    <row r="60">
      <c r="A60" s="29">
        <f>CONCATENATE("NAME_ABILITY_", SUBSTITUTE(UPPER(B60), " ", ""))</f>
        <v/>
      </c>
      <c r="B60" s="29" t="inlineStr">
        <is>
          <t>Forecast</t>
        </is>
      </c>
      <c r="C60" s="29" t="inlineStr">
        <is>
          <t>たんきや</t>
        </is>
      </c>
      <c r="D60" s="29" t="inlineStr">
        <is>
          <t>Météo</t>
        </is>
      </c>
      <c r="E60" s="29" t="inlineStr">
        <is>
          <t>Prognose</t>
        </is>
      </c>
      <c r="F60" s="29" t="inlineStr">
        <is>
          <t>Predicción</t>
        </is>
      </c>
      <c r="G60" s="29" t="inlineStr">
        <is>
          <t>Previsioni</t>
        </is>
      </c>
      <c r="H60" s="29" t="inlineStr">
        <is>
          <t>기분파</t>
        </is>
      </c>
      <c r="I60" s="29" t="inlineStr">
        <is>
          <t>陰晴不定</t>
        </is>
      </c>
      <c r="J60" s="29">
        <f>IFERROR(__xludf.DUMMYFUNCTION("GOOGLETRANSLATE(I60,""zh_HANT"",""zh_HANS"")"),"阴晴不定")</f>
        <v/>
      </c>
      <c r="K60" s="29">
        <f>F60</f>
        <v/>
      </c>
    </row>
    <row r="61">
      <c r="A61" s="29">
        <f>CONCATENATE("NAME_ABILITY_", SUBSTITUTE(UPPER(B61), " ", ""))</f>
        <v/>
      </c>
      <c r="B61" s="29" t="inlineStr">
        <is>
          <t>Sticky Hold</t>
        </is>
      </c>
      <c r="C61" s="29" t="inlineStr">
        <is>
          <t>ねんちゃく</t>
        </is>
      </c>
      <c r="D61" s="29" t="inlineStr">
        <is>
          <t>Glue</t>
        </is>
      </c>
      <c r="E61" s="29" t="inlineStr">
        <is>
          <t>Wertehalter</t>
        </is>
      </c>
      <c r="F61" s="29" t="inlineStr">
        <is>
          <t>Viscosidad</t>
        </is>
      </c>
      <c r="G61" s="29" t="inlineStr">
        <is>
          <t>Antifurto</t>
        </is>
      </c>
      <c r="H61" s="29" t="inlineStr">
        <is>
          <t>점착</t>
        </is>
      </c>
      <c r="I61" s="29" t="inlineStr">
        <is>
          <t>黏著</t>
        </is>
      </c>
      <c r="J61" s="29">
        <f>IFERROR(__xludf.DUMMYFUNCTION("GOOGLETRANSLATE(I61,""zh_HANT"",""zh_HANS"")"),"黏着")</f>
        <v/>
      </c>
      <c r="K61" s="29">
        <f>F61</f>
        <v/>
      </c>
    </row>
    <row r="62">
      <c r="A62" s="29">
        <f>CONCATENATE("NAME_ABILITY_", SUBSTITUTE(UPPER(B62), " ", ""))</f>
        <v/>
      </c>
      <c r="B62" s="29" t="inlineStr">
        <is>
          <t>Shed Skin</t>
        </is>
      </c>
      <c r="C62" s="29" t="inlineStr">
        <is>
          <t>だっぴ</t>
        </is>
      </c>
      <c r="D62" s="29" t="inlineStr">
        <is>
          <t>Mue</t>
        </is>
      </c>
      <c r="E62" s="29" t="inlineStr">
        <is>
          <t>Expidermis</t>
        </is>
      </c>
      <c r="F62" s="29" t="inlineStr">
        <is>
          <t>Mudar</t>
        </is>
      </c>
      <c r="G62" s="29" t="inlineStr">
        <is>
          <t>Muta</t>
        </is>
      </c>
      <c r="H62" s="29" t="inlineStr">
        <is>
          <t>탈피</t>
        </is>
      </c>
      <c r="I62" s="29" t="inlineStr">
        <is>
          <t>蛻皮</t>
        </is>
      </c>
      <c r="J62" s="29">
        <f>IFERROR(__xludf.DUMMYFUNCTION("GOOGLETRANSLATE(I62,""zh_HANT"",""zh_HANS"")"),"蜕皮")</f>
        <v/>
      </c>
      <c r="K62" s="29">
        <f>F62</f>
        <v/>
      </c>
    </row>
    <row r="63">
      <c r="A63" s="29">
        <f>CONCATENATE("NAME_ABILITY_", SUBSTITUTE(UPPER(B63), " ", ""))</f>
        <v/>
      </c>
      <c r="B63" s="29" t="inlineStr">
        <is>
          <t>Guts</t>
        </is>
      </c>
      <c r="C63" s="29" t="inlineStr">
        <is>
          <t>こんじょう</t>
        </is>
      </c>
      <c r="D63" s="29" t="inlineStr">
        <is>
          <t>Cran</t>
        </is>
      </c>
      <c r="E63" s="29" t="inlineStr">
        <is>
          <t>Adrenalin</t>
        </is>
      </c>
      <c r="F63" s="29" t="inlineStr">
        <is>
          <t>Agallas</t>
        </is>
      </c>
      <c r="G63" s="29" t="inlineStr">
        <is>
          <t>Dentistretti</t>
        </is>
      </c>
      <c r="H63" s="29" t="inlineStr">
        <is>
          <t>근성</t>
        </is>
      </c>
      <c r="I63" s="29" t="inlineStr">
        <is>
          <t>毅力</t>
        </is>
      </c>
      <c r="J63" s="29">
        <f>I63</f>
        <v/>
      </c>
      <c r="K63" s="29">
        <f>F63</f>
        <v/>
      </c>
    </row>
    <row r="64">
      <c r="A64" s="29">
        <f>CONCATENATE("NAME_ABILITY_", SUBSTITUTE(UPPER(B64), " ", ""))</f>
        <v/>
      </c>
      <c r="B64" s="29" t="inlineStr">
        <is>
          <t>Marvel Scale</t>
        </is>
      </c>
      <c r="C64" s="29" t="inlineStr">
        <is>
          <t>ふしぎなうろこ</t>
        </is>
      </c>
      <c r="D64" s="29" t="inlineStr">
        <is>
          <t>Écaille Spéciale</t>
        </is>
      </c>
      <c r="E64" s="29" t="inlineStr">
        <is>
          <t>Notschutz</t>
        </is>
      </c>
      <c r="F64" s="29" t="inlineStr">
        <is>
          <t>Escama Especial</t>
        </is>
      </c>
      <c r="G64" s="29" t="inlineStr">
        <is>
          <t>Pelledura</t>
        </is>
      </c>
      <c r="H64" s="29" t="inlineStr">
        <is>
          <t>이상한 비늘</t>
        </is>
      </c>
      <c r="I64" s="29" t="inlineStr">
        <is>
          <t>神奇鱗片</t>
        </is>
      </c>
      <c r="J64" s="29">
        <f>IFERROR(__xludf.DUMMYFUNCTION("GOOGLETRANSLATE(I64,""zh_HANT"",""zh_HANS"")"),"神奇鳞片")</f>
        <v/>
      </c>
      <c r="K64" s="29">
        <f>F64</f>
        <v/>
      </c>
    </row>
    <row r="65">
      <c r="A65" s="29">
        <f>CONCATENATE("NAME_ABILITY_", SUBSTITUTE(UPPER(B65), " ", ""))</f>
        <v/>
      </c>
      <c r="B65" s="29" t="inlineStr">
        <is>
          <t>Liquid Ooze</t>
        </is>
      </c>
      <c r="C65" s="29" t="inlineStr">
        <is>
          <t>ヘドロえき</t>
        </is>
      </c>
      <c r="D65" s="29" t="inlineStr">
        <is>
          <t>Suintement</t>
        </is>
      </c>
      <c r="E65" s="29" t="inlineStr">
        <is>
          <t>Kloakensoße</t>
        </is>
      </c>
      <c r="F65" s="29" t="inlineStr">
        <is>
          <t>Lodo Líquido</t>
        </is>
      </c>
      <c r="G65" s="29" t="inlineStr">
        <is>
          <t>Melma</t>
        </is>
      </c>
      <c r="H65" s="29" t="inlineStr">
        <is>
          <t>해감액</t>
        </is>
      </c>
      <c r="I65" s="29" t="inlineStr">
        <is>
          <t>污泥漿</t>
        </is>
      </c>
      <c r="J65" s="29">
        <f>IFERROR(__xludf.DUMMYFUNCTION("GOOGLETRANSLATE(I65,""zh_HANT"",""zh_HANS"")"),"污泥浆")</f>
        <v/>
      </c>
      <c r="K65" s="29">
        <f>F65</f>
        <v/>
      </c>
    </row>
    <row r="66">
      <c r="A66" s="29">
        <f>CONCATENATE("NAME_ABILITY_", SUBSTITUTE(UPPER(B66), " ", ""))</f>
        <v/>
      </c>
      <c r="B66" s="29" t="inlineStr">
        <is>
          <t>Overgrow</t>
        </is>
      </c>
      <c r="C66" s="29" t="inlineStr">
        <is>
          <t>しんりょく</t>
        </is>
      </c>
      <c r="D66" s="29" t="inlineStr">
        <is>
          <t>Engrais</t>
        </is>
      </c>
      <c r="E66" s="29" t="inlineStr">
        <is>
          <t>Notdünger</t>
        </is>
      </c>
      <c r="F66" s="29" t="inlineStr">
        <is>
          <t>Espesura</t>
        </is>
      </c>
      <c r="G66" s="29" t="inlineStr">
        <is>
          <t>Erbaiuto</t>
        </is>
      </c>
      <c r="H66" s="29" t="inlineStr">
        <is>
          <t>심록</t>
        </is>
      </c>
      <c r="I66" s="29" t="inlineStr">
        <is>
          <t>茂盛</t>
        </is>
      </c>
      <c r="J66" s="29">
        <f>I66</f>
        <v/>
      </c>
      <c r="K66" s="29">
        <f>F66</f>
        <v/>
      </c>
    </row>
    <row r="67">
      <c r="A67" s="29">
        <f>CONCATENATE("NAME_ABILITY_", SUBSTITUTE(UPPER(B67), " ", ""))</f>
        <v/>
      </c>
      <c r="B67" s="29" t="inlineStr">
        <is>
          <t>Blaze</t>
        </is>
      </c>
      <c r="C67" s="29" t="inlineStr">
        <is>
          <t>もうか</t>
        </is>
      </c>
      <c r="D67" s="29" t="inlineStr">
        <is>
          <t>Brasier</t>
        </is>
      </c>
      <c r="E67" s="29" t="inlineStr">
        <is>
          <t>Großbrand</t>
        </is>
      </c>
      <c r="F67" s="29" t="inlineStr">
        <is>
          <t>Mar Llamas</t>
        </is>
      </c>
      <c r="G67" s="29" t="inlineStr">
        <is>
          <t>Aiutofuoco</t>
        </is>
      </c>
      <c r="H67" s="29" t="inlineStr">
        <is>
          <t>맹화</t>
        </is>
      </c>
      <c r="I67" s="29" t="inlineStr">
        <is>
          <t>猛火</t>
        </is>
      </c>
      <c r="J67" s="29">
        <f>I67</f>
        <v/>
      </c>
      <c r="K67" s="29">
        <f>F67</f>
        <v/>
      </c>
    </row>
    <row r="68">
      <c r="A68" s="29">
        <f>CONCATENATE("NAME_ABILITY_", SUBSTITUTE(UPPER(B68), " ", ""))</f>
        <v/>
      </c>
      <c r="B68" s="29" t="inlineStr">
        <is>
          <t>Torrent</t>
        </is>
      </c>
      <c r="C68" s="29" t="inlineStr">
        <is>
          <t>げきりゅう</t>
        </is>
      </c>
      <c r="D68" s="29">
        <f>B68</f>
        <v/>
      </c>
      <c r="E68" s="29" t="inlineStr">
        <is>
          <t>Sturzbach</t>
        </is>
      </c>
      <c r="F68" s="29" t="inlineStr">
        <is>
          <t>Torrente</t>
        </is>
      </c>
      <c r="G68" s="29" t="inlineStr">
        <is>
          <t>Acquaiuto</t>
        </is>
      </c>
      <c r="H68" s="29" t="inlineStr">
        <is>
          <t>급류</t>
        </is>
      </c>
      <c r="I68" s="29" t="inlineStr">
        <is>
          <t>激流</t>
        </is>
      </c>
      <c r="J68" s="29">
        <f>I68</f>
        <v/>
      </c>
      <c r="K68" s="29">
        <f>F68</f>
        <v/>
      </c>
    </row>
    <row r="69">
      <c r="A69" s="29">
        <f>CONCATENATE("NAME_ABILITY_", SUBSTITUTE(UPPER(B69), " ", ""))</f>
        <v/>
      </c>
      <c r="B69" s="29" t="inlineStr">
        <is>
          <t>Swarm</t>
        </is>
      </c>
      <c r="C69" s="29" t="inlineStr">
        <is>
          <t>むしのしらせ</t>
        </is>
      </c>
      <c r="D69" s="29" t="inlineStr">
        <is>
          <t>Essaim</t>
        </is>
      </c>
      <c r="E69" s="29" t="inlineStr">
        <is>
          <t>Hexaplaga</t>
        </is>
      </c>
      <c r="F69" s="29" t="inlineStr">
        <is>
          <t>Enjambre</t>
        </is>
      </c>
      <c r="G69" s="29" t="inlineStr">
        <is>
          <t>Aiutinsetto</t>
        </is>
      </c>
      <c r="H69" s="29" t="inlineStr">
        <is>
          <t>벌레의 알림</t>
        </is>
      </c>
      <c r="I69" s="29" t="inlineStr">
        <is>
          <t>蟲之預感</t>
        </is>
      </c>
      <c r="J69" s="29">
        <f>IFERROR(__xludf.DUMMYFUNCTION("GOOGLETRANSLATE(I69,""zh_HANT"",""zh_HANS"")"),"虫之预感")</f>
        <v/>
      </c>
      <c r="K69" s="29">
        <f>F69</f>
        <v/>
      </c>
    </row>
    <row r="70">
      <c r="A70" s="29">
        <f>CONCATENATE("NAME_ABILITY_", SUBSTITUTE(UPPER(B70), " ", ""))</f>
        <v/>
      </c>
      <c r="B70" s="29" t="inlineStr">
        <is>
          <t>Rock Head</t>
        </is>
      </c>
      <c r="C70" s="29" t="inlineStr">
        <is>
          <t>いしあたま</t>
        </is>
      </c>
      <c r="D70" s="29" t="inlineStr">
        <is>
          <t>Tête de Roc</t>
        </is>
      </c>
      <c r="E70" s="29" t="inlineStr">
        <is>
          <t>Steinhaupt</t>
        </is>
      </c>
      <c r="F70" s="29" t="inlineStr">
        <is>
          <t>Cabeza Roca</t>
        </is>
      </c>
      <c r="G70" s="29" t="inlineStr">
        <is>
          <t>Testadura</t>
        </is>
      </c>
      <c r="H70" s="29" t="inlineStr">
        <is>
          <t>돌머리</t>
        </is>
      </c>
      <c r="I70" s="29" t="inlineStr">
        <is>
          <t>堅硬腦袋</t>
        </is>
      </c>
      <c r="J70" s="29">
        <f>IFERROR(__xludf.DUMMYFUNCTION("GOOGLETRANSLATE(I70,""zh_HANT"",""zh_HANS"")"),"坚硬脑袋")</f>
        <v/>
      </c>
      <c r="K70" s="29">
        <f>F70</f>
        <v/>
      </c>
    </row>
    <row r="71">
      <c r="A71" s="29">
        <f>CONCATENATE("NAME_ABILITY_", SUBSTITUTE(UPPER(B71), " ", ""))</f>
        <v/>
      </c>
      <c r="B71" s="29" t="inlineStr">
        <is>
          <t>Drought</t>
        </is>
      </c>
      <c r="C71" s="29" t="inlineStr">
        <is>
          <t>ひでり</t>
        </is>
      </c>
      <c r="D71" s="29" t="inlineStr">
        <is>
          <t>Sécheresse</t>
        </is>
      </c>
      <c r="E71" s="29" t="inlineStr">
        <is>
          <t>Dürre</t>
        </is>
      </c>
      <c r="F71" s="29" t="inlineStr">
        <is>
          <t>Sequía</t>
        </is>
      </c>
      <c r="G71" s="29" t="inlineStr">
        <is>
          <t>Siccità</t>
        </is>
      </c>
      <c r="H71" s="29" t="inlineStr">
        <is>
          <t>가뭄</t>
        </is>
      </c>
      <c r="I71" s="29" t="inlineStr">
        <is>
          <t>日照</t>
        </is>
      </c>
      <c r="J71" s="29">
        <f>I71</f>
        <v/>
      </c>
      <c r="K71" s="29">
        <f>F71</f>
        <v/>
      </c>
    </row>
    <row r="72">
      <c r="A72" s="29">
        <f>CONCATENATE("NAME_ABILITY_", SUBSTITUTE(UPPER(B72), " ", ""))</f>
        <v/>
      </c>
      <c r="B72" s="29" t="inlineStr">
        <is>
          <t>Arena Trap</t>
        </is>
      </c>
      <c r="C72" s="29" t="inlineStr">
        <is>
          <t>ありじごく</t>
        </is>
      </c>
      <c r="D72" s="29" t="inlineStr">
        <is>
          <t>Piège</t>
        </is>
      </c>
      <c r="E72" s="29" t="inlineStr">
        <is>
          <t>Ausweglos</t>
        </is>
      </c>
      <c r="F72" s="29" t="inlineStr">
        <is>
          <t>Trampa Arena</t>
        </is>
      </c>
      <c r="G72" s="29" t="inlineStr">
        <is>
          <t>Trappoarena</t>
        </is>
      </c>
      <c r="H72" s="29" t="inlineStr">
        <is>
          <t>개미지옥</t>
        </is>
      </c>
      <c r="I72" s="29" t="inlineStr">
        <is>
          <t>沙穴</t>
        </is>
      </c>
      <c r="J72" s="29">
        <f>I72</f>
        <v/>
      </c>
      <c r="K72" s="29">
        <f>F72</f>
        <v/>
      </c>
    </row>
    <row r="73">
      <c r="A73" s="29">
        <f>CONCATENATE("NAME_ABILITY_", SUBSTITUTE(UPPER(B73), " ", ""))</f>
        <v/>
      </c>
      <c r="B73" s="29" t="inlineStr">
        <is>
          <t>Vital Spirit</t>
        </is>
      </c>
      <c r="C73" s="29" t="inlineStr">
        <is>
          <t>やるき</t>
        </is>
      </c>
      <c r="D73" s="29" t="inlineStr">
        <is>
          <t>Esprit Vital</t>
        </is>
      </c>
      <c r="E73" s="29" t="inlineStr">
        <is>
          <t>Munterkeit</t>
        </is>
      </c>
      <c r="F73" s="29" t="inlineStr">
        <is>
          <t>Espíritu Vital</t>
        </is>
      </c>
      <c r="G73" s="29" t="inlineStr">
        <is>
          <t>Spiritovivo</t>
        </is>
      </c>
      <c r="H73" s="29" t="inlineStr">
        <is>
          <t>의기양양</t>
        </is>
      </c>
      <c r="I73" s="29" t="inlineStr">
        <is>
          <t>幹勁</t>
        </is>
      </c>
      <c r="J73" s="29">
        <f>IFERROR(__xludf.DUMMYFUNCTION("GOOGLETRANSLATE(I73,""zh_HANT"",""zh_HANS"")"),"干劲")</f>
        <v/>
      </c>
      <c r="K73" s="29">
        <f>F73</f>
        <v/>
      </c>
    </row>
    <row r="74">
      <c r="A74" s="29">
        <f>CONCATENATE("NAME_ABILITY_", SUBSTITUTE(UPPER(B74), " ", ""))</f>
        <v/>
      </c>
      <c r="B74" s="29" t="inlineStr">
        <is>
          <t>White Smoke</t>
        </is>
      </c>
      <c r="C74" s="29" t="inlineStr">
        <is>
          <t>しろいけむり</t>
        </is>
      </c>
      <c r="D74" s="29" t="inlineStr">
        <is>
          <t>Écran Fumée</t>
        </is>
      </c>
      <c r="E74" s="29" t="inlineStr">
        <is>
          <t>Pulverrauch</t>
        </is>
      </c>
      <c r="F74" s="29" t="inlineStr">
        <is>
          <t>Humo Blanco</t>
        </is>
      </c>
      <c r="G74" s="29" t="inlineStr">
        <is>
          <t>Fumochario</t>
        </is>
      </c>
      <c r="H74" s="29" t="inlineStr">
        <is>
          <t>하얀연기</t>
        </is>
      </c>
      <c r="I74" s="29" t="inlineStr">
        <is>
          <t>白色煙霧</t>
        </is>
      </c>
      <c r="J74" s="29">
        <f>IFERROR(__xludf.DUMMYFUNCTION("GOOGLETRANSLATE(I74,""zh_HANT"",""zh_HANS"")"),"白色烟雾")</f>
        <v/>
      </c>
      <c r="K74" s="29">
        <f>F74</f>
        <v/>
      </c>
    </row>
    <row r="75">
      <c r="A75" s="29">
        <f>CONCATENATE("NAME_ABILITY_", SUBSTITUTE(UPPER(B75), " ", ""))</f>
        <v/>
      </c>
      <c r="B75" s="29" t="inlineStr">
        <is>
          <t>Pure Power</t>
        </is>
      </c>
      <c r="C75" s="29" t="inlineStr">
        <is>
          <t>ヨガパワー</t>
        </is>
      </c>
      <c r="D75" s="29" t="inlineStr">
        <is>
          <t>Force Pure</t>
        </is>
      </c>
      <c r="E75" s="29" t="inlineStr">
        <is>
          <t>Mentalkraft</t>
        </is>
      </c>
      <c r="F75" s="29" t="inlineStr">
        <is>
          <t>Energía Pura</t>
        </is>
      </c>
      <c r="G75" s="29" t="inlineStr">
        <is>
          <t>Forzapura</t>
        </is>
      </c>
      <c r="H75" s="29" t="inlineStr">
        <is>
          <t>순수한힘</t>
        </is>
      </c>
      <c r="I75" s="29" t="inlineStr">
        <is>
          <t>瑜伽之力</t>
        </is>
      </c>
      <c r="J75" s="29">
        <f>I75</f>
        <v/>
      </c>
      <c r="K75" s="29">
        <f>F75</f>
        <v/>
      </c>
    </row>
    <row r="76">
      <c r="A76" s="29">
        <f>CONCATENATE("NAME_ABILITY_", SUBSTITUTE(UPPER(B76), " ", ""))</f>
        <v/>
      </c>
      <c r="B76" s="29" t="inlineStr">
        <is>
          <t>Shell Armor</t>
        </is>
      </c>
      <c r="C76" s="29" t="inlineStr">
        <is>
          <t>シェルアーマー</t>
        </is>
      </c>
      <c r="D76" s="29" t="inlineStr">
        <is>
          <t>Coque Armure</t>
        </is>
      </c>
      <c r="E76" s="29" t="inlineStr">
        <is>
          <t>Panzerhaut</t>
        </is>
      </c>
      <c r="F76" s="29" t="inlineStr">
        <is>
          <t>Caparazón</t>
        </is>
      </c>
      <c r="G76" s="29" t="inlineStr">
        <is>
          <t>Guscioscudo</t>
        </is>
      </c>
      <c r="H76" s="29" t="inlineStr">
        <is>
          <t>조가비 갑옷</t>
        </is>
      </c>
      <c r="I76" s="29" t="inlineStr">
        <is>
          <t>硬殼盔甲</t>
        </is>
      </c>
      <c r="J76" s="29">
        <f>IFERROR(__xludf.DUMMYFUNCTION("GOOGLETRANSLATE(I76,""zh_HANT"",""zh_HANS"")"),"硬壳盔甲")</f>
        <v/>
      </c>
      <c r="K76" s="29">
        <f>F76</f>
        <v/>
      </c>
    </row>
    <row r="77">
      <c r="A77" s="29">
        <f>CONCATENATE("NAME_ABILITY_", SUBSTITUTE(UPPER(B77), " ", ""))</f>
        <v/>
      </c>
      <c r="B77" s="29" t="inlineStr">
        <is>
          <t>Air Lock</t>
        </is>
      </c>
      <c r="C77" s="29" t="inlineStr">
        <is>
          <t>エアロック</t>
        </is>
      </c>
      <c r="D77" s="29" t="inlineStr">
        <is>
          <t>Air Lock</t>
        </is>
      </c>
      <c r="E77" s="29" t="inlineStr">
        <is>
          <t>Klimaschutz</t>
        </is>
      </c>
      <c r="F77" s="29" t="inlineStr">
        <is>
          <t>Bucle Aire</t>
        </is>
      </c>
      <c r="G77" s="29" t="inlineStr">
        <is>
          <t>Riparo</t>
        </is>
      </c>
      <c r="H77" s="29" t="inlineStr">
        <is>
          <t>에어록</t>
        </is>
      </c>
      <c r="I77" s="29" t="inlineStr">
        <is>
          <t>氣閘</t>
        </is>
      </c>
      <c r="J77" s="29">
        <f>IFERROR(__xludf.DUMMYFUNCTION("GOOGLETRANSLATE(I77,""zh_HANT"",""zh_HANS"")"),"气闸")</f>
        <v/>
      </c>
      <c r="K77" s="29">
        <f>F77</f>
        <v/>
      </c>
    </row>
    <row r="78">
      <c r="A78" s="29">
        <f>CONCATENATE("NAME_ABILITY_", SUBSTITUTE(UPPER(B78), " ", ""))</f>
        <v/>
      </c>
      <c r="B78" s="29" t="inlineStr">
        <is>
          <t>Tangled Feet</t>
        </is>
      </c>
      <c r="C78" s="29" t="inlineStr">
        <is>
          <t>ちどりあし</t>
        </is>
      </c>
      <c r="D78" s="29" t="inlineStr">
        <is>
          <t>Pieds Confus</t>
        </is>
      </c>
      <c r="E78" s="29" t="inlineStr">
        <is>
          <t>Fußangel</t>
        </is>
      </c>
      <c r="F78" s="29" t="inlineStr">
        <is>
          <t>Tumbos</t>
        </is>
      </c>
      <c r="G78" s="29" t="inlineStr">
        <is>
          <t>Intricopiedi</t>
        </is>
      </c>
      <c r="H78" s="29" t="inlineStr">
        <is>
          <t>갈지자걸음</t>
        </is>
      </c>
      <c r="I78" s="29" t="inlineStr">
        <is>
          <t>蹣跚</t>
        </is>
      </c>
      <c r="J78" s="29">
        <f>IFERROR(__xludf.DUMMYFUNCTION("GOOGLETRANSLATE(I78,""zh_HANT"",""zh_HANS"")"),"蹒跚")</f>
        <v/>
      </c>
      <c r="K78" s="29">
        <f>F78</f>
        <v/>
      </c>
    </row>
    <row r="79">
      <c r="A79" s="29">
        <f>CONCATENATE("NAME_ABILITY_", SUBSTITUTE(UPPER(B79), " ", ""))</f>
        <v/>
      </c>
      <c r="B79" s="29" t="inlineStr">
        <is>
          <t>Motor Drive</t>
        </is>
      </c>
      <c r="C79" s="29" t="inlineStr">
        <is>
          <t>でんきエンジン</t>
        </is>
      </c>
      <c r="D79" s="29" t="inlineStr">
        <is>
          <t>Motorisé</t>
        </is>
      </c>
      <c r="E79" s="29" t="inlineStr">
        <is>
          <t>Starthilfe</t>
        </is>
      </c>
      <c r="F79" s="29" t="inlineStr">
        <is>
          <t>Electromotor</t>
        </is>
      </c>
      <c r="G79" s="29" t="inlineStr">
        <is>
          <t>Elettrorapid</t>
        </is>
      </c>
      <c r="H79" s="29" t="inlineStr">
        <is>
          <t>전기엔진</t>
        </is>
      </c>
      <c r="I79" s="29" t="inlineStr">
        <is>
          <t>電氣引擎</t>
        </is>
      </c>
      <c r="J79" s="29">
        <f>IFERROR(__xludf.DUMMYFUNCTION("GOOGLETRANSLATE(I79,""zh_HANT"",""zh_HANS"")"),"电气引擎")</f>
        <v/>
      </c>
      <c r="K79" s="29">
        <f>F79</f>
        <v/>
      </c>
    </row>
    <row r="80">
      <c r="A80" s="29">
        <f>CONCATENATE("NAME_ABILITY_", SUBSTITUTE(UPPER(B80), " ", ""))</f>
        <v/>
      </c>
      <c r="B80" s="29" t="inlineStr">
        <is>
          <t>Rivalry</t>
        </is>
      </c>
      <c r="C80" s="29" t="inlineStr">
        <is>
          <t>とうそうしん</t>
        </is>
      </c>
      <c r="D80" s="29" t="inlineStr">
        <is>
          <t>Rivalité</t>
        </is>
      </c>
      <c r="E80" s="29" t="inlineStr">
        <is>
          <t>Rivalität</t>
        </is>
      </c>
      <c r="F80" s="29" t="inlineStr">
        <is>
          <t>Rivalidad</t>
        </is>
      </c>
      <c r="G80" s="29" t="inlineStr">
        <is>
          <t>Antagonismo</t>
        </is>
      </c>
      <c r="H80" s="29" t="inlineStr">
        <is>
          <t>투쟁심</t>
        </is>
      </c>
      <c r="I80" s="29" t="inlineStr">
        <is>
          <t>鬥爭心</t>
        </is>
      </c>
      <c r="J80" s="29">
        <f>IFERROR(__xludf.DUMMYFUNCTION("GOOGLETRANSLATE(I80,""zh_HANT"",""zh_HANS"")"),"斗争心")</f>
        <v/>
      </c>
      <c r="K80" s="29">
        <f>F80</f>
        <v/>
      </c>
    </row>
    <row r="81">
      <c r="A81" s="29">
        <f>CONCATENATE("NAME_ABILITY_", SUBSTITUTE(UPPER(B81), " ", ""))</f>
        <v/>
      </c>
      <c r="B81" s="29" t="inlineStr">
        <is>
          <t>Steadfast</t>
        </is>
      </c>
      <c r="C81" s="29" t="inlineStr">
        <is>
          <t>ふくつのこころ</t>
        </is>
      </c>
      <c r="D81" s="29" t="inlineStr">
        <is>
          <t>Impassible</t>
        </is>
      </c>
      <c r="E81" s="29" t="inlineStr">
        <is>
          <t>Felsenfest</t>
        </is>
      </c>
      <c r="F81" s="29" t="inlineStr">
        <is>
          <t>Impasible</t>
        </is>
      </c>
      <c r="G81" s="29" t="inlineStr">
        <is>
          <t>Cuordeciso</t>
        </is>
      </c>
      <c r="H81" s="29" t="inlineStr">
        <is>
          <t>불굴의 마음</t>
        </is>
      </c>
      <c r="I81" s="29" t="inlineStr">
        <is>
          <t>不屈之心</t>
        </is>
      </c>
      <c r="J81" s="29">
        <f>I81</f>
        <v/>
      </c>
      <c r="K81" s="29">
        <f>F81</f>
        <v/>
      </c>
    </row>
    <row r="82">
      <c r="A82" s="29">
        <f>CONCATENATE("NAME_ABILITY_", SUBSTITUTE(UPPER(B82), " ", ""))</f>
        <v/>
      </c>
      <c r="B82" s="29" t="inlineStr">
        <is>
          <t>Snow Cloak</t>
        </is>
      </c>
      <c r="C82" s="29" t="inlineStr">
        <is>
          <t>ゆきがくれ</t>
        </is>
      </c>
      <c r="D82" s="29" t="inlineStr">
        <is>
          <t>Rideau Neige</t>
        </is>
      </c>
      <c r="E82" s="29" t="inlineStr">
        <is>
          <t>Schneemantel</t>
        </is>
      </c>
      <c r="F82" s="29" t="inlineStr">
        <is>
          <t>Manto Níveo</t>
        </is>
      </c>
      <c r="G82" s="29" t="inlineStr">
        <is>
          <t>Mantelneve</t>
        </is>
      </c>
      <c r="H82" s="29" t="inlineStr">
        <is>
          <t>눈숨기</t>
        </is>
      </c>
      <c r="I82" s="29" t="inlineStr">
        <is>
          <t>雪隱</t>
        </is>
      </c>
      <c r="J82" s="29">
        <f>IFERROR(__xludf.DUMMYFUNCTION("GOOGLETRANSLATE(I82,""zh_HANT"",""zh_HANS"")"),"雪隐")</f>
        <v/>
      </c>
      <c r="K82" s="29">
        <f>F82</f>
        <v/>
      </c>
    </row>
    <row r="83">
      <c r="A83" s="29">
        <f>CONCATENATE("NAME_ABILITY_", SUBSTITUTE(UPPER(B83), " ", ""))</f>
        <v/>
      </c>
      <c r="B83" s="29" t="inlineStr">
        <is>
          <t>Gluttony</t>
        </is>
      </c>
      <c r="C83" s="29" t="inlineStr">
        <is>
          <t>くいしんぼう</t>
        </is>
      </c>
      <c r="D83" s="29" t="inlineStr">
        <is>
          <t>Gloutonnerie</t>
        </is>
      </c>
      <c r="E83" s="29" t="inlineStr">
        <is>
          <t>Völlerei</t>
        </is>
      </c>
      <c r="F83" s="29" t="inlineStr">
        <is>
          <t>Gula</t>
        </is>
      </c>
      <c r="G83" s="29" t="inlineStr">
        <is>
          <t>Voracità</t>
        </is>
      </c>
      <c r="H83" s="29" t="inlineStr">
        <is>
          <t>먹보</t>
        </is>
      </c>
      <c r="I83" s="29" t="inlineStr">
        <is>
          <t>貪吃鬼</t>
        </is>
      </c>
      <c r="J83" s="29">
        <f>IFERROR(__xludf.DUMMYFUNCTION("GOOGLETRANSLATE(I83,""zh_HANT"",""zh_HANS"")"),"贪吃鬼")</f>
        <v/>
      </c>
      <c r="K83" s="29">
        <f>F83</f>
        <v/>
      </c>
    </row>
    <row r="84">
      <c r="A84" s="29">
        <f>CONCATENATE("NAME_ABILITY_", SUBSTITUTE(UPPER(B84), " ", ""))</f>
        <v/>
      </c>
      <c r="B84" s="29" t="inlineStr">
        <is>
          <t>Anger Point</t>
        </is>
      </c>
      <c r="C84" s="29" t="inlineStr">
        <is>
          <t>いかりのつぼ</t>
        </is>
      </c>
      <c r="D84" s="29" t="inlineStr">
        <is>
          <t>Colérique</t>
        </is>
      </c>
      <c r="E84" s="29" t="inlineStr">
        <is>
          <t>Kurzschluss</t>
        </is>
      </c>
      <c r="F84" s="29" t="inlineStr">
        <is>
          <t>Irascible</t>
        </is>
      </c>
      <c r="G84" s="29" t="inlineStr">
        <is>
          <t>Grancollera</t>
        </is>
      </c>
      <c r="H84" s="29" t="inlineStr">
        <is>
          <t>분노의 경혈</t>
        </is>
      </c>
      <c r="I84" s="29" t="inlineStr">
        <is>
          <t>憤怒穴位</t>
        </is>
      </c>
      <c r="J84" s="29">
        <f>IFERROR(__xludf.DUMMYFUNCTION("GOOGLETRANSLATE(I84,""zh_HANT"",""zh_HANS"")"),"愤怒穴位")</f>
        <v/>
      </c>
      <c r="K84" s="29">
        <f>F84</f>
        <v/>
      </c>
    </row>
    <row r="85">
      <c r="A85" s="29">
        <f>CONCATENATE("NAME_ABILITY_", SUBSTITUTE(UPPER(B85), " ", ""))</f>
        <v/>
      </c>
      <c r="B85" s="29" t="inlineStr">
        <is>
          <t>Unburden</t>
        </is>
      </c>
      <c r="C85" s="29" t="inlineStr">
        <is>
          <t>かるわざ</t>
        </is>
      </c>
      <c r="D85" s="29" t="inlineStr">
        <is>
          <t>Délestage</t>
        </is>
      </c>
      <c r="E85" s="29" t="inlineStr">
        <is>
          <t>Entlastung</t>
        </is>
      </c>
      <c r="F85" s="29" t="inlineStr">
        <is>
          <t>Liviano</t>
        </is>
      </c>
      <c r="G85" s="29" t="inlineStr">
        <is>
          <t>Agiltecnica</t>
        </is>
      </c>
      <c r="H85" s="29" t="inlineStr">
        <is>
          <t>곡예</t>
        </is>
      </c>
      <c r="I85" s="29" t="inlineStr">
        <is>
          <t>輕裝</t>
        </is>
      </c>
      <c r="J85" s="29">
        <f>IFERROR(__xludf.DUMMYFUNCTION("GOOGLETRANSLATE(I85,""zh_HANT"",""zh_HANS"")"),"轻装")</f>
        <v/>
      </c>
      <c r="K85" s="29">
        <f>F85</f>
        <v/>
      </c>
    </row>
    <row r="86">
      <c r="A86" s="29">
        <f>CONCATENATE("NAME_ABILITY_", SUBSTITUTE(UPPER(B86), " ", ""))</f>
        <v/>
      </c>
      <c r="B86" s="29" t="inlineStr">
        <is>
          <t>Heatproof</t>
        </is>
      </c>
      <c r="C86" s="29" t="inlineStr">
        <is>
          <t>たいねつ</t>
        </is>
      </c>
      <c r="D86" s="29" t="inlineStr">
        <is>
          <t>Ignifugé</t>
        </is>
      </c>
      <c r="E86" s="29" t="inlineStr">
        <is>
          <t>Hitzeschutz</t>
        </is>
      </c>
      <c r="F86" s="29" t="inlineStr">
        <is>
          <t>Ignífugo</t>
        </is>
      </c>
      <c r="G86" s="29" t="inlineStr">
        <is>
          <t>Antifuoco</t>
        </is>
      </c>
      <c r="H86" s="29" t="inlineStr">
        <is>
          <t>내열</t>
        </is>
      </c>
      <c r="I86" s="29" t="inlineStr">
        <is>
          <t>耐熱</t>
        </is>
      </c>
      <c r="J86" s="29">
        <f>IFERROR(__xludf.DUMMYFUNCTION("GOOGLETRANSLATE(I86,""zh_HANT"",""zh_HANS"")"),"耐热")</f>
        <v/>
      </c>
      <c r="K86" s="29">
        <f>F86</f>
        <v/>
      </c>
    </row>
    <row r="87">
      <c r="A87" s="29">
        <f>CONCATENATE("NAME_ABILITY_", SUBSTITUTE(UPPER(B87), " ", ""))</f>
        <v/>
      </c>
      <c r="B87" s="29" t="inlineStr">
        <is>
          <t>Simple</t>
        </is>
      </c>
      <c r="C87" s="29" t="inlineStr">
        <is>
          <t>たんじゅん</t>
        </is>
      </c>
      <c r="D87" s="29" t="inlineStr">
        <is>
          <t>Simple</t>
        </is>
      </c>
      <c r="E87" s="29" t="inlineStr">
        <is>
          <t>Wankelmut</t>
        </is>
      </c>
      <c r="F87" s="29" t="inlineStr">
        <is>
          <t>Simple</t>
        </is>
      </c>
      <c r="G87" s="29" t="inlineStr">
        <is>
          <t>Disinvoltura</t>
        </is>
      </c>
      <c r="H87" s="29" t="inlineStr">
        <is>
          <t>단순</t>
        </is>
      </c>
      <c r="I87" s="29" t="inlineStr">
        <is>
          <t>單純</t>
        </is>
      </c>
      <c r="J87" s="29">
        <f>IFERROR(__xludf.DUMMYFUNCTION("GOOGLETRANSLATE(I87,""zh_HANT"",""zh_HANS"")"),"单纯")</f>
        <v/>
      </c>
      <c r="K87" s="29">
        <f>F87</f>
        <v/>
      </c>
    </row>
    <row r="88">
      <c r="A88" s="29">
        <f>CONCATENATE("NAME_ABILITY_", SUBSTITUTE(UPPER(B88), " ", ""))</f>
        <v/>
      </c>
      <c r="B88" s="29" t="inlineStr">
        <is>
          <t>Dry Skin</t>
        </is>
      </c>
      <c r="C88" s="29" t="inlineStr">
        <is>
          <t>かんそうはだ</t>
        </is>
      </c>
      <c r="D88" s="29" t="inlineStr">
        <is>
          <t>Peau Sèche</t>
        </is>
      </c>
      <c r="E88" s="29" t="inlineStr">
        <is>
          <t>Trockenheit</t>
        </is>
      </c>
      <c r="F88" s="29" t="inlineStr">
        <is>
          <t>Piel Seca</t>
        </is>
      </c>
      <c r="G88" s="29" t="inlineStr">
        <is>
          <t>Pellearsa</t>
        </is>
      </c>
      <c r="H88" s="29" t="inlineStr">
        <is>
          <t>건조피부</t>
        </is>
      </c>
      <c r="I88" s="29" t="inlineStr">
        <is>
          <t>乾燥皮膚</t>
        </is>
      </c>
      <c r="J88" s="29">
        <f>IFERROR(__xludf.DUMMYFUNCTION("GOOGLETRANSLATE(I88,""zh_HANT"",""zh_HANS"")"),"干燥皮肤")</f>
        <v/>
      </c>
      <c r="K88" s="29">
        <f>F88</f>
        <v/>
      </c>
    </row>
    <row r="89">
      <c r="A89" s="29">
        <f>CONCATENATE("NAME_ABILITY_", SUBSTITUTE(UPPER(B89), " ", ""))</f>
        <v/>
      </c>
      <c r="B89" s="29" t="inlineStr">
        <is>
          <t>Download</t>
        </is>
      </c>
      <c r="C89" s="29" t="inlineStr">
        <is>
          <t>ダウンロード</t>
        </is>
      </c>
      <c r="D89" s="29" t="inlineStr">
        <is>
          <t>Télécharge</t>
        </is>
      </c>
      <c r="E89" s="29">
        <f>B89</f>
        <v/>
      </c>
      <c r="F89" s="29" t="inlineStr">
        <is>
          <t>Descarga</t>
        </is>
      </c>
      <c r="G89" s="29">
        <f>B89</f>
        <v/>
      </c>
      <c r="H89" s="29" t="inlineStr">
        <is>
          <t>다운로드</t>
        </is>
      </c>
      <c r="I89" s="29" t="inlineStr">
        <is>
          <t>下載</t>
        </is>
      </c>
      <c r="J89" s="29">
        <f>IFERROR(__xludf.DUMMYFUNCTION("GOOGLETRANSLATE(I89,""zh_HANT"",""zh_HANS"")"),"下载")</f>
        <v/>
      </c>
      <c r="K89" s="29">
        <f>F89</f>
        <v/>
      </c>
    </row>
    <row r="90">
      <c r="A90" s="29">
        <f>CONCATENATE("NAME_ABILITY_", SUBSTITUTE(UPPER(B90), " ", ""))</f>
        <v/>
      </c>
      <c r="B90" s="29" t="inlineStr">
        <is>
          <t>Iron Fist</t>
        </is>
      </c>
      <c r="C90" s="29" t="inlineStr">
        <is>
          <t>てすのこぶし</t>
        </is>
      </c>
      <c r="D90" s="29" t="inlineStr">
        <is>
          <t>Poing de Fer</t>
        </is>
      </c>
      <c r="E90" s="29" t="inlineStr">
        <is>
          <t>Eisenfaust</t>
        </is>
      </c>
      <c r="F90" s="29" t="inlineStr">
        <is>
          <t>Puño Férreo</t>
        </is>
      </c>
      <c r="G90" s="29" t="inlineStr">
        <is>
          <t>Ferropungo</t>
        </is>
      </c>
      <c r="H90" s="29" t="inlineStr">
        <is>
          <t>철주먹</t>
        </is>
      </c>
      <c r="I90" s="29" t="inlineStr">
        <is>
          <t>鐵拳</t>
        </is>
      </c>
      <c r="J90" s="29">
        <f>IFERROR(__xludf.DUMMYFUNCTION("GOOGLETRANSLATE(I90,""zh_HANT"",""zh_HANS"")"),"铁拳")</f>
        <v/>
      </c>
      <c r="K90" s="29">
        <f>F90</f>
        <v/>
      </c>
    </row>
    <row r="91">
      <c r="A91" s="29">
        <f>CONCATENATE("NAME_ABILITY_", SUBSTITUTE(UPPER(B91), " ", ""))</f>
        <v/>
      </c>
      <c r="B91" s="29" t="inlineStr">
        <is>
          <t>Poison Heal</t>
        </is>
      </c>
      <c r="C91" s="29" t="inlineStr">
        <is>
          <t>ポイズンヒール</t>
        </is>
      </c>
      <c r="D91" s="29" t="inlineStr">
        <is>
          <t>Soin Poison</t>
        </is>
      </c>
      <c r="E91" s="29" t="inlineStr">
        <is>
          <t>Aufheber</t>
        </is>
      </c>
      <c r="F91" s="29" t="inlineStr">
        <is>
          <t>Antídoto</t>
        </is>
      </c>
      <c r="G91" s="29" t="inlineStr">
        <is>
          <t>Velencura</t>
        </is>
      </c>
      <c r="H91" s="29" t="inlineStr">
        <is>
          <t>포이즌힐</t>
        </is>
      </c>
      <c r="I91" s="29" t="inlineStr">
        <is>
          <t>毒療</t>
        </is>
      </c>
      <c r="J91" s="29">
        <f>IFERROR(__xludf.DUMMYFUNCTION("GOOGLETRANSLATE(I91,""zh_HANT"",""zh_HANS"")"),"毒疗")</f>
        <v/>
      </c>
      <c r="K91" s="29">
        <f>F91</f>
        <v/>
      </c>
    </row>
    <row r="92">
      <c r="A92" s="29">
        <f>CONCATENATE("NAME_ABILITY_", SUBSTITUTE(UPPER(B92), " ", ""))</f>
        <v/>
      </c>
      <c r="B92" s="29" t="inlineStr">
        <is>
          <t>Adaptability</t>
        </is>
      </c>
      <c r="C92" s="29" t="inlineStr">
        <is>
          <t>てきおうりょく</t>
        </is>
      </c>
      <c r="D92" s="29" t="inlineStr">
        <is>
          <t>Adaptabilité</t>
        </is>
      </c>
      <c r="E92" s="29" t="inlineStr">
        <is>
          <t>Anpassung</t>
        </is>
      </c>
      <c r="F92" s="29" t="inlineStr">
        <is>
          <t>Adaptable</t>
        </is>
      </c>
      <c r="G92" s="29" t="inlineStr">
        <is>
          <t>Adattabilità</t>
        </is>
      </c>
      <c r="H92" s="29" t="inlineStr">
        <is>
          <t>적응력</t>
        </is>
      </c>
      <c r="I92" s="29" t="inlineStr">
        <is>
          <t>適應力</t>
        </is>
      </c>
      <c r="J92" s="29">
        <f>IFERROR(__xludf.DUMMYFUNCTION("GOOGLETRANSLATE(I92,""zh_HANT"",""zh_HANS"")"),"适应力")</f>
        <v/>
      </c>
      <c r="K92" s="29">
        <f>F92</f>
        <v/>
      </c>
    </row>
    <row r="93">
      <c r="A93" s="29">
        <f>CONCATENATE("NAME_ABILITY_", SUBSTITUTE(UPPER(B93), " ", ""))</f>
        <v/>
      </c>
      <c r="B93" s="29" t="inlineStr">
        <is>
          <t>Skill Link</t>
        </is>
      </c>
      <c r="C93" s="29" t="inlineStr">
        <is>
          <t>スキルリンク</t>
        </is>
      </c>
      <c r="D93" s="29" t="inlineStr">
        <is>
          <t>Multi-Coups</t>
        </is>
      </c>
      <c r="E93" s="29" t="inlineStr">
        <is>
          <t>Wertelink</t>
        </is>
      </c>
      <c r="F93" s="29" t="inlineStr">
        <is>
          <t>Encadenado</t>
        </is>
      </c>
      <c r="G93" s="29" t="inlineStr">
        <is>
          <t>Abillegame</t>
        </is>
      </c>
      <c r="H93" s="29" t="inlineStr">
        <is>
          <t>스킬링크</t>
        </is>
      </c>
      <c r="I93" s="29" t="inlineStr">
        <is>
          <t>連續攻擊</t>
        </is>
      </c>
      <c r="J93" s="29">
        <f>IFERROR(__xludf.DUMMYFUNCTION("GOOGLETRANSLATE(I93,""zh_HANT"",""zh_HANS"")"),"连续攻击")</f>
        <v/>
      </c>
      <c r="K93" s="29">
        <f>F93</f>
        <v/>
      </c>
    </row>
    <row r="94">
      <c r="A94" s="29">
        <f>CONCATENATE("NAME_ABILITY_", SUBSTITUTE(UPPER(B94), " ", ""))</f>
        <v/>
      </c>
      <c r="B94" s="29" t="inlineStr">
        <is>
          <t>Hydration</t>
        </is>
      </c>
      <c r="C94" s="29" t="inlineStr">
        <is>
          <t>うるおいボディ</t>
        </is>
      </c>
      <c r="D94" s="29" t="inlineStr">
        <is>
          <t>Hydratation</t>
        </is>
      </c>
      <c r="E94" s="29">
        <f>B94</f>
        <v/>
      </c>
      <c r="F94" s="29" t="inlineStr">
        <is>
          <t>Hidratación</t>
        </is>
      </c>
      <c r="G94" s="29" t="inlineStr">
        <is>
          <t>Idratazione</t>
        </is>
      </c>
      <c r="H94" s="29" t="inlineStr">
        <is>
          <t>촉촉바디</t>
        </is>
      </c>
      <c r="I94" s="29" t="inlineStr">
        <is>
          <t>濕潤之軀</t>
        </is>
      </c>
      <c r="J94" s="29">
        <f>IFERROR(__xludf.DUMMYFUNCTION("GOOGLETRANSLATE(I94,""zh_HANT"",""zh_HANS"")"),"湿润之躯")</f>
        <v/>
      </c>
      <c r="K94" s="29">
        <f>F94</f>
        <v/>
      </c>
    </row>
    <row r="95">
      <c r="A95" s="29">
        <f>CONCATENATE("NAME_ABILITY_", SUBSTITUTE(UPPER(B95), " ", ""))</f>
        <v/>
      </c>
      <c r="B95" s="29" t="inlineStr">
        <is>
          <t>Solar Power</t>
        </is>
      </c>
      <c r="C95" s="29" t="inlineStr">
        <is>
          <t>サンパワー</t>
        </is>
      </c>
      <c r="D95" s="29" t="inlineStr">
        <is>
          <t>Force Soleil</t>
        </is>
      </c>
      <c r="E95" s="29" t="inlineStr">
        <is>
          <t>Solarkraft</t>
        </is>
      </c>
      <c r="F95" s="29" t="inlineStr">
        <is>
          <t>Poder Solar</t>
        </is>
      </c>
      <c r="G95" s="29" t="inlineStr">
        <is>
          <t>Solarpotere</t>
        </is>
      </c>
      <c r="H95" s="29" t="inlineStr">
        <is>
          <t>선파워</t>
        </is>
      </c>
      <c r="I95" s="29" t="inlineStr">
        <is>
          <t>太陽之力</t>
        </is>
      </c>
      <c r="J95" s="29">
        <f>IFERROR(__xludf.DUMMYFUNCTION("GOOGLETRANSLATE(I95,""zh_HANT"",""zh_HANS"")"),"太阳之力")</f>
        <v/>
      </c>
      <c r="K95" s="29">
        <f>F95</f>
        <v/>
      </c>
    </row>
    <row r="96">
      <c r="A96" s="29">
        <f>CONCATENATE("NAME_ABILITY_", SUBSTITUTE(UPPER(B96), " ", ""))</f>
        <v/>
      </c>
      <c r="B96" s="29" t="inlineStr">
        <is>
          <t>Quick Feet</t>
        </is>
      </c>
      <c r="C96" s="29" t="inlineStr">
        <is>
          <t>はやあし</t>
        </is>
      </c>
      <c r="D96" s="29" t="inlineStr">
        <is>
          <t>Pied Véloce</t>
        </is>
      </c>
      <c r="E96" s="29" t="inlineStr">
        <is>
          <t>Rasanz</t>
        </is>
      </c>
      <c r="F96" s="29" t="inlineStr">
        <is>
          <t>Pies Rápidos</t>
        </is>
      </c>
      <c r="G96" s="29" t="inlineStr">
        <is>
          <t>Piedisvelti</t>
        </is>
      </c>
      <c r="H96" s="29" t="inlineStr">
        <is>
          <t>속보</t>
        </is>
      </c>
      <c r="I96" s="29" t="inlineStr">
        <is>
          <t>飛毛腿</t>
        </is>
      </c>
      <c r="J96" s="29">
        <f>IFERROR(__xludf.DUMMYFUNCTION("GOOGLETRANSLATE(I96,""zh_HANT"",""zh_HANS"")"),"飞毛腿")</f>
        <v/>
      </c>
      <c r="K96" s="29">
        <f>F96</f>
        <v/>
      </c>
    </row>
    <row r="97">
      <c r="A97" s="29">
        <f>CONCATENATE("NAME_ABILITY_", SUBSTITUTE(UPPER(B97), " ", ""))</f>
        <v/>
      </c>
      <c r="B97" s="29" t="inlineStr">
        <is>
          <t>Normalize</t>
        </is>
      </c>
      <c r="C97" s="29" t="inlineStr">
        <is>
          <t>ノーマルスキン</t>
        </is>
      </c>
      <c r="D97" s="29" t="inlineStr">
        <is>
          <t>Normalise</t>
        </is>
      </c>
      <c r="E97" s="29" t="inlineStr">
        <is>
          <t>Regulierung</t>
        </is>
      </c>
      <c r="F97" s="29" t="inlineStr">
        <is>
          <t>Normalidad</t>
        </is>
      </c>
      <c r="G97" s="29" t="inlineStr">
        <is>
          <t>Normalità</t>
        </is>
      </c>
      <c r="H97" s="29" t="inlineStr">
        <is>
          <t>노말스킨</t>
        </is>
      </c>
      <c r="I97" s="29" t="inlineStr">
        <is>
          <t>一般皮膚</t>
        </is>
      </c>
      <c r="J97" s="29">
        <f>IFERROR(__xludf.DUMMYFUNCTION("GOOGLETRANSLATE(I97,""zh_HANT"",""zh_HANS"")"),"一般皮肤")</f>
        <v/>
      </c>
      <c r="K97" s="29">
        <f>F97</f>
        <v/>
      </c>
    </row>
    <row r="98">
      <c r="A98" s="29">
        <f>CONCATENATE("NAME_ABILITY_", SUBSTITUTE(UPPER(B98), " ", ""))</f>
        <v/>
      </c>
      <c r="B98" s="29" t="inlineStr">
        <is>
          <t>Sniper</t>
        </is>
      </c>
      <c r="C98" s="29" t="inlineStr">
        <is>
          <t>スナイパー</t>
        </is>
      </c>
      <c r="D98" s="29" t="inlineStr">
        <is>
          <t>Sniper</t>
        </is>
      </c>
      <c r="E98" s="29" t="inlineStr">
        <is>
          <t>Superschütze</t>
        </is>
      </c>
      <c r="F98" s="29" t="inlineStr">
        <is>
          <t>Francotirador</t>
        </is>
      </c>
      <c r="G98" s="29" t="inlineStr">
        <is>
          <t>Cecchino</t>
        </is>
      </c>
      <c r="H98" s="29" t="inlineStr">
        <is>
          <t>스나이퍼</t>
        </is>
      </c>
      <c r="I98" s="29" t="inlineStr">
        <is>
          <t>狙擊手</t>
        </is>
      </c>
      <c r="J98" s="29">
        <f>IFERROR(__xludf.DUMMYFUNCTION("GOOGLETRANSLATE(I98,""zh_HANT"",""zh_HANS"")"),"狙击手")</f>
        <v/>
      </c>
      <c r="K98" s="29">
        <f>F98</f>
        <v/>
      </c>
    </row>
    <row r="99">
      <c r="A99" s="29">
        <f>CONCATENATE("NAME_ABILITY_", SUBSTITUTE(UPPER(B99), " ", ""))</f>
        <v/>
      </c>
      <c r="B99" s="29" t="inlineStr">
        <is>
          <t>Magic Guard</t>
        </is>
      </c>
      <c r="C99" s="29" t="inlineStr">
        <is>
          <t>マジックガード</t>
        </is>
      </c>
      <c r="D99" s="29" t="inlineStr">
        <is>
          <t>Garde Magik</t>
        </is>
      </c>
      <c r="E99" s="29" t="inlineStr">
        <is>
          <t>Magieschild</t>
        </is>
      </c>
      <c r="F99" s="29" t="inlineStr">
        <is>
          <t>Muro Mágico</t>
        </is>
      </c>
      <c r="G99" s="29" t="inlineStr">
        <is>
          <t>Magicscudo</t>
        </is>
      </c>
      <c r="H99" s="29" t="inlineStr">
        <is>
          <t>매직가드</t>
        </is>
      </c>
      <c r="I99" s="29" t="inlineStr">
        <is>
          <t>魔法防守</t>
        </is>
      </c>
      <c r="J99" s="29">
        <f>I99</f>
        <v/>
      </c>
      <c r="K99" s="29">
        <f>F99</f>
        <v/>
      </c>
    </row>
    <row r="100">
      <c r="A100" s="29">
        <f>CONCATENATE("NAME_ABILITY_", SUBSTITUTE(UPPER(B100), " ", ""))</f>
        <v/>
      </c>
      <c r="B100" s="29" t="inlineStr">
        <is>
          <t>No Guard</t>
        </is>
      </c>
      <c r="C100" s="29" t="inlineStr">
        <is>
          <t>ノーガード</t>
        </is>
      </c>
      <c r="D100" s="29" t="inlineStr">
        <is>
          <t>Annule Garde</t>
        </is>
      </c>
      <c r="E100" s="29" t="inlineStr">
        <is>
          <t>Schildlos</t>
        </is>
      </c>
      <c r="F100" s="29" t="inlineStr">
        <is>
          <t>Indefenso</t>
        </is>
      </c>
      <c r="G100" s="29" t="inlineStr">
        <is>
          <t>Nullodifesa</t>
        </is>
      </c>
      <c r="H100" s="29" t="inlineStr">
        <is>
          <t>노가드</t>
        </is>
      </c>
      <c r="I100" s="29" t="inlineStr">
        <is>
          <t>無防守</t>
        </is>
      </c>
      <c r="J100" s="29">
        <f>IFERROR(__xludf.DUMMYFUNCTION("GOOGLETRANSLATE(I100,""zh_HANT"",""zh_HANS"")"),"无防守")</f>
        <v/>
      </c>
      <c r="K100" s="29">
        <f>F100</f>
        <v/>
      </c>
    </row>
    <row r="101">
      <c r="A101" s="29">
        <f>CONCATENATE("NAME_ABILITY_", SUBSTITUTE(UPPER(B101), " ", ""))</f>
        <v/>
      </c>
      <c r="B101" s="29" t="inlineStr">
        <is>
          <t>Stall</t>
        </is>
      </c>
      <c r="C101" s="29" t="inlineStr">
        <is>
          <t>あとだし</t>
        </is>
      </c>
      <c r="D101" s="29" t="inlineStr">
        <is>
          <t>Frein</t>
        </is>
      </c>
      <c r="E101" s="29" t="inlineStr">
        <is>
          <t>Zeitspiel</t>
        </is>
      </c>
      <c r="F101" s="29" t="inlineStr">
        <is>
          <t>Rezagado</t>
        </is>
      </c>
      <c r="G101" s="29" t="inlineStr">
        <is>
          <t>Rallentatore</t>
        </is>
      </c>
      <c r="H101" s="29" t="inlineStr">
        <is>
          <t>시간벌기</t>
        </is>
      </c>
      <c r="I101" s="29" t="inlineStr">
        <is>
          <t>慢出</t>
        </is>
      </c>
      <c r="J101" s="29">
        <f>I101</f>
        <v/>
      </c>
      <c r="K101" s="29">
        <f>F101</f>
        <v/>
      </c>
    </row>
    <row r="102">
      <c r="A102" s="29">
        <f>CONCATENATE("NAME_ABILITY_", SUBSTITUTE(UPPER(B102), " ", ""))</f>
        <v/>
      </c>
      <c r="B102" s="29" t="inlineStr">
        <is>
          <t>Technician</t>
        </is>
      </c>
      <c r="C102" s="29" t="inlineStr">
        <is>
          <t>テクニシャン</t>
        </is>
      </c>
      <c r="D102" s="29" t="inlineStr">
        <is>
          <t>Technicien</t>
        </is>
      </c>
      <c r="E102" s="29" t="inlineStr">
        <is>
          <t>Techniker</t>
        </is>
      </c>
      <c r="F102" s="29" t="inlineStr">
        <is>
          <t>Experto</t>
        </is>
      </c>
      <c r="G102" s="29" t="inlineStr">
        <is>
          <t>Tecnico</t>
        </is>
      </c>
      <c r="H102" s="29" t="inlineStr">
        <is>
          <t>테크니션</t>
        </is>
      </c>
      <c r="I102" s="29" t="inlineStr">
        <is>
          <t>技術高手</t>
        </is>
      </c>
      <c r="J102" s="29">
        <f>IFERROR(__xludf.DUMMYFUNCTION("GOOGLETRANSLATE(I102,""zh_HANT"",""zh_HANS"")"),"技术高手")</f>
        <v/>
      </c>
      <c r="K102" s="29">
        <f>F102</f>
        <v/>
      </c>
    </row>
    <row r="103">
      <c r="A103" s="29">
        <f>CONCATENATE("NAME_ABILITY_", SUBSTITUTE(UPPER(B103), " ", ""))</f>
        <v/>
      </c>
      <c r="B103" s="29" t="inlineStr">
        <is>
          <t>Leaf Guard</t>
        </is>
      </c>
      <c r="C103" s="29" t="inlineStr">
        <is>
          <t>リーフガード</t>
        </is>
      </c>
      <c r="D103" s="29" t="inlineStr">
        <is>
          <t>Feuille Garde</t>
        </is>
      </c>
      <c r="E103" s="29" t="inlineStr">
        <is>
          <t>Floraschild</t>
        </is>
      </c>
      <c r="F103" s="29" t="inlineStr">
        <is>
          <t>Defensa Hoja</t>
        </is>
      </c>
      <c r="G103" s="29" t="inlineStr">
        <is>
          <t>Fogliamanto</t>
        </is>
      </c>
      <c r="H103" s="29" t="inlineStr">
        <is>
          <t>리프가드</t>
        </is>
      </c>
      <c r="I103" s="29" t="inlineStr">
        <is>
          <t>葉子防守</t>
        </is>
      </c>
      <c r="J103" s="29">
        <f>IFERROR(__xludf.DUMMYFUNCTION("GOOGLETRANSLATE(I103,""zh_HANT"",""zh_HANS"")"),"叶子防守")</f>
        <v/>
      </c>
      <c r="K103" s="29">
        <f>F103</f>
        <v/>
      </c>
    </row>
    <row r="104">
      <c r="A104" s="29">
        <f>CONCATENATE("NAME_ABILITY_", SUBSTITUTE(UPPER(B104), " ", ""))</f>
        <v/>
      </c>
      <c r="B104" s="29" t="inlineStr">
        <is>
          <t>Klutz</t>
        </is>
      </c>
      <c r="C104" s="29" t="inlineStr">
        <is>
          <t>ぶきよう</t>
        </is>
      </c>
      <c r="D104" s="29" t="inlineStr">
        <is>
          <t>Maladresse</t>
        </is>
      </c>
      <c r="E104" s="29" t="inlineStr">
        <is>
          <t>Tollpatsch</t>
        </is>
      </c>
      <c r="F104" s="29" t="inlineStr">
        <is>
          <t>Zoquete</t>
        </is>
      </c>
      <c r="G104" s="29" t="inlineStr">
        <is>
          <t>Impaccio</t>
        </is>
      </c>
      <c r="H104" s="29" t="inlineStr">
        <is>
          <t>서투름</t>
        </is>
      </c>
      <c r="I104" s="29" t="inlineStr">
        <is>
          <t>笨拙</t>
        </is>
      </c>
      <c r="J104" s="29">
        <f>I104</f>
        <v/>
      </c>
      <c r="K104" s="29">
        <f>F104</f>
        <v/>
      </c>
    </row>
    <row r="105">
      <c r="A105" s="29">
        <f>CONCATENATE("NAME_ABILITY_", SUBSTITUTE(UPPER(B105), " ", ""))</f>
        <v/>
      </c>
      <c r="B105" s="29" t="inlineStr">
        <is>
          <t>Mold Breaker</t>
        </is>
      </c>
      <c r="C105" s="29" t="inlineStr">
        <is>
          <t>かたやぶり</t>
        </is>
      </c>
      <c r="D105" s="29" t="inlineStr">
        <is>
          <t>Brise Moule</t>
        </is>
      </c>
      <c r="E105" s="29" t="inlineStr">
        <is>
          <t>Überbrückung</t>
        </is>
      </c>
      <c r="F105" s="29" t="inlineStr">
        <is>
          <t>Rompemoldes</t>
        </is>
      </c>
      <c r="G105" s="29" t="inlineStr">
        <is>
          <t>Rompiforma</t>
        </is>
      </c>
      <c r="H105" s="29" t="inlineStr">
        <is>
          <t>틀깨기</t>
        </is>
      </c>
      <c r="I105" s="29" t="inlineStr">
        <is>
          <t>破格</t>
        </is>
      </c>
      <c r="J105" s="29">
        <f>I105</f>
        <v/>
      </c>
      <c r="K105" s="29">
        <f>F105</f>
        <v/>
      </c>
    </row>
    <row r="106">
      <c r="A106" s="29">
        <f>CONCATENATE("NAME_ABILITY_", SUBSTITUTE(UPPER(B106), " ", ""))</f>
        <v/>
      </c>
      <c r="B106" s="29" t="inlineStr">
        <is>
          <t>Super Luck</t>
        </is>
      </c>
      <c r="C106" s="29" t="inlineStr">
        <is>
          <t>きょううん</t>
        </is>
      </c>
      <c r="D106" s="29" t="inlineStr">
        <is>
          <t>Chanceux</t>
        </is>
      </c>
      <c r="E106" s="29" t="inlineStr">
        <is>
          <t>Glückspilz</t>
        </is>
      </c>
      <c r="F106" s="29" t="inlineStr">
        <is>
          <t>Afortunado</t>
        </is>
      </c>
      <c r="G106" s="29" t="inlineStr">
        <is>
          <t>Supersorte</t>
        </is>
      </c>
      <c r="H106" s="29" t="inlineStr">
        <is>
          <t>대운</t>
        </is>
      </c>
      <c r="I106" s="29" t="inlineStr">
        <is>
          <t>超幸運</t>
        </is>
      </c>
      <c r="J106" s="29">
        <f>IFERROR(__xludf.DUMMYFUNCTION("GOOGLETRANSLATE(I106,""zh_HANT"",""zh_HANS"")"),"超幸运")</f>
        <v/>
      </c>
      <c r="K106" s="29">
        <f>F106</f>
        <v/>
      </c>
    </row>
    <row r="107">
      <c r="A107" s="29">
        <f>CONCATENATE("NAME_ABILITY_", SUBSTITUTE(UPPER(B107), " ", ""))</f>
        <v/>
      </c>
      <c r="B107" s="29" t="inlineStr">
        <is>
          <t>Aftermath</t>
        </is>
      </c>
      <c r="C107" s="29" t="inlineStr">
        <is>
          <t>ゆうばく</t>
        </is>
      </c>
      <c r="D107" s="29" t="inlineStr">
        <is>
          <t>Boom Final</t>
        </is>
      </c>
      <c r="E107" s="29" t="inlineStr">
        <is>
          <t>Finalschlag</t>
        </is>
      </c>
      <c r="F107" s="29" t="inlineStr">
        <is>
          <t>Detonación</t>
        </is>
      </c>
      <c r="G107" s="29" t="inlineStr">
        <is>
          <t>Scoppio</t>
        </is>
      </c>
      <c r="H107" s="29" t="inlineStr">
        <is>
          <t>유폭</t>
        </is>
      </c>
      <c r="I107" s="29" t="inlineStr">
        <is>
          <t>引爆</t>
        </is>
      </c>
      <c r="J107" s="29">
        <f>I107</f>
        <v/>
      </c>
      <c r="K107" s="29">
        <f>F107</f>
        <v/>
      </c>
    </row>
    <row r="108">
      <c r="A108" s="29">
        <f>CONCATENATE("NAME_ABILITY_", SUBSTITUTE(UPPER(B108), " ", ""))</f>
        <v/>
      </c>
      <c r="B108" s="29" t="inlineStr">
        <is>
          <t>Anticipation</t>
        </is>
      </c>
      <c r="C108" s="29" t="inlineStr">
        <is>
          <t>きけんよち</t>
        </is>
      </c>
      <c r="D108" s="29" t="inlineStr">
        <is>
          <t>Anticipation</t>
        </is>
      </c>
      <c r="E108" s="29" t="inlineStr">
        <is>
          <t>Vorahnung</t>
        </is>
      </c>
      <c r="F108" s="29" t="inlineStr">
        <is>
          <t>Anticipación</t>
        </is>
      </c>
      <c r="G108" s="29" t="inlineStr">
        <is>
          <t>Presagio</t>
        </is>
      </c>
      <c r="H108" s="29" t="inlineStr">
        <is>
          <t>위험예지</t>
        </is>
      </c>
      <c r="I108" s="29" t="inlineStr">
        <is>
          <t>危險預知</t>
        </is>
      </c>
      <c r="J108" s="29">
        <f>IFERROR(__xludf.DUMMYFUNCTION("GOOGLETRANSLATE(I108,""zh_HANT"",""zh_HANS"")"),"危险预知")</f>
        <v/>
      </c>
      <c r="K108" s="29">
        <f>F108</f>
        <v/>
      </c>
    </row>
    <row r="109">
      <c r="A109" s="29">
        <f>CONCATENATE("NAME_ABILITY_", SUBSTITUTE(UPPER(B109), " ", ""))</f>
        <v/>
      </c>
      <c r="B109" s="29" t="inlineStr">
        <is>
          <t>Forewarn</t>
        </is>
      </c>
      <c r="C109" s="29" t="inlineStr">
        <is>
          <t>よちむ</t>
        </is>
      </c>
      <c r="D109" s="29" t="inlineStr">
        <is>
          <t>Prédiction</t>
        </is>
      </c>
      <c r="E109" s="29" t="inlineStr">
        <is>
          <t>Vorwarnung</t>
        </is>
      </c>
      <c r="F109" s="29" t="inlineStr">
        <is>
          <t>Alerta</t>
        </is>
      </c>
      <c r="G109" s="29" t="inlineStr">
        <is>
          <t>Premonizione</t>
        </is>
      </c>
      <c r="H109" s="29" t="inlineStr">
        <is>
          <t>예지몽</t>
        </is>
      </c>
      <c r="I109" s="29" t="inlineStr">
        <is>
          <t>預知夢</t>
        </is>
      </c>
      <c r="J109" s="29">
        <f>IFERROR(__xludf.DUMMYFUNCTION("GOOGLETRANSLATE(I109,""zh_HANT"",""zh_HANS"")"),"预知梦")</f>
        <v/>
      </c>
      <c r="K109" s="29">
        <f>F109</f>
        <v/>
      </c>
    </row>
    <row r="110">
      <c r="A110" s="29">
        <f>CONCATENATE("NAME_ABILITY_", SUBSTITUTE(UPPER(B110), " ", ""))</f>
        <v/>
      </c>
      <c r="B110" s="29" t="inlineStr">
        <is>
          <t>Unaware</t>
        </is>
      </c>
      <c r="C110" s="29" t="inlineStr">
        <is>
          <t>てんねん</t>
        </is>
      </c>
      <c r="D110" s="29" t="inlineStr">
        <is>
          <t>Inconscient</t>
        </is>
      </c>
      <c r="E110" s="29" t="inlineStr">
        <is>
          <t>Unkenntnis</t>
        </is>
      </c>
      <c r="F110" s="29" t="inlineStr">
        <is>
          <t>Ignorante</t>
        </is>
      </c>
      <c r="G110" s="29" t="inlineStr">
        <is>
          <t>Imprudenza</t>
        </is>
      </c>
      <c r="H110" s="29" t="inlineStr">
        <is>
          <t>천진</t>
        </is>
      </c>
      <c r="I110" s="29" t="inlineStr">
        <is>
          <t>純樸</t>
        </is>
      </c>
      <c r="J110" s="29">
        <f>IFERROR(__xludf.DUMMYFUNCTION("GOOGLETRANSLATE(I110,""zh_HANT"",""zh_HANS"")"),"纯朴")</f>
        <v/>
      </c>
      <c r="K110" s="29">
        <f>F110</f>
        <v/>
      </c>
    </row>
    <row r="111">
      <c r="A111" s="29">
        <f>CONCATENATE("NAME_ABILITY_", SUBSTITUTE(UPPER(B111), " ", ""))</f>
        <v/>
      </c>
      <c r="B111" s="29" t="inlineStr">
        <is>
          <t>Tint Lens</t>
        </is>
      </c>
      <c r="C111" s="29" t="inlineStr">
        <is>
          <t>いろめがね</t>
        </is>
      </c>
      <c r="D111" s="29" t="inlineStr">
        <is>
          <t>Lentiteintée</t>
        </is>
      </c>
      <c r="E111" s="29" t="inlineStr">
        <is>
          <t>Finalschlag</t>
        </is>
      </c>
      <c r="F111" s="29" t="inlineStr">
        <is>
          <t>Cromolente</t>
        </is>
      </c>
      <c r="G111" s="29" t="inlineStr">
        <is>
          <t>Scoppio</t>
        </is>
      </c>
      <c r="H111" s="29" t="inlineStr">
        <is>
          <t>색안경</t>
        </is>
      </c>
      <c r="I111" s="29" t="inlineStr">
        <is>
          <t>有色眼鏡</t>
        </is>
      </c>
      <c r="J111" s="29">
        <f>IFERROR(__xludf.DUMMYFUNCTION("GOOGLETRANSLATE(I111,""zh_HANT"",""zh_HANS"")"),"有色眼镜")</f>
        <v/>
      </c>
      <c r="K111" s="29">
        <f>F111</f>
        <v/>
      </c>
    </row>
    <row r="112">
      <c r="A112" s="29">
        <f>CONCATENATE("NAME_ABILITY_", SUBSTITUTE(UPPER(B112), " ", ""))</f>
        <v/>
      </c>
      <c r="B112" s="29" t="inlineStr">
        <is>
          <t>Filter</t>
        </is>
      </c>
      <c r="C112" s="29" t="inlineStr">
        <is>
          <t>フィルター</t>
        </is>
      </c>
      <c r="D112" s="29" t="inlineStr">
        <is>
          <t>Filtre</t>
        </is>
      </c>
      <c r="E112" s="29">
        <f>B112</f>
        <v/>
      </c>
      <c r="F112" s="29" t="inlineStr">
        <is>
          <t>Filtro</t>
        </is>
      </c>
      <c r="G112" s="29">
        <f>F112</f>
        <v/>
      </c>
      <c r="H112" s="29" t="inlineStr">
        <is>
          <t>필터</t>
        </is>
      </c>
      <c r="I112" s="29" t="inlineStr">
        <is>
          <t>過濾</t>
        </is>
      </c>
      <c r="J112" s="29">
        <f>IFERROR(__xludf.DUMMYFUNCTION("GOOGLETRANSLATE(I112,""zh_HANT"",""zh_HANS"")"),"过滤")</f>
        <v/>
      </c>
      <c r="K112" s="29">
        <f>F112</f>
        <v/>
      </c>
    </row>
    <row r="113">
      <c r="A113" s="29">
        <f>CONCATENATE("NAME_ABILITY_", SUBSTITUTE(UPPER(B113), " ", ""))</f>
        <v/>
      </c>
      <c r="B113" s="29" t="inlineStr">
        <is>
          <t>Slow Start</t>
        </is>
      </c>
      <c r="C113" s="29" t="inlineStr">
        <is>
          <t>スロールスタート</t>
        </is>
      </c>
      <c r="D113" s="29" t="inlineStr">
        <is>
          <t>Début Calme</t>
        </is>
      </c>
      <c r="E113" s="29" t="inlineStr">
        <is>
          <t>Saumselig</t>
        </is>
      </c>
      <c r="F113" s="29" t="inlineStr">
        <is>
          <t>Inicio Lento</t>
        </is>
      </c>
      <c r="G113" s="29" t="inlineStr">
        <is>
          <t>Lentoinizio</t>
        </is>
      </c>
      <c r="H113" s="29" t="inlineStr">
        <is>
          <t>슬로스타트</t>
        </is>
      </c>
      <c r="I113" s="29" t="inlineStr">
        <is>
          <t>慢啟動</t>
        </is>
      </c>
      <c r="J113" s="29">
        <f>IFERROR(__xludf.DUMMYFUNCTION("GOOGLETRANSLATE(I113,""zh_HANT"",""zh_HANS"")"),"慢启动")</f>
        <v/>
      </c>
      <c r="K113" s="29">
        <f>F113</f>
        <v/>
      </c>
    </row>
    <row r="114">
      <c r="A114" s="29">
        <f>CONCATENATE("NAME_ABILITY_", SUBSTITUTE(UPPER(B114), " ", ""))</f>
        <v/>
      </c>
      <c r="B114" s="29" t="inlineStr">
        <is>
          <t>Scrappy</t>
        </is>
      </c>
      <c r="C114" s="29" t="inlineStr">
        <is>
          <t>きもったま</t>
        </is>
      </c>
      <c r="D114" s="29" t="inlineStr">
        <is>
          <t>Querelleur</t>
        </is>
      </c>
      <c r="E114" s="29" t="inlineStr">
        <is>
          <t>Rauflust</t>
        </is>
      </c>
      <c r="F114" s="29" t="inlineStr">
        <is>
          <t>Intrépido</t>
        </is>
      </c>
      <c r="G114" s="29" t="inlineStr">
        <is>
          <t>Nervisaldi</t>
        </is>
      </c>
      <c r="H114" s="29" t="inlineStr">
        <is>
          <t>배짱</t>
        </is>
      </c>
      <c r="I114" s="29" t="inlineStr">
        <is>
          <t>膽量</t>
        </is>
      </c>
      <c r="J114" s="29">
        <f>IFERROR(__xludf.DUMMYFUNCTION("GOOGLETRANSLATE(I114,""zh_HANT"",""zh_HANS"")"),"胆量")</f>
        <v/>
      </c>
      <c r="K114" s="29">
        <f>F114</f>
        <v/>
      </c>
    </row>
    <row r="115">
      <c r="A115" s="29">
        <f>CONCATENATE("NAME_ABILITY_", SUBSTITUTE(UPPER(B115), " ", ""))</f>
        <v/>
      </c>
      <c r="B115" s="29" t="inlineStr">
        <is>
          <t>Storm Drain</t>
        </is>
      </c>
      <c r="C115" s="29" t="inlineStr">
        <is>
          <t>よびみず</t>
        </is>
      </c>
      <c r="D115" s="29" t="inlineStr">
        <is>
          <t>Lavabo</t>
        </is>
      </c>
      <c r="E115" s="29" t="inlineStr">
        <is>
          <t>Sturmsog</t>
        </is>
      </c>
      <c r="F115" s="29" t="inlineStr">
        <is>
          <t>Colector</t>
        </is>
      </c>
      <c r="G115" s="29" t="inlineStr">
        <is>
          <t>Acquascolo</t>
        </is>
      </c>
      <c r="H115" s="29" t="inlineStr">
        <is>
          <t>마중물</t>
        </is>
      </c>
      <c r="I115" s="29" t="inlineStr">
        <is>
          <t>引水</t>
        </is>
      </c>
      <c r="J115" s="29">
        <f>I115</f>
        <v/>
      </c>
      <c r="K115" s="29">
        <f>F115</f>
        <v/>
      </c>
    </row>
    <row r="116">
      <c r="A116" s="29">
        <f>CONCATENATE("NAME_ABILITY_", SUBSTITUTE(UPPER(B116), " ", ""))</f>
        <v/>
      </c>
      <c r="B116" s="29" t="inlineStr">
        <is>
          <t>Ice Body</t>
        </is>
      </c>
      <c r="C116" s="29" t="inlineStr">
        <is>
          <t>アイスボヂィ</t>
        </is>
      </c>
      <c r="D116" s="29" t="inlineStr">
        <is>
          <t>Corps Gel</t>
        </is>
      </c>
      <c r="E116" s="29" t="inlineStr">
        <is>
          <t>Eishaut</t>
        </is>
      </c>
      <c r="F116" s="29" t="inlineStr">
        <is>
          <t>Gélido</t>
        </is>
      </c>
      <c r="G116" s="29" t="inlineStr">
        <is>
          <t>Corpogelo</t>
        </is>
      </c>
      <c r="H116" s="29" t="inlineStr">
        <is>
          <t>아이스바디</t>
        </is>
      </c>
      <c r="I116" s="29" t="inlineStr">
        <is>
          <t>冰凍之軀</t>
        </is>
      </c>
      <c r="J116" s="29">
        <f>IFERROR(__xludf.DUMMYFUNCTION("GOOGLETRANSLATE(I116,""zh_HANT"",""zh_HANS"")"),"冰冻之躯")</f>
        <v/>
      </c>
      <c r="K116" s="29">
        <f>F116</f>
        <v/>
      </c>
    </row>
    <row r="117">
      <c r="A117" s="29">
        <f>CONCATENATE("NAME_ABILITY_", SUBSTITUTE(UPPER(B117), " ", ""))</f>
        <v/>
      </c>
      <c r="B117" s="29" t="inlineStr">
        <is>
          <t>Solid Rock</t>
        </is>
      </c>
      <c r="C117" s="29" t="inlineStr">
        <is>
          <t>ハードロック</t>
        </is>
      </c>
      <c r="D117" s="29" t="inlineStr">
        <is>
          <t>Solide Roc</t>
        </is>
      </c>
      <c r="E117" s="29" t="inlineStr">
        <is>
          <t>Felskern</t>
        </is>
      </c>
      <c r="F117" s="29" t="inlineStr">
        <is>
          <t>Roca Sólida</t>
        </is>
      </c>
      <c r="G117" s="29" t="inlineStr">
        <is>
          <t>Solidroccia</t>
        </is>
      </c>
      <c r="H117" s="29" t="inlineStr">
        <is>
          <t>하드록</t>
        </is>
      </c>
      <c r="I117" s="29" t="inlineStr">
        <is>
          <t>堅硬岩石</t>
        </is>
      </c>
      <c r="J117" s="29">
        <f>IFERROR(__xludf.DUMMYFUNCTION("GOOGLETRANSLATE(I117,""zh_HANT"",""zh_HANS"")"),"坚硬岩石")</f>
        <v/>
      </c>
      <c r="K117" s="29">
        <f>F117</f>
        <v/>
      </c>
    </row>
    <row r="118">
      <c r="A118" s="29">
        <f>CONCATENATE("NAME_ABILITY_", SUBSTITUTE(UPPER(B118), " ", ""))</f>
        <v/>
      </c>
      <c r="B118" s="29" t="inlineStr">
        <is>
          <t>Snow Warning</t>
        </is>
      </c>
      <c r="C118" s="29" t="inlineStr">
        <is>
          <t>ゆきふらし</t>
        </is>
      </c>
      <c r="D118" s="29" t="inlineStr">
        <is>
          <t>Alerte Neige</t>
        </is>
      </c>
      <c r="E118" s="29" t="inlineStr">
        <is>
          <t>Hagelalarm</t>
        </is>
      </c>
      <c r="F118" s="29" t="inlineStr">
        <is>
          <t>Nevada</t>
        </is>
      </c>
      <c r="G118" s="29" t="inlineStr">
        <is>
          <t>Scendineve</t>
        </is>
      </c>
      <c r="H118" s="29" t="inlineStr">
        <is>
          <t>눈퍼뜨리기</t>
        </is>
      </c>
      <c r="I118" s="29" t="inlineStr">
        <is>
          <t>降雪</t>
        </is>
      </c>
      <c r="J118" s="29">
        <f>I118</f>
        <v/>
      </c>
      <c r="K118" s="29">
        <f>F118</f>
        <v/>
      </c>
    </row>
    <row r="119">
      <c r="A119" s="29">
        <f>CONCATENATE("NAME_ABILITY_", SUBSTITUTE(UPPER(B119), " ", ""))</f>
        <v/>
      </c>
      <c r="B119" s="29" t="inlineStr">
        <is>
          <t>Honey Gather</t>
        </is>
      </c>
      <c r="C119" s="29" t="inlineStr">
        <is>
          <t>みつあつめ</t>
        </is>
      </c>
      <c r="D119" s="29" t="inlineStr">
        <is>
          <t>Cherche Miel</t>
        </is>
      </c>
      <c r="E119" s="29" t="inlineStr">
        <is>
          <t>Honigmaul</t>
        </is>
      </c>
      <c r="F119" s="29" t="inlineStr">
        <is>
          <t>Recogemiel</t>
        </is>
      </c>
      <c r="G119" s="29" t="inlineStr">
        <is>
          <t>Mielincetta</t>
        </is>
      </c>
      <c r="H119" s="29" t="inlineStr">
        <is>
          <t>꿀모으기</t>
        </is>
      </c>
      <c r="I119" s="29" t="inlineStr">
        <is>
          <t>採蜜</t>
        </is>
      </c>
      <c r="J119" s="29">
        <f>IFERROR(__xludf.DUMMYFUNCTION("GOOGLETRANSLATE(I119,""zh_HANT"",""zh_HANS"")"),"采蜜")</f>
        <v/>
      </c>
      <c r="K119" s="29">
        <f>F119</f>
        <v/>
      </c>
    </row>
    <row r="120">
      <c r="A120" s="29">
        <f>CONCATENATE("NAME_ABILITY_", SUBSTITUTE(UPPER(B120), " ", ""))</f>
        <v/>
      </c>
      <c r="B120" s="29" t="inlineStr">
        <is>
          <t>Frisk</t>
        </is>
      </c>
      <c r="C120" s="29" t="inlineStr">
        <is>
          <t>おみとおし</t>
        </is>
      </c>
      <c r="D120" s="29" t="inlineStr">
        <is>
          <t>Fouille</t>
        </is>
      </c>
      <c r="E120" s="29" t="inlineStr">
        <is>
          <t>Schnüffler</t>
        </is>
      </c>
      <c r="F120" s="29" t="inlineStr">
        <is>
          <t>Cacheo</t>
        </is>
      </c>
      <c r="G120" s="29" t="inlineStr">
        <is>
          <t>Indagine</t>
        </is>
      </c>
      <c r="H120" s="29" t="inlineStr">
        <is>
          <t>통찰</t>
        </is>
      </c>
      <c r="I120" s="29" t="inlineStr">
        <is>
          <t>察覺</t>
        </is>
      </c>
      <c r="J120" s="29">
        <f>IFERROR(__xludf.DUMMYFUNCTION("GOOGLETRANSLATE(I120,""zh_HANT"",""zh_HANS"")"),"察觉")</f>
        <v/>
      </c>
      <c r="K120" s="29">
        <f>F120</f>
        <v/>
      </c>
    </row>
    <row r="121">
      <c r="A121" s="29">
        <f>CONCATENATE("NAME_ABILITY_", SUBSTITUTE(UPPER(B121), " ", ""))</f>
        <v/>
      </c>
      <c r="B121" s="29" t="inlineStr">
        <is>
          <t>Reckless</t>
        </is>
      </c>
      <c r="C121" s="29" t="inlineStr">
        <is>
          <t>すてみ</t>
        </is>
      </c>
      <c r="D121" s="29" t="inlineStr">
        <is>
          <t>Téméraire</t>
        </is>
      </c>
      <c r="E121" s="29" t="inlineStr">
        <is>
          <t>Atchlos</t>
        </is>
      </c>
      <c r="F121" s="29" t="inlineStr">
        <is>
          <t>Audaz</t>
        </is>
      </c>
      <c r="G121" s="29" t="inlineStr">
        <is>
          <t>Temerarietà</t>
        </is>
      </c>
      <c r="H121" s="29" t="inlineStr">
        <is>
          <t>이판사판</t>
        </is>
      </c>
      <c r="I121" s="29" t="inlineStr">
        <is>
          <t>捨身</t>
        </is>
      </c>
      <c r="J121" s="29">
        <f>IFERROR(__xludf.DUMMYFUNCTION("GOOGLETRANSLATE(I121,""zh_HANT"",""zh_HANS"")"),"舍身")</f>
        <v/>
      </c>
      <c r="K121" s="29">
        <f>F121</f>
        <v/>
      </c>
    </row>
    <row r="122">
      <c r="A122" s="29">
        <f>CONCATENATE("NAME_ABILITY_", SUBSTITUTE(UPPER(B122), " ", ""))</f>
        <v/>
      </c>
      <c r="B122" s="29" t="inlineStr">
        <is>
          <t>Multitype</t>
        </is>
      </c>
      <c r="C122" s="29" t="inlineStr">
        <is>
          <t>マルチタイプ</t>
        </is>
      </c>
      <c r="D122" s="29" t="inlineStr">
        <is>
          <t>Multitype</t>
        </is>
      </c>
      <c r="E122" s="29" t="inlineStr">
        <is>
          <t>Variabilität</t>
        </is>
      </c>
      <c r="F122" s="29" t="inlineStr">
        <is>
          <t>Multitipo</t>
        </is>
      </c>
      <c r="G122" s="29">
        <f>F122</f>
        <v/>
      </c>
      <c r="H122" s="29" t="inlineStr">
        <is>
          <t>멀티타입</t>
        </is>
      </c>
      <c r="I122" s="29" t="inlineStr">
        <is>
          <t>多屬性</t>
        </is>
      </c>
      <c r="J122" s="29">
        <f>IFERROR(__xludf.DUMMYFUNCTION("GOOGLETRANSLATE(I122,""zh_HANT"",""zh_HANS"")"),"多属性")</f>
        <v/>
      </c>
      <c r="K122" s="29">
        <f>F122</f>
        <v/>
      </c>
    </row>
    <row r="123">
      <c r="A123" s="29">
        <f>CONCATENATE("NAME_ABILITY_", SUBSTITUTE(UPPER(B123), " ", ""))</f>
        <v/>
      </c>
      <c r="B123" s="29" t="inlineStr">
        <is>
          <t>Flower Gift</t>
        </is>
      </c>
      <c r="C123" s="29" t="inlineStr">
        <is>
          <t>フラワーギフト</t>
        </is>
      </c>
      <c r="D123" s="29" t="inlineStr">
        <is>
          <t>Don Floral</t>
        </is>
      </c>
      <c r="E123" s="29" t="inlineStr">
        <is>
          <t>Pflanzengabe</t>
        </is>
      </c>
      <c r="F123" s="29" t="inlineStr">
        <is>
          <t>Don Floral</t>
        </is>
      </c>
      <c r="G123" s="29" t="inlineStr">
        <is>
          <t>Regalfiore</t>
        </is>
      </c>
      <c r="H123" s="29" t="inlineStr">
        <is>
          <t>플라워기프트</t>
        </is>
      </c>
      <c r="I123" s="29" t="inlineStr">
        <is>
          <t>花之禮</t>
        </is>
      </c>
      <c r="J123" s="29">
        <f>IFERROR(__xludf.DUMMYFUNCTION("GOOGLETRANSLATE(I123,""zh_HANT"",""zh_HANS"")"),"花之礼")</f>
        <v/>
      </c>
      <c r="K123" s="29">
        <f>F123</f>
        <v/>
      </c>
    </row>
    <row r="124">
      <c r="A124" s="29">
        <f>CONCATENATE("NAME_ABILITY_", SUBSTITUTE(UPPER(B124), " ", ""))</f>
        <v/>
      </c>
      <c r="B124" s="29" t="inlineStr">
        <is>
          <t>Bad Dreams</t>
        </is>
      </c>
      <c r="C124" s="29" t="inlineStr">
        <is>
          <t>ナイトメア</t>
        </is>
      </c>
      <c r="D124" s="29" t="inlineStr">
        <is>
          <t>Mauvais Rêve</t>
        </is>
      </c>
      <c r="E124" s="29" t="inlineStr">
        <is>
          <t>Alptraum</t>
        </is>
      </c>
      <c r="F124" s="29" t="inlineStr">
        <is>
          <t>Mal Sueño</t>
        </is>
      </c>
      <c r="G124" s="29" t="inlineStr">
        <is>
          <t>Sogniamari</t>
        </is>
      </c>
      <c r="H124" s="29" t="inlineStr">
        <is>
          <t>나이트메어</t>
        </is>
      </c>
      <c r="I124" s="29" t="inlineStr">
        <is>
          <t>夢魘</t>
        </is>
      </c>
      <c r="J124" s="29">
        <f>IFERROR(__xludf.DUMMYFUNCTION("GOOGLETRANSLATE(I124,""zh_HANT"",""zh_HANS"")"),"梦魇")</f>
        <v/>
      </c>
      <c r="K124" s="29">
        <f>F124</f>
        <v/>
      </c>
    </row>
    <row r="125">
      <c r="A125" s="29">
        <f>CONCATENATE("NAME_ABILITY_", SUBSTITUTE(UPPER(B125), " ", ""))</f>
        <v/>
      </c>
      <c r="B125" s="29" t="inlineStr">
        <is>
          <t>Pickpocket</t>
        </is>
      </c>
      <c r="C125" s="29" t="inlineStr">
        <is>
          <t>わるいてぐせ</t>
        </is>
      </c>
      <c r="D125" s="29" t="inlineStr">
        <is>
          <t>Pickpocket</t>
        </is>
      </c>
      <c r="E125" s="29" t="inlineStr">
        <is>
          <t>Langfinger</t>
        </is>
      </c>
      <c r="F125" s="29" t="inlineStr">
        <is>
          <t>Hurto</t>
        </is>
      </c>
      <c r="G125" s="29" t="inlineStr">
        <is>
          <t>Arraffalesto</t>
        </is>
      </c>
      <c r="H125" s="29" t="inlineStr">
        <is>
          <t>나쁜손버릇</t>
        </is>
      </c>
      <c r="I125" s="29" t="inlineStr">
        <is>
          <t>順手牽羊</t>
        </is>
      </c>
      <c r="J125" s="29">
        <f>IFERROR(__xludf.DUMMYFUNCTION("GOOGLETRANSLATE(I125,""zh_HANT"",""zh_HANS"")"),"顺手牵羊")</f>
        <v/>
      </c>
      <c r="K125" s="29">
        <f>F125</f>
        <v/>
      </c>
    </row>
    <row r="126">
      <c r="A126" s="29">
        <f>CONCATENATE("NAME_ABILITY_", SUBSTITUTE(UPPER(B126), " ", ""))</f>
        <v/>
      </c>
      <c r="B126" s="29" t="inlineStr">
        <is>
          <t>Sheer Force</t>
        </is>
      </c>
      <c r="C126" s="29" t="inlineStr">
        <is>
          <t>ちからずく</t>
        </is>
      </c>
      <c r="D126" s="29" t="inlineStr">
        <is>
          <t>Sans Limite</t>
        </is>
      </c>
      <c r="E126" s="29" t="inlineStr">
        <is>
          <t>Rohe Gewalt</t>
        </is>
      </c>
      <c r="F126" s="29" t="inlineStr">
        <is>
          <t>Potencia Bruta</t>
        </is>
      </c>
      <c r="G126" s="29" t="inlineStr">
        <is>
          <t>Forzabruta</t>
        </is>
      </c>
      <c r="H126" s="29" t="inlineStr">
        <is>
          <t>우격다짐</t>
        </is>
      </c>
      <c r="I126" s="29" t="inlineStr">
        <is>
          <t>強行</t>
        </is>
      </c>
      <c r="J126" s="29">
        <f>IFERROR(__xludf.DUMMYFUNCTION("GOOGLETRANSLATE(I126,""zh_HANT"",""zh_HANS"")"),"强行")</f>
        <v/>
      </c>
      <c r="K126" s="29">
        <f>F126</f>
        <v/>
      </c>
    </row>
    <row r="127">
      <c r="A127" s="29">
        <f>CONCATENATE("NAME_ABILITY_", SUBSTITUTE(UPPER(B127), " ", ""))</f>
        <v/>
      </c>
      <c r="B127" s="29" t="inlineStr">
        <is>
          <t>Contrary</t>
        </is>
      </c>
      <c r="C127" s="29" t="inlineStr">
        <is>
          <t>あまのじゃく</t>
        </is>
      </c>
      <c r="D127" s="29" t="inlineStr">
        <is>
          <t>Contestation</t>
        </is>
      </c>
      <c r="E127" s="29" t="inlineStr">
        <is>
          <t>Umkehrung</t>
        </is>
      </c>
      <c r="F127" s="29" t="inlineStr">
        <is>
          <t>Respondón</t>
        </is>
      </c>
      <c r="G127" s="29" t="inlineStr">
        <is>
          <t>Respondón</t>
        </is>
      </c>
      <c r="H127" s="29" t="inlineStr">
        <is>
          <t>심술꾸러기</t>
        </is>
      </c>
      <c r="I127" s="29" t="inlineStr">
        <is>
          <t>唱反調</t>
        </is>
      </c>
      <c r="J127" s="29">
        <f>IFERROR(__xludf.DUMMYFUNCTION("GOOGLETRANSLATE(I127,""zh_HANT"",""zh_HANS"")"),"唱反调")</f>
        <v/>
      </c>
      <c r="K127" s="29">
        <f>F127</f>
        <v/>
      </c>
    </row>
    <row r="128">
      <c r="A128" s="29">
        <f>CONCATENATE("NAME_ABILITY_", SUBSTITUTE(UPPER(B128), " ", ""))</f>
        <v/>
      </c>
      <c r="B128" s="29" t="inlineStr">
        <is>
          <t>Unnerve</t>
        </is>
      </c>
      <c r="C128" s="29" t="inlineStr">
        <is>
          <t>きんちょうかん</t>
        </is>
      </c>
      <c r="D128" s="29" t="inlineStr">
        <is>
          <t>Tension</t>
        </is>
      </c>
      <c r="E128" s="29" t="inlineStr">
        <is>
          <t>Anspannung</t>
        </is>
      </c>
      <c r="F128" s="29" t="inlineStr">
        <is>
          <t>Nerviosismo</t>
        </is>
      </c>
      <c r="G128" s="29" t="inlineStr">
        <is>
          <t>Agitazione</t>
        </is>
      </c>
      <c r="H128" s="29" t="inlineStr">
        <is>
          <t>긴장감</t>
        </is>
      </c>
      <c r="I128" s="29" t="inlineStr">
        <is>
          <t>緊張感</t>
        </is>
      </c>
      <c r="J128" s="29">
        <f>IFERROR(__xludf.DUMMYFUNCTION("GOOGLETRANSLATE(I128,""zh_HANT"",""zh_HANS"")"),"紧张感")</f>
        <v/>
      </c>
      <c r="K128" s="29">
        <f>F128</f>
        <v/>
      </c>
    </row>
    <row r="129">
      <c r="A129" s="29">
        <f>CONCATENATE("NAME_ABILITY_", SUBSTITUTE(UPPER(B129), " ", ""))</f>
        <v/>
      </c>
      <c r="B129" s="29" t="inlineStr">
        <is>
          <t>Defiant</t>
        </is>
      </c>
      <c r="C129" s="29" t="inlineStr">
        <is>
          <t>まけんき</t>
        </is>
      </c>
      <c r="D129" s="29" t="inlineStr">
        <is>
          <t>Acharné</t>
        </is>
      </c>
      <c r="E129" s="29" t="inlineStr">
        <is>
          <t>Seigeswille</t>
        </is>
      </c>
      <c r="F129" s="29" t="inlineStr">
        <is>
          <t>Competitivo</t>
        </is>
      </c>
      <c r="G129" s="29" t="inlineStr">
        <is>
          <t>Agonismo</t>
        </is>
      </c>
      <c r="H129" s="29" t="inlineStr">
        <is>
          <t>오기</t>
        </is>
      </c>
      <c r="I129" s="29" t="inlineStr">
        <is>
          <t>不服輸</t>
        </is>
      </c>
      <c r="J129" s="29">
        <f>IFERROR(__xludf.DUMMYFUNCTION("GOOGLETRANSLATE(I129,""zh_HANT"",""zh_HANS"")"),"不服输")</f>
        <v/>
      </c>
      <c r="K129" s="29">
        <f>F129</f>
        <v/>
      </c>
    </row>
    <row r="130">
      <c r="A130" s="29">
        <f>CONCATENATE("NAME_ABILITY_", SUBSTITUTE(UPPER(B130), " ", ""))</f>
        <v/>
      </c>
      <c r="B130" s="29" t="inlineStr">
        <is>
          <t>Defeatist</t>
        </is>
      </c>
      <c r="C130" s="29" t="inlineStr">
        <is>
          <t>よわき</t>
        </is>
      </c>
      <c r="D130" s="29" t="inlineStr">
        <is>
          <t>Défaitiste</t>
        </is>
      </c>
      <c r="E130" s="29" t="inlineStr">
        <is>
          <t>Schwächling</t>
        </is>
      </c>
      <c r="F130" s="29" t="inlineStr">
        <is>
          <t>Flaqueza</t>
        </is>
      </c>
      <c r="G130" s="29" t="inlineStr">
        <is>
          <t>Sconforto</t>
        </is>
      </c>
      <c r="H130" s="29" t="inlineStr">
        <is>
          <t>무기력</t>
        </is>
      </c>
      <c r="I130" s="29" t="inlineStr">
        <is>
          <t>軟弱</t>
        </is>
      </c>
      <c r="J130" s="29">
        <f>IFERROR(__xludf.DUMMYFUNCTION("GOOGLETRANSLATE(I130,""zh_HANT"",""zh_HANS"")"),"软弱")</f>
        <v/>
      </c>
      <c r="K130" s="29">
        <f>F130</f>
        <v/>
      </c>
    </row>
    <row r="131">
      <c r="A131" s="29">
        <f>CONCATENATE("NAME_ABILITY_", SUBSTITUTE(UPPER(B131), " ", ""))</f>
        <v/>
      </c>
      <c r="B131" s="29" t="inlineStr">
        <is>
          <t>Cursed Body</t>
        </is>
      </c>
      <c r="C131" s="29" t="inlineStr">
        <is>
          <t>のろわれボヂィ</t>
        </is>
      </c>
      <c r="D131" s="29" t="inlineStr">
        <is>
          <t>Corps Maudit</t>
        </is>
      </c>
      <c r="E131" s="29" t="inlineStr">
        <is>
          <t>Tastfluch</t>
        </is>
      </c>
      <c r="F131" s="29" t="inlineStr">
        <is>
          <t>Cuerpo Maldito</t>
        </is>
      </c>
      <c r="G131" s="29" t="inlineStr">
        <is>
          <t>Corpofunesto</t>
        </is>
      </c>
      <c r="H131" s="29" t="inlineStr">
        <is>
          <t>저주받은바디</t>
        </is>
      </c>
      <c r="I131" s="29" t="inlineStr">
        <is>
          <t>詛咒之軀</t>
        </is>
      </c>
      <c r="J131" s="29">
        <f>IFERROR(__xludf.DUMMYFUNCTION("GOOGLETRANSLATE(I131,""zh_HANT"",""zh_HANS"")"),"诅咒之躯")</f>
        <v/>
      </c>
      <c r="K131" s="29">
        <f>F131</f>
        <v/>
      </c>
    </row>
    <row r="132">
      <c r="A132" s="29">
        <f>CONCATENATE("NAME_ABILITY_", SUBSTITUTE(UPPER(B132), " ", ""))</f>
        <v/>
      </c>
      <c r="B132" s="29" t="inlineStr">
        <is>
          <t>Healer</t>
        </is>
      </c>
      <c r="C132" s="29" t="inlineStr">
        <is>
          <t>いやしのこころ</t>
        </is>
      </c>
      <c r="D132" s="29" t="inlineStr">
        <is>
          <t>Cœur Soin</t>
        </is>
      </c>
      <c r="E132" s="29" t="inlineStr">
        <is>
          <t>Heilherz</t>
        </is>
      </c>
      <c r="F132" s="29" t="inlineStr">
        <is>
          <t>Alma Cura</t>
        </is>
      </c>
      <c r="G132" s="29" t="inlineStr">
        <is>
          <t>Curacuore</t>
        </is>
      </c>
      <c r="H132" s="29" t="inlineStr">
        <is>
          <t>치유의마음</t>
        </is>
      </c>
      <c r="I132" s="29" t="inlineStr">
        <is>
          <t>治癒之心</t>
        </is>
      </c>
      <c r="J132" s="29">
        <f>IFERROR(__xludf.DUMMYFUNCTION("GOOGLETRANSLATE(I132,""zh_HANT"",""zh_HANS"")"),"治愈之心")</f>
        <v/>
      </c>
      <c r="K132" s="29">
        <f>F132</f>
        <v/>
      </c>
    </row>
    <row r="133">
      <c r="A133" s="29">
        <f>CONCATENATE("NAME_ABILITY_", SUBSTITUTE(UPPER(B133), " ", ""))</f>
        <v/>
      </c>
      <c r="B133" s="29" t="inlineStr">
        <is>
          <t>Friend Guard</t>
        </is>
      </c>
      <c r="C133" s="29" t="inlineStr">
        <is>
          <t>フレンドガード</t>
        </is>
      </c>
      <c r="D133" s="29" t="inlineStr">
        <is>
          <t>Garde Amie</t>
        </is>
      </c>
      <c r="E133" s="29" t="inlineStr">
        <is>
          <t>Freundeshut</t>
        </is>
      </c>
      <c r="F133" s="29" t="inlineStr">
        <is>
          <t>Compiescolta</t>
        </is>
      </c>
      <c r="G133" s="29" t="inlineStr">
        <is>
          <t>Amicoscudo</t>
        </is>
      </c>
      <c r="H133" s="29" t="inlineStr">
        <is>
          <t>프렌드가드</t>
        </is>
      </c>
      <c r="I133" s="29" t="inlineStr">
        <is>
          <t>友情防守</t>
        </is>
      </c>
      <c r="J133" s="29">
        <f>I133</f>
        <v/>
      </c>
      <c r="K133" s="29">
        <f>F133</f>
        <v/>
      </c>
    </row>
    <row r="134">
      <c r="A134" s="29">
        <f>CONCATENATE("NAME_ABILITY_", SUBSTITUTE(UPPER(B134), " ", ""))</f>
        <v/>
      </c>
      <c r="B134" s="29" t="inlineStr">
        <is>
          <t>Weak Armor</t>
        </is>
      </c>
      <c r="C134" s="29" t="inlineStr">
        <is>
          <t>くだけるよろい</t>
        </is>
      </c>
      <c r="D134" s="29" t="inlineStr">
        <is>
          <t>Armurouillée</t>
        </is>
      </c>
      <c r="E134" s="29" t="inlineStr">
        <is>
          <t>Bruchrüstung</t>
        </is>
      </c>
      <c r="F134" s="29" t="inlineStr">
        <is>
          <t>Armadura Frágil</t>
        </is>
      </c>
      <c r="G134" s="29" t="inlineStr">
        <is>
          <t>Sottilguscio</t>
        </is>
      </c>
      <c r="H134" s="29" t="inlineStr">
        <is>
          <t>깨어진갑옷</t>
        </is>
      </c>
      <c r="I134" s="29" t="inlineStr">
        <is>
          <t>碎裂鎧甲</t>
        </is>
      </c>
      <c r="J134" s="29">
        <f>IFERROR(__xludf.DUMMYFUNCTION("GOOGLETRANSLATE(I134,""zh_HANT"",""zh_HANS"")"),"碎裂铠甲")</f>
        <v/>
      </c>
      <c r="K134" s="29">
        <f>F134</f>
        <v/>
      </c>
    </row>
    <row r="135">
      <c r="A135" s="29">
        <f>CONCATENATE("NAME_ABILITY_", SUBSTITUTE(UPPER(B135), " ", ""))</f>
        <v/>
      </c>
      <c r="B135" s="29" t="inlineStr">
        <is>
          <t>Heavy Metal</t>
        </is>
      </c>
      <c r="C135" s="29" t="inlineStr">
        <is>
          <t>ヘヴィメタル</t>
        </is>
      </c>
      <c r="D135" s="29" t="inlineStr">
        <is>
          <t>Heavy Metal</t>
        </is>
      </c>
      <c r="E135" s="29" t="inlineStr">
        <is>
          <t>Schwermetall</t>
        </is>
      </c>
      <c r="F135" s="29" t="inlineStr">
        <is>
          <t>Metal Pesado</t>
        </is>
      </c>
      <c r="G135" s="29" t="inlineStr">
        <is>
          <t>Metalpesante</t>
        </is>
      </c>
      <c r="H135" s="29" t="inlineStr">
        <is>
          <t>헤비메탈</t>
        </is>
      </c>
      <c r="I135" s="29" t="inlineStr">
        <is>
          <t>輕金屬</t>
        </is>
      </c>
      <c r="J135" s="29">
        <f>IFERROR(__xludf.DUMMYFUNCTION("GOOGLETRANSLATE(I135,""zh_HANT"",""zh_HANS"")"),"轻金属")</f>
        <v/>
      </c>
      <c r="K135" s="29">
        <f>F135</f>
        <v/>
      </c>
    </row>
    <row r="136">
      <c r="A136" s="29">
        <f>CONCATENATE("NAME_ABILITY_", SUBSTITUTE(UPPER(B136), " ", ""))</f>
        <v/>
      </c>
      <c r="B136" s="29" t="inlineStr">
        <is>
          <t>Light Metal</t>
        </is>
      </c>
      <c r="C136" s="29" t="inlineStr">
        <is>
          <t>ライトメタル</t>
        </is>
      </c>
      <c r="D136" s="29" t="inlineStr">
        <is>
          <t>Light Metal</t>
        </is>
      </c>
      <c r="E136" s="29" t="inlineStr">
        <is>
          <t>Leichtmetall</t>
        </is>
      </c>
      <c r="F136" s="29" t="inlineStr">
        <is>
          <t>Metal Liviano</t>
        </is>
      </c>
      <c r="G136" s="29" t="inlineStr">
        <is>
          <t>Metalleggero</t>
        </is>
      </c>
      <c r="H136" s="29" t="inlineStr">
        <is>
          <t>라이트메탈</t>
        </is>
      </c>
      <c r="I136" s="29" t="inlineStr">
        <is>
          <t>輕金屬</t>
        </is>
      </c>
      <c r="J136" s="29">
        <f>IFERROR(__xludf.DUMMYFUNCTION("GOOGLETRANSLATE(I136,""zh_HANT"",""zh_HANS"")"),"轻金属")</f>
        <v/>
      </c>
      <c r="K136" s="29">
        <f>F136</f>
        <v/>
      </c>
    </row>
    <row r="137">
      <c r="A137" s="29">
        <f>CONCATENATE("NAME_ABILITY_", SUBSTITUTE(UPPER(B137), " ", ""))</f>
        <v/>
      </c>
      <c r="B137" s="29" t="inlineStr">
        <is>
          <t>Multiscale</t>
        </is>
      </c>
      <c r="C137" s="29" t="inlineStr">
        <is>
          <t>マルチスケイル</t>
        </is>
      </c>
      <c r="D137" s="29" t="inlineStr">
        <is>
          <t>Multiécaille</t>
        </is>
      </c>
      <c r="E137" s="29" t="inlineStr">
        <is>
          <t>Multischuppe</t>
        </is>
      </c>
      <c r="F137" s="29" t="inlineStr">
        <is>
          <t>Multiescamas</t>
        </is>
      </c>
      <c r="G137" s="29" t="inlineStr">
        <is>
          <t>Multisquame</t>
        </is>
      </c>
      <c r="H137" s="29" t="inlineStr">
        <is>
          <t>멀티스케일</t>
        </is>
      </c>
      <c r="I137" s="29" t="inlineStr">
        <is>
          <t>多重鱗片</t>
        </is>
      </c>
      <c r="J137" s="29">
        <f>IFERROR(__xludf.DUMMYFUNCTION("GOOGLETRANSLATE(I137,""zh_HANT"",""zh_HANS"")"),"多重鳞片")</f>
        <v/>
      </c>
      <c r="K137" s="29">
        <f>F137</f>
        <v/>
      </c>
    </row>
    <row r="138">
      <c r="A138" s="29">
        <f>CONCATENATE("NAME_ABILITY_", SUBSTITUTE(UPPER(B138), " ", ""))</f>
        <v/>
      </c>
      <c r="B138" s="29" t="inlineStr">
        <is>
          <t>Toxic Boost</t>
        </is>
      </c>
      <c r="C138" s="29" t="inlineStr">
        <is>
          <t>どくぼうそう</t>
        </is>
      </c>
      <c r="D138" s="29" t="inlineStr">
        <is>
          <t>Rage Poison</t>
        </is>
      </c>
      <c r="E138" s="29" t="inlineStr">
        <is>
          <t>Giftwahn</t>
        </is>
      </c>
      <c r="F138" s="29" t="inlineStr">
        <is>
          <t>Ímpetu Tóxico</t>
        </is>
      </c>
      <c r="G138" s="29" t="inlineStr">
        <is>
          <t>Velenimpeto</t>
        </is>
      </c>
      <c r="H138" s="29" t="inlineStr">
        <is>
          <t>독폭주</t>
        </is>
      </c>
      <c r="I138" s="29" t="inlineStr">
        <is>
          <t>中毒激升</t>
        </is>
      </c>
      <c r="J138" s="29">
        <f>I138</f>
        <v/>
      </c>
      <c r="K138" s="29">
        <f>F138</f>
        <v/>
      </c>
    </row>
    <row r="139">
      <c r="A139" s="29">
        <f>CONCATENATE("NAME_ABILITY_", SUBSTITUTE(UPPER(B139), " ", ""))</f>
        <v/>
      </c>
      <c r="B139" s="29" t="inlineStr">
        <is>
          <t>Flare Boost</t>
        </is>
      </c>
      <c r="C139" s="29" t="inlineStr">
        <is>
          <t>ねつぼうそう</t>
        </is>
      </c>
      <c r="D139" s="29" t="inlineStr">
        <is>
          <t>Rage Brûlure</t>
        </is>
      </c>
      <c r="E139" s="29" t="inlineStr">
        <is>
          <t>Hitzewahn</t>
        </is>
      </c>
      <c r="F139" s="29" t="inlineStr">
        <is>
          <t>Ímpetu Ardiente</t>
        </is>
      </c>
      <c r="G139" s="29" t="inlineStr">
        <is>
          <t>Bruciaimpeto</t>
        </is>
      </c>
      <c r="H139" s="29" t="inlineStr">
        <is>
          <t>열폭주</t>
        </is>
      </c>
      <c r="I139" s="29" t="inlineStr">
        <is>
          <t>受熱激升</t>
        </is>
      </c>
      <c r="J139" s="29">
        <f>IFERROR(__xludf.DUMMYFUNCTION("GOOGLETRANSLATE(I139,""zh_HANT"",""zh_HANS"")"),"受热激升")</f>
        <v/>
      </c>
      <c r="K139" s="29">
        <f>F139</f>
        <v/>
      </c>
    </row>
    <row r="140">
      <c r="A140" s="29">
        <f>CONCATENATE("NAME_ABILITY_", SUBSTITUTE(UPPER(B140), " ", ""))</f>
        <v/>
      </c>
      <c r="B140" s="29" t="inlineStr">
        <is>
          <t>Harvest</t>
        </is>
      </c>
      <c r="C140" s="29" t="inlineStr">
        <is>
          <t>しゅうかく</t>
        </is>
      </c>
      <c r="D140" s="29" t="inlineStr">
        <is>
          <t>Récolte</t>
        </is>
      </c>
      <c r="E140" s="29" t="inlineStr">
        <is>
          <t>Reiche Ernte</t>
        </is>
      </c>
      <c r="F140" s="29" t="inlineStr">
        <is>
          <t>Cosecha</t>
        </is>
      </c>
      <c r="G140" s="29" t="inlineStr">
        <is>
          <t>Coglibacche</t>
        </is>
      </c>
      <c r="H140" s="29" t="inlineStr">
        <is>
          <t>수확</t>
        </is>
      </c>
      <c r="I140" s="29" t="inlineStr">
        <is>
          <t>收穫</t>
        </is>
      </c>
      <c r="J140" s="29">
        <f>IFERROR(__xludf.DUMMYFUNCTION("GOOGLETRANSLATE(I140,""zh_HANT"",""zh_HANS"")"),"收获")</f>
        <v/>
      </c>
      <c r="K140" s="29">
        <f>F140</f>
        <v/>
      </c>
    </row>
    <row r="141">
      <c r="A141" s="29">
        <f>CONCATENATE("NAME_ABILITY_", SUBSTITUTE(UPPER(B141), " ", ""))</f>
        <v/>
      </c>
      <c r="B141" s="29" t="inlineStr">
        <is>
          <t>Telepathy</t>
        </is>
      </c>
      <c r="C141" s="29" t="inlineStr">
        <is>
          <t>テリパシー</t>
        </is>
      </c>
      <c r="D141" s="29" t="inlineStr">
        <is>
          <t>Télépathie</t>
        </is>
      </c>
      <c r="E141" s="29" t="inlineStr">
        <is>
          <t>Telepathie</t>
        </is>
      </c>
      <c r="F141" s="29" t="inlineStr">
        <is>
          <t>Telepatía</t>
        </is>
      </c>
      <c r="G141" s="29" t="inlineStr">
        <is>
          <t>Telepatia</t>
        </is>
      </c>
      <c r="H141" s="29" t="inlineStr">
        <is>
          <t>텔레파시</t>
        </is>
      </c>
      <c r="I141" s="29" t="inlineStr">
        <is>
          <t>心靈感應</t>
        </is>
      </c>
      <c r="J141" s="29">
        <f>IFERROR(__xludf.DUMMYFUNCTION("GOOGLETRANSLATE(I141,""zh_HANT"",""zh_HANS"")"),"心灵感应")</f>
        <v/>
      </c>
      <c r="K141" s="29">
        <f>F141</f>
        <v/>
      </c>
    </row>
    <row r="142">
      <c r="A142" s="29">
        <f>CONCATENATE("NAME_ABILITY_", SUBSTITUTE(UPPER(B142), " ", ""))</f>
        <v/>
      </c>
      <c r="B142" s="29" t="inlineStr">
        <is>
          <t>Moody</t>
        </is>
      </c>
      <c r="C142" s="29" t="inlineStr">
        <is>
          <t>ムラっけ</t>
        </is>
      </c>
      <c r="D142" s="29" t="inlineStr">
        <is>
          <t>Lunatique</t>
        </is>
      </c>
      <c r="E142" s="29" t="inlineStr">
        <is>
          <t>Gefühlswippe</t>
        </is>
      </c>
      <c r="F142" s="29" t="inlineStr">
        <is>
          <t>Veleta</t>
        </is>
      </c>
      <c r="G142" s="29" t="inlineStr">
        <is>
          <t>Altalena</t>
        </is>
      </c>
      <c r="H142" s="29" t="inlineStr">
        <is>
          <t>변덕쟁이</t>
        </is>
      </c>
      <c r="I142" s="29" t="inlineStr">
        <is>
          <t>心情不定</t>
        </is>
      </c>
      <c r="J142" s="29">
        <f>I142</f>
        <v/>
      </c>
      <c r="K142" s="29">
        <f>F142</f>
        <v/>
      </c>
    </row>
    <row r="143">
      <c r="A143" s="29">
        <f>CONCATENATE("NAME_ABILITY_", SUBSTITUTE(UPPER(B143), " ", ""))</f>
        <v/>
      </c>
      <c r="B143" s="29" t="inlineStr">
        <is>
          <t>Overcoat</t>
        </is>
      </c>
      <c r="C143" s="29" t="inlineStr">
        <is>
          <t>ぼうじん</t>
        </is>
      </c>
      <c r="D143" s="29" t="inlineStr">
        <is>
          <t>Envelocape</t>
        </is>
      </c>
      <c r="E143" s="29" t="inlineStr">
        <is>
          <t>Wetterfest</t>
        </is>
      </c>
      <c r="F143" s="29" t="inlineStr">
        <is>
          <t>Funda</t>
        </is>
      </c>
      <c r="G143" s="29" t="inlineStr">
        <is>
          <t>Copricapo</t>
        </is>
      </c>
      <c r="H143" s="29" t="inlineStr">
        <is>
          <t>방진</t>
        </is>
      </c>
      <c r="I143" s="29" t="inlineStr">
        <is>
          <t>防塵</t>
        </is>
      </c>
      <c r="J143" s="29">
        <f>IFERROR(__xludf.DUMMYFUNCTION("GOOGLETRANSLATE(I143,""zh_HANT"",""zh_HANS"")"),"防尘")</f>
        <v/>
      </c>
      <c r="K143" s="29">
        <f>F143</f>
        <v/>
      </c>
    </row>
    <row r="144">
      <c r="A144" s="29">
        <f>CONCATENATE("NAME_ABILITY_", SUBSTITUTE(UPPER(B144), " ", ""))</f>
        <v/>
      </c>
      <c r="B144" s="29" t="inlineStr">
        <is>
          <t>Poison Touch</t>
        </is>
      </c>
      <c r="C144" s="29" t="inlineStr">
        <is>
          <t>どくしゅ</t>
        </is>
      </c>
      <c r="D144" s="29" t="inlineStr">
        <is>
          <t>Toxitouche</t>
        </is>
      </c>
      <c r="E144" s="29" t="inlineStr">
        <is>
          <t>Giftgriff</t>
        </is>
      </c>
      <c r="F144" s="29" t="inlineStr">
        <is>
          <t>Toque Tóxico</t>
        </is>
      </c>
      <c r="G144" s="29" t="inlineStr">
        <is>
          <t>Velentocco</t>
        </is>
      </c>
      <c r="H144" s="29" t="inlineStr">
        <is>
          <t>독수</t>
        </is>
      </c>
      <c r="I144" s="29" t="inlineStr">
        <is>
          <t>毒手</t>
        </is>
      </c>
      <c r="J144" s="29">
        <f>I144</f>
        <v/>
      </c>
      <c r="K144" s="29">
        <f>F144</f>
        <v/>
      </c>
    </row>
    <row r="145">
      <c r="A145" s="29">
        <f>CONCATENATE("NAME_ABILITY_", SUBSTITUTE(UPPER(B145), " ", ""))</f>
        <v/>
      </c>
      <c r="B145" s="29" t="inlineStr">
        <is>
          <t>Regenerator</t>
        </is>
      </c>
      <c r="C145" s="29" t="inlineStr">
        <is>
          <t>さいせいりょく</t>
        </is>
      </c>
      <c r="D145" s="29" t="inlineStr">
        <is>
          <t>Régé-Force</t>
        </is>
      </c>
      <c r="E145" s="29" t="inlineStr">
        <is>
          <t>Belebekraft</t>
        </is>
      </c>
      <c r="F145" s="29" t="inlineStr">
        <is>
          <t>Regeneración</t>
        </is>
      </c>
      <c r="G145" s="29" t="inlineStr">
        <is>
          <t>Rigenergia</t>
        </is>
      </c>
      <c r="H145" s="29" t="inlineStr">
        <is>
          <t>재생력</t>
        </is>
      </c>
      <c r="I145" s="29" t="inlineStr">
        <is>
          <t>再生力</t>
        </is>
      </c>
      <c r="J145" s="29">
        <f>I145</f>
        <v/>
      </c>
      <c r="K145" s="29">
        <f>F145</f>
        <v/>
      </c>
    </row>
    <row r="146">
      <c r="A146" s="29">
        <f>CONCATENATE("NAME_ABILITY_", SUBSTITUTE(UPPER(B146), " ", ""))</f>
        <v/>
      </c>
      <c r="B146" s="29" t="inlineStr">
        <is>
          <t>Big Pecks</t>
        </is>
      </c>
      <c r="C146" s="29" t="inlineStr">
        <is>
          <t>はとむね</t>
        </is>
      </c>
      <c r="D146" s="29" t="inlineStr">
        <is>
          <t>Cœur de Coq</t>
        </is>
      </c>
      <c r="E146" s="29" t="inlineStr">
        <is>
          <t>Brustbieter</t>
        </is>
      </c>
      <c r="F146" s="29" t="inlineStr">
        <is>
          <t>Sacapecho</t>
        </is>
      </c>
      <c r="G146" s="29" t="inlineStr">
        <is>
          <t>Pettinfuori</t>
        </is>
      </c>
      <c r="H146" s="29" t="inlineStr">
        <is>
          <t>부풀린가슴</t>
        </is>
      </c>
      <c r="I146" s="29" t="inlineStr">
        <is>
          <t>健壯胸肌</t>
        </is>
      </c>
      <c r="J146" s="29">
        <f>IFERROR(__xludf.DUMMYFUNCTION("GOOGLETRANSLATE(I146,""zh_HANT"",""zh_HANS"")"),"健壮胸肌")</f>
        <v/>
      </c>
      <c r="K146" s="29">
        <f>F146</f>
        <v/>
      </c>
    </row>
    <row r="147">
      <c r="A147" s="29">
        <f>CONCATENATE("NAME_ABILITY_", SUBSTITUTE(UPPER(B147), " ", ""))</f>
        <v/>
      </c>
      <c r="B147" s="29" t="inlineStr">
        <is>
          <t>Sand Rush</t>
        </is>
      </c>
      <c r="C147" s="29" t="inlineStr">
        <is>
          <t>すなかき</t>
        </is>
      </c>
      <c r="D147" s="29" t="inlineStr">
        <is>
          <t>Baigne Sable</t>
        </is>
      </c>
      <c r="E147" s="29" t="inlineStr">
        <is>
          <t>Sandscharrer</t>
        </is>
      </c>
      <c r="F147" s="29" t="inlineStr">
        <is>
          <t>Ímpetu Arena</t>
        </is>
      </c>
      <c r="G147" s="29" t="inlineStr">
        <is>
          <t>Remasabbia</t>
        </is>
      </c>
      <c r="H147" s="29" t="inlineStr">
        <is>
          <t>모래헤치기</t>
        </is>
      </c>
      <c r="I147" s="29" t="inlineStr">
        <is>
          <t>撥沙</t>
        </is>
      </c>
      <c r="J147" s="29">
        <f>IFERROR(__xludf.DUMMYFUNCTION("GOOGLETRANSLATE(I147,""zh_HANT"",""zh_HANS"")"),"拨沙")</f>
        <v/>
      </c>
      <c r="K147" s="29">
        <f>F147</f>
        <v/>
      </c>
    </row>
    <row r="148">
      <c r="A148" s="29">
        <f>CONCATENATE("NAME_ABILITY_", SUBSTITUTE(UPPER(B148), " ", ""))</f>
        <v/>
      </c>
      <c r="B148" s="29" t="inlineStr">
        <is>
          <t>Wonder Skin</t>
        </is>
      </c>
      <c r="C148" s="29" t="inlineStr">
        <is>
          <t>ミラクルスキン</t>
        </is>
      </c>
      <c r="D148" s="29" t="inlineStr">
        <is>
          <t>Peau Miracle</t>
        </is>
      </c>
      <c r="E148" s="29" t="inlineStr">
        <is>
          <t>Wunderhaut</t>
        </is>
      </c>
      <c r="F148" s="29" t="inlineStr">
        <is>
          <t>Piel Milagro</t>
        </is>
      </c>
      <c r="G148" s="29" t="inlineStr">
        <is>
          <t>Splendicute</t>
        </is>
      </c>
      <c r="H148" s="29" t="inlineStr">
        <is>
          <t>미라클스킨</t>
        </is>
      </c>
      <c r="I148" s="29" t="inlineStr">
        <is>
          <t>奇跡皮膚</t>
        </is>
      </c>
      <c r="J148" s="29">
        <f>IFERROR(__xludf.DUMMYFUNCTION("GOOGLETRANSLATE(I148,""zh_HANT"",""zh_HANS"")"),"奇迹皮肤")</f>
        <v/>
      </c>
      <c r="K148" s="29">
        <f>F148</f>
        <v/>
      </c>
    </row>
    <row r="149">
      <c r="A149" s="29">
        <f>CONCATENATE("NAME_ABILITY_", SUBSTITUTE(UPPER(B149), " ", ""))</f>
        <v/>
      </c>
      <c r="B149" s="29" t="inlineStr">
        <is>
          <t>Analytic</t>
        </is>
      </c>
      <c r="C149" s="29" t="inlineStr">
        <is>
          <t>アナライズ</t>
        </is>
      </c>
      <c r="D149" s="29" t="inlineStr">
        <is>
          <t>Analyste</t>
        </is>
      </c>
      <c r="E149" s="29" t="inlineStr">
        <is>
          <t>Analyse</t>
        </is>
      </c>
      <c r="F149" s="29" t="inlineStr">
        <is>
          <t>Cálculo Final</t>
        </is>
      </c>
      <c r="G149" s="29" t="inlineStr">
        <is>
          <t>Ponderazione</t>
        </is>
      </c>
      <c r="H149" s="29" t="inlineStr">
        <is>
          <t>애널라이즈</t>
        </is>
      </c>
      <c r="I149" s="29" t="inlineStr">
        <is>
          <t>分析</t>
        </is>
      </c>
      <c r="J149" s="29">
        <f>I149</f>
        <v/>
      </c>
      <c r="K149" s="29">
        <f>F149</f>
        <v/>
      </c>
    </row>
    <row r="150">
      <c r="A150" s="29">
        <f>CONCATENATE("NAME_ABILITY_", SUBSTITUTE(UPPER(B150), " ", ""))</f>
        <v/>
      </c>
      <c r="B150" s="29" t="inlineStr">
        <is>
          <t>Illusion</t>
        </is>
      </c>
      <c r="C150" s="29" t="inlineStr">
        <is>
          <t>イリューション</t>
        </is>
      </c>
      <c r="D150" s="29" t="inlineStr">
        <is>
          <t>Illusion</t>
        </is>
      </c>
      <c r="E150" s="29" t="inlineStr">
        <is>
          <t>Trugbild</t>
        </is>
      </c>
      <c r="F150" s="29" t="inlineStr">
        <is>
          <t>Ilusión</t>
        </is>
      </c>
      <c r="G150" s="29">
        <f>CONCATENATE(B150,"e")</f>
        <v/>
      </c>
      <c r="H150" s="29" t="inlineStr">
        <is>
          <t>일루전</t>
        </is>
      </c>
      <c r="I150" s="29" t="inlineStr">
        <is>
          <t>幻覺</t>
        </is>
      </c>
      <c r="J150" s="29">
        <f>IFERROR(__xludf.DUMMYFUNCTION("GOOGLETRANSLATE(I150,""zh_HANT"",""zh_HANS"")"),"幻觉")</f>
        <v/>
      </c>
      <c r="K150" s="29">
        <f>F150</f>
        <v/>
      </c>
    </row>
    <row r="151">
      <c r="A151" s="29">
        <f>CONCATENATE("NAME_ABILITY_", SUBSTITUTE(UPPER(B151), " ", ""))</f>
        <v/>
      </c>
      <c r="B151" s="29" t="inlineStr">
        <is>
          <t>Imposter</t>
        </is>
      </c>
      <c r="C151" s="29" t="inlineStr">
        <is>
          <t>きわりもの</t>
        </is>
      </c>
      <c r="D151" s="29" t="inlineStr">
        <is>
          <t>Imposteur</t>
        </is>
      </c>
      <c r="E151" s="29" t="inlineStr">
        <is>
          <t>Doppelgänger</t>
        </is>
      </c>
      <c r="F151" s="29" t="inlineStr">
        <is>
          <t>Impostor</t>
        </is>
      </c>
      <c r="G151" s="29" t="inlineStr">
        <is>
          <t>Sosia</t>
        </is>
      </c>
      <c r="H151" s="29" t="inlineStr">
        <is>
          <t>괴짜</t>
        </is>
      </c>
      <c r="I151" s="29" t="inlineStr">
        <is>
          <t>變身者</t>
        </is>
      </c>
      <c r="J151" s="29">
        <f>IFERROR(__xludf.DUMMYFUNCTION("GOOGLETRANSLATE(I151,""zh_HANT"",""zh_HANS"")"),"变身者")</f>
        <v/>
      </c>
      <c r="K151" s="29">
        <f>F151</f>
        <v/>
      </c>
    </row>
    <row r="152">
      <c r="A152" s="29">
        <f>CONCATENATE("NAME_ABILITY_", SUBSTITUTE(UPPER(B152), " ", ""))</f>
        <v/>
      </c>
      <c r="B152" s="29" t="inlineStr">
        <is>
          <t>Infiltrator</t>
        </is>
      </c>
      <c r="C152" s="29" t="inlineStr">
        <is>
          <t>すりぬけ</t>
        </is>
      </c>
      <c r="D152" s="29" t="inlineStr">
        <is>
          <t>Infiltration</t>
        </is>
      </c>
      <c r="E152" s="29" t="inlineStr">
        <is>
          <t>Schwebedurch</t>
        </is>
      </c>
      <c r="F152" s="29" t="inlineStr">
        <is>
          <t>Allanamiento</t>
        </is>
      </c>
      <c r="G152" s="29" t="inlineStr">
        <is>
          <t>Intrapasso</t>
        </is>
      </c>
      <c r="H152" s="29" t="inlineStr">
        <is>
          <t>틈새포착</t>
        </is>
      </c>
      <c r="I152" s="29" t="inlineStr">
        <is>
          <t>穿透</t>
        </is>
      </c>
      <c r="J152" s="29">
        <f>I152</f>
        <v/>
      </c>
      <c r="K152" s="29">
        <f>F152</f>
        <v/>
      </c>
    </row>
    <row r="153">
      <c r="A153" s="29">
        <f>CONCATENATE("NAME_ABILITY_", SUBSTITUTE(UPPER(B153), " ", ""))</f>
        <v/>
      </c>
      <c r="B153" s="29" t="inlineStr">
        <is>
          <t>Mummy</t>
        </is>
      </c>
      <c r="C153" s="29" t="inlineStr">
        <is>
          <t>ミイラ</t>
        </is>
      </c>
      <c r="D153" s="29" t="inlineStr">
        <is>
          <t>Momie</t>
        </is>
      </c>
      <c r="E153" s="29" t="inlineStr">
        <is>
          <t>Mumie</t>
        </is>
      </c>
      <c r="F153" s="29" t="inlineStr">
        <is>
          <t>Momia</t>
        </is>
      </c>
      <c r="G153" s="29" t="inlineStr">
        <is>
          <t>Mummia</t>
        </is>
      </c>
      <c r="H153" s="29" t="inlineStr">
        <is>
          <t>미라</t>
        </is>
      </c>
      <c r="I153" s="29" t="inlineStr">
        <is>
          <t>木乃伊</t>
        </is>
      </c>
      <c r="J153" s="29">
        <f>I153</f>
        <v/>
      </c>
      <c r="K153" s="29">
        <f>F153</f>
        <v/>
      </c>
    </row>
    <row r="154">
      <c r="A154" s="29">
        <f>CONCATENATE("NAME_ABILITY_", SUBSTITUTE(UPPER(B154), " ", ""))</f>
        <v/>
      </c>
      <c r="B154" s="29" t="inlineStr">
        <is>
          <t>Moxie</t>
        </is>
      </c>
      <c r="C154" s="29" t="inlineStr">
        <is>
          <t>じしんかじょう</t>
        </is>
      </c>
      <c r="D154" s="29" t="inlineStr">
        <is>
          <t>Impudence</t>
        </is>
      </c>
      <c r="E154" s="29" t="inlineStr">
        <is>
          <t>Hochmut</t>
        </is>
      </c>
      <c r="F154" s="29" t="inlineStr">
        <is>
          <t>Autoestima</t>
        </is>
      </c>
      <c r="G154" s="29" t="inlineStr">
        <is>
          <t>Arroganza</t>
        </is>
      </c>
      <c r="H154" s="29" t="inlineStr">
        <is>
          <t>자기과신</t>
        </is>
      </c>
      <c r="I154" s="29" t="inlineStr">
        <is>
          <t>自信過度</t>
        </is>
      </c>
      <c r="J154" s="29">
        <f>IFERROR(__xludf.DUMMYFUNCTION("GOOGLETRANSLATE(I154,""zh_HANT"",""zh_HANS"")"),"自信过度")</f>
        <v/>
      </c>
      <c r="K154" s="29">
        <f>F154</f>
        <v/>
      </c>
    </row>
    <row r="155">
      <c r="A155" s="29">
        <f>CONCATENATE("NAME_ABILITY_", SUBSTITUTE(UPPER(B155), " ", ""))</f>
        <v/>
      </c>
      <c r="B155" s="29" t="inlineStr">
        <is>
          <t>Justified</t>
        </is>
      </c>
      <c r="C155" s="29" t="inlineStr">
        <is>
          <t>せいぎのこころ</t>
        </is>
      </c>
      <c r="D155" s="29" t="inlineStr">
        <is>
          <t>Cœur Noble</t>
        </is>
      </c>
      <c r="E155" s="29" t="inlineStr">
        <is>
          <t>Redlichkeit</t>
        </is>
      </c>
      <c r="F155" s="29" t="inlineStr">
        <is>
          <t>Justiciero</t>
        </is>
      </c>
      <c r="G155" s="29" t="inlineStr">
        <is>
          <t>Giustizia</t>
        </is>
      </c>
      <c r="H155" s="29" t="inlineStr">
        <is>
          <t>정의의마음</t>
        </is>
      </c>
      <c r="I155" s="29" t="inlineStr">
        <is>
          <t>正義之心</t>
        </is>
      </c>
      <c r="J155" s="29">
        <f>IFERROR(__xludf.DUMMYFUNCTION("GOOGLETRANSLATE(I155,""zh_HANT"",""zh_HANS"")"),"正义之心")</f>
        <v/>
      </c>
      <c r="K155" s="29">
        <f>F155</f>
        <v/>
      </c>
    </row>
    <row r="156">
      <c r="A156" s="29">
        <f>CONCATENATE("NAME_ABILITY_", SUBSTITUTE(UPPER(B156), " ", ""))</f>
        <v/>
      </c>
      <c r="B156" s="29" t="inlineStr">
        <is>
          <t>Rattled</t>
        </is>
      </c>
      <c r="C156" s="29" t="inlineStr">
        <is>
          <t>びびり</t>
        </is>
      </c>
      <c r="D156" s="29" t="inlineStr">
        <is>
          <t>Phobique</t>
        </is>
      </c>
      <c r="E156" s="29" t="inlineStr">
        <is>
          <t>Hasenfuß</t>
        </is>
      </c>
      <c r="F156" s="29" t="inlineStr">
        <is>
          <t>Cobardía</t>
        </is>
      </c>
      <c r="G156" s="29" t="inlineStr">
        <is>
          <t>Paura</t>
        </is>
      </c>
      <c r="H156" s="29" t="inlineStr">
        <is>
          <t>주눅</t>
        </is>
      </c>
      <c r="I156" s="29" t="inlineStr">
        <is>
          <t>膽怯</t>
        </is>
      </c>
      <c r="J156" s="29">
        <f>IFERROR(__xludf.DUMMYFUNCTION("GOOGLETRANSLATE(I156,""zh_HANT"",""zh_HANS"")"),"胆怯")</f>
        <v/>
      </c>
      <c r="K156" s="29">
        <f>F156</f>
        <v/>
      </c>
    </row>
    <row r="157">
      <c r="A157" s="29">
        <f>CONCATENATE("NAME_ABILITY_", SUBSTITUTE(UPPER(B157), " ", ""))</f>
        <v/>
      </c>
      <c r="B157" s="29" t="inlineStr">
        <is>
          <t>Magic Bounce</t>
        </is>
      </c>
      <c r="C157" s="29" t="inlineStr">
        <is>
          <t>マジックミラー</t>
        </is>
      </c>
      <c r="D157" s="29" t="inlineStr">
        <is>
          <t>Miroir Magik</t>
        </is>
      </c>
      <c r="E157" s="29" t="inlineStr">
        <is>
          <t>Magiespiegel</t>
        </is>
      </c>
      <c r="F157" s="29" t="inlineStr">
        <is>
          <t>Espejo Mágico</t>
        </is>
      </c>
      <c r="G157" s="29" t="inlineStr">
        <is>
          <t>Magispecchio</t>
        </is>
      </c>
      <c r="H157" s="29" t="inlineStr">
        <is>
          <t>매직미러</t>
        </is>
      </c>
      <c r="I157" s="29" t="inlineStr">
        <is>
          <t>魔法鏡</t>
        </is>
      </c>
      <c r="J157" s="29">
        <f>IFERROR(__xludf.DUMMYFUNCTION("GOOGLETRANSLATE(I157,""zh_HANT"",""zh_HANS"")"),"魔法镜")</f>
        <v/>
      </c>
      <c r="K157" s="29">
        <f>F157</f>
        <v/>
      </c>
    </row>
    <row r="158">
      <c r="A158" s="29">
        <f>CONCATENATE("NAME_ABILITY_", SUBSTITUTE(UPPER(B158), " ", ""))</f>
        <v/>
      </c>
      <c r="B158" s="29" t="inlineStr">
        <is>
          <t>Sap Sipper</t>
        </is>
      </c>
      <c r="C158" s="29" t="inlineStr">
        <is>
          <t>そうしょく</t>
        </is>
      </c>
      <c r="D158" s="29" t="inlineStr">
        <is>
          <t>Herbivore</t>
        </is>
      </c>
      <c r="E158" s="29" t="inlineStr">
        <is>
          <t>Vegetarier</t>
        </is>
      </c>
      <c r="F158" s="29" t="inlineStr">
        <is>
          <t>Herbívoro</t>
        </is>
      </c>
      <c r="G158" s="29" t="inlineStr">
        <is>
          <t>Mangiaerba</t>
        </is>
      </c>
      <c r="H158" s="29" t="inlineStr">
        <is>
          <t>초식</t>
        </is>
      </c>
      <c r="I158" s="29" t="inlineStr">
        <is>
          <t>食草</t>
        </is>
      </c>
      <c r="J158" s="29">
        <f>I158</f>
        <v/>
      </c>
      <c r="K158" s="29">
        <f>F158</f>
        <v/>
      </c>
    </row>
    <row r="159">
      <c r="A159" s="29">
        <f>CONCATENATE("NAME_ABILITY_", SUBSTITUTE(UPPER(B159), " ", ""))</f>
        <v/>
      </c>
      <c r="B159" s="29" t="inlineStr">
        <is>
          <t>Prankster</t>
        </is>
      </c>
      <c r="C159" s="29" t="inlineStr">
        <is>
          <t>いたずらごころ</t>
        </is>
      </c>
      <c r="D159" s="29" t="inlineStr">
        <is>
          <t>Farceur</t>
        </is>
      </c>
      <c r="E159" s="29" t="inlineStr">
        <is>
          <t>Strolch</t>
        </is>
      </c>
      <c r="F159" s="29" t="inlineStr">
        <is>
          <t>Bromista</t>
        </is>
      </c>
      <c r="G159" s="29" t="inlineStr">
        <is>
          <t>Burla</t>
        </is>
      </c>
      <c r="H159" s="29" t="inlineStr">
        <is>
          <t>짓궂은마음</t>
        </is>
      </c>
      <c r="I159" s="29" t="inlineStr">
        <is>
          <t>惡作劇之心</t>
        </is>
      </c>
      <c r="J159" s="29">
        <f>IFERROR(__xludf.DUMMYFUNCTION("GOOGLETRANSLATE(I159,""zh_HANT"",""zh_HANS"")"),"恶作剧之心")</f>
        <v/>
      </c>
      <c r="K159" s="29">
        <f>F159</f>
        <v/>
      </c>
    </row>
    <row r="160">
      <c r="A160" s="29">
        <f>CONCATENATE("NAME_ABILITY_", SUBSTITUTE(UPPER(B160), " ", ""))</f>
        <v/>
      </c>
      <c r="B160" s="29" t="inlineStr">
        <is>
          <t>Sand Force</t>
        </is>
      </c>
      <c r="C160" s="29" t="inlineStr">
        <is>
          <t>すなのちから</t>
        </is>
      </c>
      <c r="D160" s="29" t="inlineStr">
        <is>
          <t>Force Sable</t>
        </is>
      </c>
      <c r="E160" s="29" t="inlineStr">
        <is>
          <t>Sandgewalt</t>
        </is>
      </c>
      <c r="F160" s="29" t="inlineStr">
        <is>
          <t>Poder Arena</t>
        </is>
      </c>
      <c r="G160" s="29" t="inlineStr">
        <is>
          <t>Silicoforza</t>
        </is>
      </c>
      <c r="H160" s="29" t="inlineStr">
        <is>
          <t>모래의힘</t>
        </is>
      </c>
      <c r="I160" s="29" t="inlineStr">
        <is>
          <t>沙之力</t>
        </is>
      </c>
      <c r="J160" s="29">
        <f>I160</f>
        <v/>
      </c>
      <c r="K160" s="29">
        <f>F160</f>
        <v/>
      </c>
    </row>
    <row r="161">
      <c r="A161" s="29">
        <f>CONCATENATE("NAME_ABILITY_", SUBSTITUTE(UPPER(B161), " ", ""))</f>
        <v/>
      </c>
      <c r="B161" s="29" t="inlineStr">
        <is>
          <t>Iron Barbs</t>
        </is>
      </c>
      <c r="C161" s="29" t="inlineStr">
        <is>
          <t>てつのトゲ</t>
        </is>
      </c>
      <c r="D161" s="29" t="inlineStr">
        <is>
          <t>Épines de Fer</t>
        </is>
      </c>
      <c r="E161" s="29" t="inlineStr">
        <is>
          <t>Eisenstachel</t>
        </is>
      </c>
      <c r="F161" s="29" t="inlineStr">
        <is>
          <t>Punta Acero</t>
        </is>
      </c>
      <c r="G161" s="29" t="inlineStr">
        <is>
          <t>Spineferrate</t>
        </is>
      </c>
      <c r="H161" s="29" t="inlineStr">
        <is>
          <t>철가시</t>
        </is>
      </c>
      <c r="I161" s="29" t="inlineStr">
        <is>
          <t>鐵刺</t>
        </is>
      </c>
      <c r="J161" s="29">
        <f>IFERROR(__xludf.DUMMYFUNCTION("GOOGLETRANSLATE(I161,""zh_HANT"",""zh_HANS"")"),"铁刺")</f>
        <v/>
      </c>
      <c r="K161" s="29">
        <f>F161</f>
        <v/>
      </c>
    </row>
    <row r="162">
      <c r="A162" s="29">
        <f>CONCATENATE("NAME_ABILITY_", SUBSTITUTE(UPPER(B162), " ", ""))</f>
        <v/>
      </c>
      <c r="B162" s="29" t="inlineStr">
        <is>
          <t>Zen Mode</t>
        </is>
      </c>
      <c r="C162" s="29" t="inlineStr">
        <is>
          <t>ダルマモード</t>
        </is>
      </c>
      <c r="D162" s="29" t="inlineStr">
        <is>
          <t>Mode Transe</t>
        </is>
      </c>
      <c r="E162" s="29" t="inlineStr">
        <is>
          <t>Trance-Modus</t>
        </is>
      </c>
      <c r="F162" s="29" t="inlineStr">
        <is>
          <t>Modo Daruma</t>
        </is>
      </c>
      <c r="G162" s="29" t="inlineStr">
        <is>
          <t>Stato Zen</t>
        </is>
      </c>
      <c r="H162" s="29" t="inlineStr">
        <is>
          <t>달마모드</t>
        </is>
      </c>
      <c r="I162" s="29" t="inlineStr">
        <is>
          <t>達摩模式</t>
        </is>
      </c>
      <c r="J162" s="29">
        <f>IFERROR(__xludf.DUMMYFUNCTION("GOOGLETRANSLATE(I162,""zh_HANT"",""zh_HANS"")"),"达摩模式")</f>
        <v/>
      </c>
      <c r="K162" s="29">
        <f>F162</f>
        <v/>
      </c>
    </row>
    <row r="163">
      <c r="A163" s="29">
        <f>CONCATENATE("NAME_ABILITY_", SUBSTITUTE(UPPER(B163), " ", ""))</f>
        <v/>
      </c>
      <c r="B163" s="29" t="inlineStr">
        <is>
          <t>Victory Star</t>
        </is>
      </c>
      <c r="C163" s="29" t="inlineStr">
        <is>
          <t>しょうりのほし</t>
        </is>
      </c>
      <c r="D163" s="29" t="inlineStr">
        <is>
          <t>Victorieux</t>
        </is>
      </c>
      <c r="E163" s="29" t="inlineStr">
        <is>
          <t>Triumphstern</t>
        </is>
      </c>
      <c r="F163" s="29" t="inlineStr">
        <is>
          <t>Tinovictoria</t>
        </is>
      </c>
      <c r="G163" s="29" t="inlineStr">
        <is>
          <t>Vittorstella</t>
        </is>
      </c>
      <c r="H163" s="29" t="inlineStr">
        <is>
          <t>승리의별</t>
        </is>
      </c>
      <c r="I163" s="29" t="inlineStr">
        <is>
          <t>勝利之星</t>
        </is>
      </c>
      <c r="J163" s="29">
        <f>IFERROR(__xludf.DUMMYFUNCTION("GOOGLETRANSLATE(I163,""zh_HANT"",""zh_HANS"")"),"胜利之星")</f>
        <v/>
      </c>
      <c r="K163" s="29">
        <f>F163</f>
        <v/>
      </c>
    </row>
    <row r="164">
      <c r="A164" s="29">
        <f>CONCATENATE("NAME_ABILITY_", SUBSTITUTE(UPPER(B164), " ", ""))</f>
        <v/>
      </c>
      <c r="B164" s="29" t="inlineStr">
        <is>
          <t>Turboblaze</t>
        </is>
      </c>
      <c r="C164" s="29" t="inlineStr">
        <is>
          <t>ターボブレイズ</t>
        </is>
      </c>
      <c r="D164" s="29" t="inlineStr">
        <is>
          <t>Turbobrasier</t>
        </is>
      </c>
      <c r="E164" s="29" t="inlineStr">
        <is>
          <t>Turbobrand</t>
        </is>
      </c>
      <c r="F164" s="29" t="inlineStr">
        <is>
          <t>Turbollama</t>
        </is>
      </c>
      <c r="G164" s="29" t="inlineStr">
        <is>
          <t>Piroturbina</t>
        </is>
      </c>
      <c r="H164" s="29" t="inlineStr">
        <is>
          <t>터보블레이즈</t>
        </is>
      </c>
      <c r="I164" s="29" t="inlineStr">
        <is>
          <t>渦輪火焰</t>
        </is>
      </c>
      <c r="J164" s="29">
        <f>IFERROR(__xludf.DUMMYFUNCTION("GOOGLETRANSLATE(I164,""zh_HANT"",""zh_HANS"")"),"涡轮火焰")</f>
        <v/>
      </c>
      <c r="K164" s="29">
        <f>F164</f>
        <v/>
      </c>
    </row>
    <row r="165">
      <c r="A165" s="29">
        <f>CONCATENATE("NAME_ABILITY_", SUBSTITUTE(UPPER(B165), " ", ""))</f>
        <v/>
      </c>
      <c r="B165" s="29" t="inlineStr">
        <is>
          <t>Teravolt</t>
        </is>
      </c>
      <c r="C165" s="29" t="inlineStr">
        <is>
          <t>テラボルテージ</t>
        </is>
      </c>
      <c r="D165" s="29" t="inlineStr">
        <is>
          <t>Téra-Voltage</t>
        </is>
      </c>
      <c r="E165" s="29">
        <f>B165</f>
        <v/>
      </c>
      <c r="F165" s="29" t="inlineStr">
        <is>
          <t>Terravoltaje</t>
        </is>
      </c>
      <c r="G165" s="29">
        <f>B165</f>
        <v/>
      </c>
      <c r="H165" s="29" t="inlineStr">
        <is>
          <t>테라볼티지</t>
        </is>
      </c>
      <c r="I165" s="29" t="inlineStr">
        <is>
          <t>兆級電壓</t>
        </is>
      </c>
      <c r="J165" s="29">
        <f>IFERROR(__xludf.DUMMYFUNCTION("GOOGLETRANSLATE(I165,""zh_HANT"",""zh_HANS"")"),"兆级电压")</f>
        <v/>
      </c>
      <c r="K165" s="29">
        <f>F165</f>
        <v/>
      </c>
    </row>
    <row r="166">
      <c r="A166" s="29">
        <f>CONCATENATE("NAME_ABILITY_", SUBSTITUTE(UPPER(B166), " ", ""))</f>
        <v/>
      </c>
      <c r="B166" s="29" t="inlineStr">
        <is>
          <t>Aroma Veil</t>
        </is>
      </c>
      <c r="C166" s="29" t="inlineStr">
        <is>
          <t>アロマベール</t>
        </is>
      </c>
      <c r="D166" s="29" t="inlineStr">
        <is>
          <t>Aroma-Voile</t>
        </is>
      </c>
      <c r="E166" s="29" t="inlineStr">
        <is>
          <t>Dufthülle</t>
        </is>
      </c>
      <c r="F166" s="29" t="inlineStr">
        <is>
          <t>Velo Aroma</t>
        </is>
      </c>
      <c r="G166" s="29" t="inlineStr">
        <is>
          <t>Aromavelo</t>
        </is>
      </c>
      <c r="H166" s="29" t="inlineStr">
        <is>
          <t>아로마베일</t>
        </is>
      </c>
      <c r="I166" s="29" t="inlineStr">
        <is>
          <t>芳香幕</t>
        </is>
      </c>
      <c r="J166" s="29">
        <f>I166</f>
        <v/>
      </c>
      <c r="K166" s="29">
        <f>F166</f>
        <v/>
      </c>
    </row>
    <row r="167">
      <c r="A167" s="29">
        <f>CONCATENATE("NAME_ABILITY_", SUBSTITUTE(UPPER(B167), " ", ""))</f>
        <v/>
      </c>
      <c r="B167" s="29" t="inlineStr">
        <is>
          <t>Flower Veil</t>
        </is>
      </c>
      <c r="C167" s="29" t="inlineStr">
        <is>
          <t>フラワーベール</t>
        </is>
      </c>
      <c r="D167" s="29" t="inlineStr">
        <is>
          <t>Flora-Voile</t>
        </is>
      </c>
      <c r="E167" s="29" t="inlineStr">
        <is>
          <t>Blütenhülle</t>
        </is>
      </c>
      <c r="F167" s="29" t="inlineStr">
        <is>
          <t>Velo Flor</t>
        </is>
      </c>
      <c r="G167" s="29" t="inlineStr">
        <is>
          <t>Fiorvelo</t>
        </is>
      </c>
      <c r="H167" s="29" t="inlineStr">
        <is>
          <t>플라워베일</t>
        </is>
      </c>
      <c r="I167" s="29" t="inlineStr">
        <is>
          <t>花幕</t>
        </is>
      </c>
      <c r="J167" s="29">
        <f>I167</f>
        <v/>
      </c>
      <c r="K167" s="29">
        <f>F167</f>
        <v/>
      </c>
    </row>
    <row r="168">
      <c r="A168" s="29">
        <f>CONCATENATE("NAME_ABILITY_", SUBSTITUTE(UPPER(B168), " ", ""))</f>
        <v/>
      </c>
      <c r="B168" s="29" t="inlineStr">
        <is>
          <t>Cheek Pouch</t>
        </is>
      </c>
      <c r="C168" s="29" t="inlineStr">
        <is>
          <t>ほおぶくろ</t>
        </is>
      </c>
      <c r="D168" s="29" t="inlineStr">
        <is>
          <t>Bajoues</t>
        </is>
      </c>
      <c r="E168" s="29" t="inlineStr">
        <is>
          <t>Backentaschen</t>
        </is>
      </c>
      <c r="F168" s="29" t="inlineStr">
        <is>
          <t>Carrillo</t>
        </is>
      </c>
      <c r="G168" s="29" t="inlineStr">
        <is>
          <t>Guancegonfie</t>
        </is>
      </c>
      <c r="H168" s="29" t="inlineStr">
        <is>
          <t>볼주머니</t>
        </is>
      </c>
      <c r="I168" s="29" t="inlineStr">
        <is>
          <t>頰囊</t>
        </is>
      </c>
      <c r="J168" s="29">
        <f>IFERROR(__xludf.DUMMYFUNCTION("GOOGLETRANSLATE(I168,""zh_HANT"",""zh_HANS"")"),"颊囊")</f>
        <v/>
      </c>
      <c r="K168" s="29">
        <f>F168</f>
        <v/>
      </c>
    </row>
    <row r="169">
      <c r="A169" s="29">
        <f>CONCATENATE("NAME_ABILITY_", SUBSTITUTE(UPPER(B169), " ", ""))</f>
        <v/>
      </c>
      <c r="B169" s="29" t="inlineStr">
        <is>
          <t>Protean</t>
        </is>
      </c>
      <c r="C169" s="29" t="inlineStr">
        <is>
          <t>へんげんじざい</t>
        </is>
      </c>
      <c r="D169" s="29" t="inlineStr">
        <is>
          <t>Protéen</t>
        </is>
      </c>
      <c r="E169" s="29" t="inlineStr">
        <is>
          <t>Wandlungskunst</t>
        </is>
      </c>
      <c r="F169" s="29" t="inlineStr">
        <is>
          <t>Mutatipo</t>
        </is>
      </c>
      <c r="G169" s="29">
        <f>F169</f>
        <v/>
      </c>
      <c r="H169" s="29" t="inlineStr">
        <is>
          <t>변환자재</t>
        </is>
      </c>
      <c r="I169" s="29" t="inlineStr">
        <is>
          <t>變幻自如</t>
        </is>
      </c>
      <c r="J169" s="29">
        <f>IFERROR(__xludf.DUMMYFUNCTION("GOOGLETRANSLATE(I169,""zh_HANT"",""zh_HANS"")"),"变幻自如")</f>
        <v/>
      </c>
      <c r="K169" s="29">
        <f>F169</f>
        <v/>
      </c>
    </row>
    <row r="170">
      <c r="A170" s="29">
        <f>CONCATENATE("NAME_ABILITY_", SUBSTITUTE(UPPER(B170), " ", ""))</f>
        <v/>
      </c>
      <c r="B170" s="29" t="inlineStr">
        <is>
          <t>Fur Coat</t>
        </is>
      </c>
      <c r="C170" s="29" t="inlineStr">
        <is>
          <t>ファーコート</t>
        </is>
      </c>
      <c r="D170" s="29" t="inlineStr">
        <is>
          <t>Toison Épaisse</t>
        </is>
      </c>
      <c r="E170" s="29" t="inlineStr">
        <is>
          <t>Fellkleid</t>
        </is>
      </c>
      <c r="F170" s="29" t="inlineStr">
        <is>
          <t>Pelaje Recio</t>
        </is>
      </c>
      <c r="G170" s="29" t="inlineStr">
        <is>
          <t>Foltopelo</t>
        </is>
      </c>
      <c r="H170" s="29" t="inlineStr">
        <is>
          <t>퍼코트</t>
        </is>
      </c>
      <c r="I170" s="29" t="inlineStr">
        <is>
          <t>毛皮大衣</t>
        </is>
      </c>
      <c r="J170" s="29">
        <f>I170</f>
        <v/>
      </c>
      <c r="K170" s="29">
        <f>F170</f>
        <v/>
      </c>
    </row>
    <row r="171">
      <c r="A171" s="29">
        <f>CONCATENATE("NAME_ABILITY_", SUBSTITUTE(UPPER(B171), " ", ""))</f>
        <v/>
      </c>
      <c r="B171" s="29" t="inlineStr">
        <is>
          <t>Magician</t>
        </is>
      </c>
      <c r="C171" s="29" t="inlineStr">
        <is>
          <t>マジシャン</t>
        </is>
      </c>
      <c r="D171" s="29" t="inlineStr">
        <is>
          <t>Magicien</t>
        </is>
      </c>
      <c r="E171" s="29" t="inlineStr">
        <is>
          <t>Zauberer</t>
        </is>
      </c>
      <c r="F171" s="29" t="inlineStr">
        <is>
          <t>Prestidigitador</t>
        </is>
      </c>
      <c r="G171" s="29" t="inlineStr">
        <is>
          <t>Prestigiatore</t>
        </is>
      </c>
      <c r="H171" s="29" t="inlineStr">
        <is>
          <t>매지션</t>
        </is>
      </c>
      <c r="I171" s="29" t="inlineStr">
        <is>
          <t>魔術師</t>
        </is>
      </c>
      <c r="J171" s="29">
        <f>IFERROR(__xludf.DUMMYFUNCTION("GOOGLETRANSLATE(I171,""zh_HANT"",""zh_HANS"")"),"魔术师")</f>
        <v/>
      </c>
      <c r="K171" s="29">
        <f>F171</f>
        <v/>
      </c>
    </row>
    <row r="172">
      <c r="A172" s="29">
        <f>CONCATENATE("NAME_ABILITY_", SUBSTITUTE(UPPER(B172), " ", ""))</f>
        <v/>
      </c>
      <c r="B172" s="29" t="inlineStr">
        <is>
          <t>Bulletproof</t>
        </is>
      </c>
      <c r="C172" s="29" t="inlineStr">
        <is>
          <t>ぼうだん</t>
        </is>
      </c>
      <c r="D172" s="29" t="inlineStr">
        <is>
          <t>Pare-Balles</t>
        </is>
      </c>
      <c r="E172" s="29" t="inlineStr">
        <is>
          <t>Kugelsicher</t>
        </is>
      </c>
      <c r="F172" s="29" t="inlineStr">
        <is>
          <t>Antibalas</t>
        </is>
      </c>
      <c r="G172" s="29" t="inlineStr">
        <is>
          <t>Antiproiettile</t>
        </is>
      </c>
      <c r="H172" s="29" t="inlineStr">
        <is>
          <t>방탄</t>
        </is>
      </c>
      <c r="I172" s="29" t="inlineStr">
        <is>
          <t>防彈</t>
        </is>
      </c>
      <c r="J172" s="29">
        <f>IFERROR(__xludf.DUMMYFUNCTION("GOOGLETRANSLATE(I172,""zh_HANT"",""zh_HANS"")"),"防弹")</f>
        <v/>
      </c>
      <c r="K172" s="29">
        <f>F172</f>
        <v/>
      </c>
    </row>
    <row r="173">
      <c r="A173" s="29">
        <f>CONCATENATE("NAME_ABILITY_", SUBSTITUTE(UPPER(B173), " ", ""))</f>
        <v/>
      </c>
      <c r="B173" s="29" t="inlineStr">
        <is>
          <t>Competitive</t>
        </is>
      </c>
      <c r="C173" s="29" t="inlineStr">
        <is>
          <t>かちき</t>
        </is>
      </c>
      <c r="D173" s="29" t="inlineStr">
        <is>
          <t>Battant</t>
        </is>
      </c>
      <c r="E173" s="29" t="inlineStr">
        <is>
          <t>Unbeugsamkeit</t>
        </is>
      </c>
      <c r="F173" s="29" t="inlineStr">
        <is>
          <t>Tenacidad</t>
        </is>
      </c>
      <c r="G173" s="29" t="inlineStr">
        <is>
          <t>Tenacia</t>
        </is>
      </c>
      <c r="H173" s="29" t="inlineStr">
        <is>
          <t>승기</t>
        </is>
      </c>
      <c r="I173" s="29" t="inlineStr">
        <is>
          <t>好勝</t>
        </is>
      </c>
      <c r="J173" s="29">
        <f>IFERROR(__xludf.DUMMYFUNCTION("GOOGLETRANSLATE(I173,""zh_HANT"",""zh_HANS"")"),"好胜")</f>
        <v/>
      </c>
      <c r="K173" s="29">
        <f>F173</f>
        <v/>
      </c>
    </row>
    <row r="174">
      <c r="A174" s="29">
        <f>CONCATENATE("NAME_ABILITY_", SUBSTITUTE(UPPER(B174), " ", ""))</f>
        <v/>
      </c>
      <c r="B174" s="29" t="inlineStr">
        <is>
          <t>Strong Jaw</t>
        </is>
      </c>
      <c r="C174" s="29" t="inlineStr">
        <is>
          <t>がんじょうあご</t>
        </is>
      </c>
      <c r="D174" s="29" t="inlineStr">
        <is>
          <t>Prognathe</t>
        </is>
      </c>
      <c r="E174" s="29" t="inlineStr">
        <is>
          <t>Titankiefer</t>
        </is>
      </c>
      <c r="F174" s="29" t="inlineStr">
        <is>
          <t>Mandíbula Fuerte</t>
        </is>
      </c>
      <c r="G174" s="29" t="inlineStr">
        <is>
          <t>Ferromascella</t>
        </is>
      </c>
      <c r="H174" s="29" t="inlineStr">
        <is>
          <t>옹골찬턱</t>
        </is>
      </c>
      <c r="I174" s="29" t="inlineStr">
        <is>
          <t>強壯之顎</t>
        </is>
      </c>
      <c r="J174" s="29">
        <f>IFERROR(__xludf.DUMMYFUNCTION("GOOGLETRANSLATE(I174,""zh_HANT"",""zh_HANS"")"),"强壮之颚")</f>
        <v/>
      </c>
      <c r="K174" s="29">
        <f>F174</f>
        <v/>
      </c>
    </row>
    <row r="175">
      <c r="A175" s="29">
        <f>CONCATENATE("NAME_ABILITY_", SUBSTITUTE(UPPER(B175), " ", ""))</f>
        <v/>
      </c>
      <c r="B175" s="29" t="inlineStr">
        <is>
          <t>Refrigerate</t>
        </is>
      </c>
      <c r="C175" s="29" t="inlineStr">
        <is>
          <t>フリーズスキン</t>
        </is>
      </c>
      <c r="D175" s="29" t="inlineStr">
        <is>
          <t>Peau Gelée</t>
        </is>
      </c>
      <c r="E175" s="29" t="inlineStr">
        <is>
          <t>Frostschicht</t>
        </is>
      </c>
      <c r="F175" s="29" t="inlineStr">
        <is>
          <t>Piel Helada</t>
        </is>
      </c>
      <c r="G175" s="29" t="inlineStr">
        <is>
          <t>Pellegelo</t>
        </is>
      </c>
      <c r="H175" s="29" t="inlineStr">
        <is>
          <t>프리즈스킨</t>
        </is>
      </c>
      <c r="I175" s="29" t="inlineStr">
        <is>
          <t>冰凍皮膚</t>
        </is>
      </c>
      <c r="J175" s="29">
        <f>IFERROR(__xludf.DUMMYFUNCTION("GOOGLETRANSLATE(I175,""zh_HANT"",""zh_HANS"")"),"冰冻皮肤")</f>
        <v/>
      </c>
      <c r="K175" s="29">
        <f>F175</f>
        <v/>
      </c>
    </row>
    <row r="176">
      <c r="A176" s="29">
        <f>CONCATENATE("NAME_ABILITY_", SUBSTITUTE(UPPER(B176), " ", ""))</f>
        <v/>
      </c>
      <c r="B176" s="29" t="inlineStr">
        <is>
          <t>Sweet Veil</t>
        </is>
      </c>
      <c r="C176" s="29" t="inlineStr">
        <is>
          <t>スイートベール</t>
        </is>
      </c>
      <c r="D176" s="29" t="inlineStr">
        <is>
          <t>Gluco-Voile</t>
        </is>
      </c>
      <c r="E176" s="29" t="inlineStr">
        <is>
          <t>Zuckerhülle</t>
        </is>
      </c>
      <c r="F176" s="29" t="inlineStr">
        <is>
          <t>Velo Dulce</t>
        </is>
      </c>
      <c r="G176" s="29" t="inlineStr">
        <is>
          <t>Dolcevelo</t>
        </is>
      </c>
      <c r="H176" s="29" t="inlineStr">
        <is>
          <t>스위트베일</t>
        </is>
      </c>
      <c r="I176" s="29" t="inlineStr">
        <is>
          <t>甜幕</t>
        </is>
      </c>
      <c r="J176" s="29">
        <f>I176</f>
        <v/>
      </c>
      <c r="K176" s="29">
        <f>F176</f>
        <v/>
      </c>
    </row>
    <row r="177">
      <c r="A177" s="29">
        <f>CONCATENATE("NAME_ABILITY_", SUBSTITUTE(UPPER(B177), " ", ""))</f>
        <v/>
      </c>
      <c r="B177" s="29" t="inlineStr">
        <is>
          <t>Stance Change</t>
        </is>
      </c>
      <c r="C177" s="29" t="inlineStr">
        <is>
          <t>バトルスイッチ</t>
        </is>
      </c>
      <c r="D177" s="29" t="inlineStr">
        <is>
          <t>Déclic Tactique</t>
        </is>
      </c>
      <c r="E177" s="29" t="inlineStr">
        <is>
          <t>Taktikwechsel</t>
        </is>
      </c>
      <c r="F177" s="29" t="inlineStr">
        <is>
          <t>Cambio Táctico</t>
        </is>
      </c>
      <c r="G177" s="29" t="inlineStr">
        <is>
          <t>Accendilotta</t>
        </is>
      </c>
      <c r="H177" s="29" t="inlineStr">
        <is>
          <t>배틀스위치</t>
        </is>
      </c>
      <c r="I177" s="29" t="inlineStr">
        <is>
          <t>戰鬥切換</t>
        </is>
      </c>
      <c r="J177" s="29">
        <f>IFERROR(__xludf.DUMMYFUNCTION("GOOGLETRANSLATE(I177,""zh_HANT"",""zh_HANS"")"),"战斗切换")</f>
        <v/>
      </c>
      <c r="K177" s="29">
        <f>F177</f>
        <v/>
      </c>
    </row>
    <row r="178">
      <c r="A178" s="29">
        <f>CONCATENATE("NAME_ABILITY_", SUBSTITUTE(UPPER(B178), " ", ""))</f>
        <v/>
      </c>
      <c r="B178" s="29" t="inlineStr">
        <is>
          <t>Gale Wings</t>
        </is>
      </c>
      <c r="C178" s="29" t="inlineStr">
        <is>
          <t>はやてのつばさ</t>
        </is>
      </c>
      <c r="D178" s="29" t="inlineStr">
        <is>
          <t>Ailes Bourrasque</t>
        </is>
      </c>
      <c r="E178" s="29" t="inlineStr">
        <is>
          <t>Orkanschwingen</t>
        </is>
      </c>
      <c r="F178" s="29" t="inlineStr">
        <is>
          <t>Alas Vendaval</t>
        </is>
      </c>
      <c r="G178" s="29" t="inlineStr">
        <is>
          <t>Aliraffica</t>
        </is>
      </c>
      <c r="H178" s="29" t="inlineStr">
        <is>
          <t>질풍날개</t>
        </is>
      </c>
      <c r="I178" s="29" t="inlineStr">
        <is>
          <t>疾風之翼</t>
        </is>
      </c>
      <c r="J178" s="29">
        <f>IFERROR(__xludf.DUMMYFUNCTION("GOOGLETRANSLATE(I178,""zh_HANT"",""zh_HANS"")"),"疾风之翼")</f>
        <v/>
      </c>
      <c r="K178" s="29">
        <f>F178</f>
        <v/>
      </c>
    </row>
    <row r="179">
      <c r="A179" s="29">
        <f>CONCATENATE("NAME_ABILITY_", SUBSTITUTE(UPPER(B179), " ", ""))</f>
        <v/>
      </c>
      <c r="B179" s="29" t="inlineStr">
        <is>
          <t>Mega Launcher</t>
        </is>
      </c>
      <c r="C179" s="29" t="inlineStr">
        <is>
          <t>メガランチャー</t>
        </is>
      </c>
      <c r="D179" s="29" t="inlineStr">
        <is>
          <t>Méga Blaster</t>
        </is>
      </c>
      <c r="E179" s="29" t="inlineStr">
        <is>
          <t>Megawumme</t>
        </is>
      </c>
      <c r="F179" s="29" t="inlineStr">
        <is>
          <t>Megadisparador</t>
        </is>
      </c>
      <c r="G179" s="29" t="inlineStr">
        <is>
          <t>Megalancio</t>
        </is>
      </c>
      <c r="H179" s="29" t="inlineStr">
        <is>
          <t>메가런처</t>
        </is>
      </c>
      <c r="I179" s="29" t="inlineStr">
        <is>
          <t>超級發射器</t>
        </is>
      </c>
      <c r="J179" s="29">
        <f>IFERROR(__xludf.DUMMYFUNCTION("GOOGLETRANSLATE(I179,""zh_HANT"",""zh_HANS"")"),"超级发射器")</f>
        <v/>
      </c>
      <c r="K179" s="29">
        <f>F179</f>
        <v/>
      </c>
    </row>
    <row r="180">
      <c r="A180" s="29">
        <f>CONCATENATE("NAME_ABILITY_", SUBSTITUTE(UPPER(B180), " ", ""))</f>
        <v/>
      </c>
      <c r="B180" s="29" t="inlineStr">
        <is>
          <t>Grass Pelt</t>
        </is>
      </c>
      <c r="C180" s="29" t="inlineStr">
        <is>
          <t>くさのけがわ</t>
        </is>
      </c>
      <c r="D180" s="29" t="inlineStr">
        <is>
          <t>Toison Herbe</t>
        </is>
      </c>
      <c r="E180" s="29" t="inlineStr">
        <is>
          <t>Pflanzenpelz</t>
        </is>
      </c>
      <c r="F180" s="29" t="inlineStr">
        <is>
          <t>Manto Frondoso</t>
        </is>
      </c>
      <c r="G180" s="29" t="inlineStr">
        <is>
          <t>Peloderba</t>
        </is>
      </c>
      <c r="H180" s="29" t="inlineStr">
        <is>
          <t>풀모피</t>
        </is>
      </c>
      <c r="I180" s="29" t="inlineStr">
        <is>
          <t>草之毛皮</t>
        </is>
      </c>
      <c r="J180" s="29">
        <f>I180</f>
        <v/>
      </c>
      <c r="K180" s="29">
        <f>F180</f>
        <v/>
      </c>
    </row>
    <row r="181">
      <c r="A181" s="29">
        <f>CONCATENATE("NAME_ABILITY_", SUBSTITUTE(UPPER(B181), " ", ""))</f>
        <v/>
      </c>
      <c r="B181" s="29" t="inlineStr">
        <is>
          <t>Symbiosis</t>
        </is>
      </c>
      <c r="C181" s="29" t="inlineStr">
        <is>
          <t>きょせい</t>
        </is>
      </c>
      <c r="D181" s="29" t="inlineStr">
        <is>
          <t>Symbiose</t>
        </is>
      </c>
      <c r="E181" s="29" t="inlineStr">
        <is>
          <t>Nutznießer</t>
        </is>
      </c>
      <c r="F181" s="29" t="inlineStr">
        <is>
          <t>Simbiosis</t>
        </is>
      </c>
      <c r="G181" s="29" t="inlineStr">
        <is>
          <t>Simbiosi</t>
        </is>
      </c>
      <c r="H181" s="29" t="inlineStr">
        <is>
          <t>공생</t>
        </is>
      </c>
      <c r="I181" s="29" t="inlineStr">
        <is>
          <t>共生</t>
        </is>
      </c>
      <c r="J181" s="29">
        <f>I181</f>
        <v/>
      </c>
      <c r="K181" s="29">
        <f>F181</f>
        <v/>
      </c>
    </row>
    <row r="182">
      <c r="A182" s="29">
        <f>CONCATENATE("NAME_ABILITY_", SUBSTITUTE(UPPER(B182), " ", ""))</f>
        <v/>
      </c>
      <c r="B182" s="29" t="inlineStr">
        <is>
          <t>Tough Claws</t>
        </is>
      </c>
      <c r="C182" s="29" t="inlineStr">
        <is>
          <t>かたいツメ</t>
        </is>
      </c>
      <c r="D182" s="29" t="inlineStr">
        <is>
          <t>Griffe Dure</t>
        </is>
      </c>
      <c r="E182" s="29" t="inlineStr">
        <is>
          <t>Krallenwucht</t>
        </is>
      </c>
      <c r="F182" s="29" t="inlineStr">
        <is>
          <t>Garra Dura</t>
        </is>
      </c>
      <c r="G182" s="29" t="inlineStr">
        <is>
          <t>Unghiedure</t>
        </is>
      </c>
      <c r="H182" s="29" t="inlineStr">
        <is>
          <t>단단한 발톱</t>
        </is>
      </c>
      <c r="I182" s="29" t="inlineStr">
        <is>
          <t>硬爪</t>
        </is>
      </c>
      <c r="J182" s="29">
        <f>I182</f>
        <v/>
      </c>
      <c r="K182" s="29">
        <f>F182</f>
        <v/>
      </c>
    </row>
    <row r="183">
      <c r="A183" s="29">
        <f>CONCATENATE("NAME_ABILITY_", SUBSTITUTE(UPPER(B183), " ", ""))</f>
        <v/>
      </c>
      <c r="B183" s="29" t="inlineStr">
        <is>
          <t>Pixilate</t>
        </is>
      </c>
      <c r="C183" s="29" t="inlineStr">
        <is>
          <t>フェアリースキン</t>
        </is>
      </c>
      <c r="D183" s="29" t="inlineStr">
        <is>
          <t>Peau Féérique</t>
        </is>
      </c>
      <c r="E183" s="29" t="inlineStr">
        <is>
          <t>Feenschicht</t>
        </is>
      </c>
      <c r="F183" s="29" t="inlineStr">
        <is>
          <t>Piel Feérica</t>
        </is>
      </c>
      <c r="G183" s="29" t="inlineStr">
        <is>
          <t>Pellefolletto</t>
        </is>
      </c>
      <c r="H183" s="29" t="inlineStr">
        <is>
          <t>페어리스킨</t>
        </is>
      </c>
      <c r="I183" s="29" t="inlineStr">
        <is>
          <t>妖精皮膚</t>
        </is>
      </c>
      <c r="J183" s="29">
        <f>IFERROR(__xludf.DUMMYFUNCTION("GOOGLETRANSLATE(I183,""zh_HANT"",""zh_HANS"")"),"妖精皮肤")</f>
        <v/>
      </c>
      <c r="K183" s="29">
        <f>F183</f>
        <v/>
      </c>
    </row>
    <row r="184">
      <c r="A184" s="29">
        <f>CONCATENATE("NAME_ABILITY_", SUBSTITUTE(UPPER(B184), " ", ""))</f>
        <v/>
      </c>
      <c r="B184" s="29" t="inlineStr">
        <is>
          <t>Gooey</t>
        </is>
      </c>
      <c r="C184" s="29" t="inlineStr">
        <is>
          <t>ぬめぬめ</t>
        </is>
      </c>
      <c r="D184" s="29" t="inlineStr">
        <is>
          <t>Poisseux</t>
        </is>
      </c>
      <c r="E184" s="29" t="inlineStr">
        <is>
          <t>Viskosität</t>
        </is>
      </c>
      <c r="F184" s="29" t="inlineStr">
        <is>
          <t>Baba</t>
        </is>
      </c>
      <c r="G184" s="29" t="inlineStr">
        <is>
          <t>Viscosità</t>
        </is>
      </c>
      <c r="H184" s="29" t="inlineStr">
        <is>
          <t>미끈미끈</t>
        </is>
      </c>
      <c r="I184" s="29" t="inlineStr">
        <is>
          <t>黏滑</t>
        </is>
      </c>
      <c r="J184" s="29">
        <f>I184</f>
        <v/>
      </c>
      <c r="K184" s="29">
        <f>F184</f>
        <v/>
      </c>
    </row>
    <row r="185">
      <c r="A185" s="29">
        <f>CONCATENATE("NAME_ABILITY_", SUBSTITUTE(UPPER(B185), " ", ""))</f>
        <v/>
      </c>
      <c r="B185" s="29" t="inlineStr">
        <is>
          <t>Aerilate</t>
        </is>
      </c>
      <c r="C185" s="29" t="inlineStr">
        <is>
          <t>スカイスキン</t>
        </is>
      </c>
      <c r="D185" s="29" t="inlineStr">
        <is>
          <t>Peau Céleste</t>
        </is>
      </c>
      <c r="E185" s="29" t="inlineStr">
        <is>
          <t>Zenithaut</t>
        </is>
      </c>
      <c r="F185" s="29" t="inlineStr">
        <is>
          <t>Piel Celeste</t>
        </is>
      </c>
      <c r="G185" s="29" t="inlineStr">
        <is>
          <t>Pellecielo</t>
        </is>
      </c>
      <c r="H185" s="29" t="inlineStr">
        <is>
          <t>스카이스킨</t>
        </is>
      </c>
      <c r="I185" s="29" t="inlineStr">
        <is>
          <t>飛行皮膚</t>
        </is>
      </c>
      <c r="J185" s="29">
        <f>IFERROR(__xludf.DUMMYFUNCTION("GOOGLETRANSLATE(I185,""zh_HANT"",""zh_HANS"")"),"飞行皮肤")</f>
        <v/>
      </c>
      <c r="K185" s="29">
        <f>F185</f>
        <v/>
      </c>
    </row>
    <row r="186">
      <c r="A186" s="29">
        <f>CONCATENATE("NAME_ABILITY_", SUBSTITUTE(UPPER(B186), " ", ""))</f>
        <v/>
      </c>
      <c r="B186" s="29" t="inlineStr">
        <is>
          <t>Parental Bond</t>
        </is>
      </c>
      <c r="C186" s="29" t="inlineStr">
        <is>
          <t>おやこあい</t>
        </is>
      </c>
      <c r="D186" s="29" t="inlineStr">
        <is>
          <t>Amour Filial</t>
        </is>
      </c>
      <c r="E186" s="29" t="inlineStr">
        <is>
          <t>Familienbande</t>
        </is>
      </c>
      <c r="F186" s="29" t="inlineStr">
        <is>
          <t>Amor Filial</t>
        </is>
      </c>
      <c r="G186" s="29" t="inlineStr">
        <is>
          <t>Amorefiliale</t>
        </is>
      </c>
      <c r="H186" s="29" t="inlineStr">
        <is>
          <t>부자유친</t>
        </is>
      </c>
      <c r="I186" s="29" t="inlineStr">
        <is>
          <t>親子愛</t>
        </is>
      </c>
      <c r="J186" s="29">
        <f>IFERROR(__xludf.DUMMYFUNCTION("GOOGLETRANSLATE(I186,""zh_HANT"",""zh_HANS"")"),"亲子爱")</f>
        <v/>
      </c>
      <c r="K186" s="29">
        <f>F186</f>
        <v/>
      </c>
    </row>
    <row r="187">
      <c r="A187" s="29">
        <f>CONCATENATE("NAME_ABILITY_", SUBSTITUTE(UPPER(B187), " ", ""))</f>
        <v/>
      </c>
      <c r="B187" s="29" t="inlineStr">
        <is>
          <t>Dark Aura</t>
        </is>
      </c>
      <c r="C187" s="29" t="inlineStr">
        <is>
          <t>ダークオーラ</t>
        </is>
      </c>
      <c r="D187" s="29" t="inlineStr">
        <is>
          <t>Aura Ténébreuse</t>
        </is>
      </c>
      <c r="E187" s="29" t="inlineStr">
        <is>
          <t>Dankelaura</t>
        </is>
      </c>
      <c r="F187" s="29" t="inlineStr">
        <is>
          <t>Aura Oscura</t>
        </is>
      </c>
      <c r="G187" s="29" t="inlineStr">
        <is>
          <t>Auratetra</t>
        </is>
      </c>
      <c r="H187" s="29" t="inlineStr">
        <is>
          <t>다크오라</t>
        </is>
      </c>
      <c r="I187" s="29" t="inlineStr">
        <is>
          <t>暗黑氣場</t>
        </is>
      </c>
      <c r="J187" s="29">
        <f>IFERROR(__xludf.DUMMYFUNCTION("GOOGLETRANSLATE(I187,""zh_HANT"",""zh_HANS"")"),"暗黑气场")</f>
        <v/>
      </c>
      <c r="K187" s="29">
        <f>F187</f>
        <v/>
      </c>
    </row>
    <row r="188">
      <c r="A188" s="29">
        <f>CONCATENATE("NAME_ABILITY_", SUBSTITUTE(UPPER(B188), " ", ""))</f>
        <v/>
      </c>
      <c r="B188" s="29" t="inlineStr">
        <is>
          <t>Fairy Aura</t>
        </is>
      </c>
      <c r="C188" s="29" t="inlineStr">
        <is>
          <t>フェアリーオーラ</t>
        </is>
      </c>
      <c r="D188" s="29" t="inlineStr">
        <is>
          <t>Aura Féérique</t>
        </is>
      </c>
      <c r="E188" s="29" t="inlineStr">
        <is>
          <t>Feenaura</t>
        </is>
      </c>
      <c r="F188" s="29" t="inlineStr">
        <is>
          <t>Aura Feérica</t>
        </is>
      </c>
      <c r="G188" s="29" t="inlineStr">
        <is>
          <t>Aurafolletto</t>
        </is>
      </c>
      <c r="H188" s="29" t="inlineStr">
        <is>
          <t>페어리오라</t>
        </is>
      </c>
      <c r="I188" s="29" t="inlineStr">
        <is>
          <t>妖精氣場</t>
        </is>
      </c>
      <c r="J188" s="29">
        <f>IFERROR(__xludf.DUMMYFUNCTION("GOOGLETRANSLATE(I188,""zh_HANT"",""zh_HANS"")"),"妖精气场")</f>
        <v/>
      </c>
      <c r="K188" s="29">
        <f>F188</f>
        <v/>
      </c>
    </row>
    <row r="189">
      <c r="A189" s="29">
        <f>CONCATENATE("NAME_ABILITY_", SUBSTITUTE(UPPER(B189), " ", ""))</f>
        <v/>
      </c>
      <c r="B189" s="29" t="inlineStr">
        <is>
          <t>Aura Break</t>
        </is>
      </c>
      <c r="C189" s="29" t="inlineStr">
        <is>
          <t>オーラブレイク</t>
        </is>
      </c>
      <c r="D189" s="29" t="inlineStr">
        <is>
          <t>Aura Inversé</t>
        </is>
      </c>
      <c r="E189" s="29" t="inlineStr">
        <is>
          <t>Aura-Umkehr</t>
        </is>
      </c>
      <c r="F189" s="29" t="inlineStr">
        <is>
          <t>Rompeaura</t>
        </is>
      </c>
      <c r="G189" s="29" t="inlineStr">
        <is>
          <t>Frangiaura</t>
        </is>
      </c>
      <c r="H189" s="29" t="inlineStr">
        <is>
          <t>오라브레이크</t>
        </is>
      </c>
      <c r="I189" s="29" t="inlineStr">
        <is>
          <t>氣場破壞</t>
        </is>
      </c>
      <c r="J189" s="29">
        <f>IFERROR(__xludf.DUMMYFUNCTION("GOOGLETRANSLATE(I189,""zh_HANT"",""zh_HANS"")"),"气场破坏")</f>
        <v/>
      </c>
      <c r="K189" s="29">
        <f>F189</f>
        <v/>
      </c>
    </row>
    <row r="190">
      <c r="A190" s="29">
        <f>CONCATENATE("NAME_ABILITY_", SUBSTITUTE(UPPER(B190), " ", ""))</f>
        <v/>
      </c>
      <c r="B190" s="29" t="inlineStr">
        <is>
          <t>Primordial Sea</t>
        </is>
      </c>
      <c r="C190" s="29" t="inlineStr">
        <is>
          <t>はじまりのうみ</t>
        </is>
      </c>
      <c r="D190" s="29" t="inlineStr">
        <is>
          <t>Mer Primaire</t>
        </is>
      </c>
      <c r="E190" s="29" t="inlineStr">
        <is>
          <t>Urmeer</t>
        </is>
      </c>
      <c r="F190" s="29" t="inlineStr">
        <is>
          <t>Mar del Albor</t>
        </is>
      </c>
      <c r="G190" s="29" t="inlineStr">
        <is>
          <t>Mare Primordiale</t>
        </is>
      </c>
      <c r="H190" s="29" t="inlineStr">
        <is>
          <t>시작의바다</t>
        </is>
      </c>
      <c r="I190" s="29" t="inlineStr">
        <is>
          <t>始源之海</t>
        </is>
      </c>
      <c r="J190" s="29">
        <f>I190</f>
        <v/>
      </c>
      <c r="K190" s="29">
        <f>F190</f>
        <v/>
      </c>
    </row>
    <row r="191">
      <c r="A191" s="29">
        <f>CONCATENATE("NAME_ABILITY_", SUBSTITUTE(UPPER(B191), " ", ""))</f>
        <v/>
      </c>
      <c r="B191" s="29" t="inlineStr">
        <is>
          <t>Desolate Land</t>
        </is>
      </c>
      <c r="C191" s="29" t="inlineStr">
        <is>
          <t>おわりのだいち</t>
        </is>
      </c>
      <c r="D191" s="29" t="inlineStr">
        <is>
          <t>Terre Finale</t>
        </is>
      </c>
      <c r="E191" s="29" t="inlineStr">
        <is>
          <t>Endland</t>
        </is>
      </c>
      <c r="F191" s="29" t="inlineStr">
        <is>
          <t>Tierra del Ocaso</t>
        </is>
      </c>
      <c r="G191" s="29" t="inlineStr">
        <is>
          <t>Terra Estrema</t>
        </is>
      </c>
      <c r="H191" s="29" t="inlineStr">
        <is>
          <t>끝의대지</t>
        </is>
      </c>
      <c r="I191" s="29" t="inlineStr">
        <is>
          <t>終結之地</t>
        </is>
      </c>
      <c r="J191" s="29">
        <f>IFERROR(__xludf.DUMMYFUNCTION("GOOGLETRANSLATE(I191,""zh_HANT"",""zh_HANS"")"),"终结之地")</f>
        <v/>
      </c>
      <c r="K191" s="29">
        <f>F191</f>
        <v/>
      </c>
    </row>
    <row r="192">
      <c r="A192" s="29">
        <f>CONCATENATE("NAME_ABILITY_", SUBSTITUTE(UPPER(B192), " ", ""))</f>
        <v/>
      </c>
      <c r="B192" s="29" t="inlineStr">
        <is>
          <t>Delta Stream</t>
        </is>
      </c>
      <c r="C192" s="29" t="inlineStr">
        <is>
          <t>デルタストリーム</t>
        </is>
      </c>
      <c r="D192" s="29" t="inlineStr">
        <is>
          <t>Souffle Delta</t>
        </is>
      </c>
      <c r="E192" s="29" t="inlineStr">
        <is>
          <t>Delta-Wind</t>
        </is>
      </c>
      <c r="F192" s="29" t="inlineStr">
        <is>
          <t>Ráfaga Delta</t>
        </is>
      </c>
      <c r="G192" s="29" t="inlineStr">
        <is>
          <t>Flusso Delta</t>
        </is>
      </c>
      <c r="H192" s="29" t="inlineStr">
        <is>
          <t>델타스트림</t>
        </is>
      </c>
      <c r="I192" s="29" t="inlineStr">
        <is>
          <t>德爾塔氣流</t>
        </is>
      </c>
      <c r="J192" s="29">
        <f>IFERROR(__xludf.DUMMYFUNCTION("GOOGLETRANSLATE(I192,""zh_HANT"",""zh_HANS"")"),"德尔塔气流")</f>
        <v/>
      </c>
      <c r="K192" s="29">
        <f>F192</f>
        <v/>
      </c>
    </row>
    <row r="193">
      <c r="A193" s="29">
        <f>CONCATENATE("NAME_ABILITY_", SUBSTITUTE(UPPER(B193), " ", ""))</f>
        <v/>
      </c>
      <c r="B193" s="29" t="inlineStr">
        <is>
          <t>Stamina</t>
        </is>
      </c>
      <c r="C193" s="29" t="inlineStr">
        <is>
          <t>じきゅうりょく</t>
        </is>
      </c>
      <c r="D193" s="29" t="inlineStr">
        <is>
          <t>Endurance</t>
        </is>
      </c>
      <c r="E193" s="29" t="inlineStr">
        <is>
          <t>Zähigkeit</t>
        </is>
      </c>
      <c r="F193" s="29" t="inlineStr">
        <is>
          <t>Firmeza</t>
        </is>
      </c>
      <c r="G193" s="29" t="inlineStr">
        <is>
          <t>Sopportazione</t>
        </is>
      </c>
      <c r="H193" s="29" t="inlineStr">
        <is>
          <t>지구력</t>
        </is>
      </c>
      <c r="I193" s="29" t="inlineStr">
        <is>
          <t>持久力</t>
        </is>
      </c>
      <c r="J193" s="29">
        <f>I193</f>
        <v/>
      </c>
      <c r="K193" s="29">
        <f>F193</f>
        <v/>
      </c>
    </row>
    <row r="194">
      <c r="A194" s="29">
        <f>CONCATENATE("NAME_ABILITY_", SUBSTITUTE(UPPER(B194), " ", ""))</f>
        <v/>
      </c>
      <c r="B194" s="29" t="inlineStr">
        <is>
          <t>Wimp Out</t>
        </is>
      </c>
      <c r="C194" s="29" t="inlineStr">
        <is>
          <t>にげごし</t>
        </is>
      </c>
      <c r="D194" s="29" t="inlineStr">
        <is>
          <t>Escampette</t>
        </is>
      </c>
      <c r="E194" s="29" t="inlineStr">
        <is>
          <t>Reißaus</t>
        </is>
      </c>
      <c r="F194" s="29" t="inlineStr">
        <is>
          <t>Huida</t>
        </is>
      </c>
      <c r="G194" s="29" t="inlineStr">
        <is>
          <t>Fuggifuggi</t>
        </is>
      </c>
      <c r="H194" s="29" t="inlineStr">
        <is>
          <t>도망태세</t>
        </is>
      </c>
      <c r="I194" s="29" t="inlineStr">
        <is>
          <t>躍躍欲逃</t>
        </is>
      </c>
      <c r="J194" s="29">
        <f>IFERROR(__xludf.DUMMYFUNCTION("GOOGLETRANSLATE(I194,""zh_HANT"",""zh_HANS"")"),"跃跃欲逃")</f>
        <v/>
      </c>
      <c r="K194" s="29">
        <f>F194</f>
        <v/>
      </c>
    </row>
    <row r="195">
      <c r="A195" s="29">
        <f>CONCATENATE("NAME_ABILITY_", SUBSTITUTE(UPPER(B195), " ", ""))</f>
        <v/>
      </c>
      <c r="B195" s="29" t="inlineStr">
        <is>
          <t>Emergency Exit</t>
        </is>
      </c>
      <c r="C195" s="29" t="inlineStr">
        <is>
          <t>ききかいひ</t>
        </is>
      </c>
      <c r="D195" s="29" t="inlineStr">
        <is>
          <t>Repli Tactique</t>
        </is>
      </c>
      <c r="E195" s="29" t="inlineStr">
        <is>
          <t>Rückzug</t>
        </is>
      </c>
      <c r="F195" s="29" t="inlineStr">
        <is>
          <t>Retirada</t>
        </is>
      </c>
      <c r="G195" s="29" t="inlineStr">
        <is>
          <t>Passoindietro</t>
        </is>
      </c>
      <c r="H195" s="29" t="inlineStr">
        <is>
          <t>위기회피</t>
        </is>
      </c>
      <c r="I195" s="29" t="inlineStr">
        <is>
          <t>危險迴避</t>
        </is>
      </c>
      <c r="J195" s="29">
        <f>IFERROR(__xludf.DUMMYFUNCTION("GOOGLETRANSLATE(I195,""zh_HANT"",""zh_HANS"")"),"危险回避")</f>
        <v/>
      </c>
      <c r="K195" s="29">
        <f>F195</f>
        <v/>
      </c>
    </row>
    <row r="196">
      <c r="A196" s="29">
        <f>CONCATENATE("NAME_ABILITY_", SUBSTITUTE(UPPER(B196), " ", ""))</f>
        <v/>
      </c>
      <c r="B196" s="29" t="inlineStr">
        <is>
          <t>Water Compaction</t>
        </is>
      </c>
      <c r="C196" s="29" t="inlineStr">
        <is>
          <t>みずがため</t>
        </is>
      </c>
      <c r="D196" s="29" t="inlineStr">
        <is>
          <t>Sable Humide</t>
        </is>
      </c>
      <c r="E196" s="29" t="inlineStr">
        <is>
          <t>Verklumpen</t>
        </is>
      </c>
      <c r="F196" s="29" t="inlineStr">
        <is>
          <t>Hidrorrefuerzo</t>
        </is>
      </c>
      <c r="G196" s="29" t="inlineStr">
        <is>
          <t>Idrorinforzo</t>
        </is>
      </c>
      <c r="H196" s="29" t="inlineStr">
        <is>
          <t>꾸덕꾸덕굳기</t>
        </is>
      </c>
      <c r="I196" s="29" t="inlineStr">
        <is>
          <t>遇水凝固</t>
        </is>
      </c>
      <c r="J196" s="29">
        <f>I196</f>
        <v/>
      </c>
      <c r="K196" s="29">
        <f>F196</f>
        <v/>
      </c>
    </row>
    <row r="197">
      <c r="A197" s="29">
        <f>CONCATENATE("NAME_ABILITY_", SUBSTITUTE(UPPER(B197), " ", ""))</f>
        <v/>
      </c>
      <c r="B197" s="29" t="inlineStr">
        <is>
          <t>Merciless</t>
        </is>
      </c>
      <c r="C197" s="29" t="inlineStr">
        <is>
          <t>ひとでなし</t>
        </is>
      </c>
      <c r="D197" s="29" t="inlineStr">
        <is>
          <t>Cruauté</t>
        </is>
      </c>
      <c r="E197" s="29" t="inlineStr">
        <is>
          <t>Quälerei</t>
        </is>
      </c>
      <c r="F197" s="29" t="inlineStr">
        <is>
          <t>Ensañamiento</t>
        </is>
      </c>
      <c r="G197" s="29" t="inlineStr">
        <is>
          <t>Spietatezza</t>
        </is>
      </c>
      <c r="H197" s="29" t="inlineStr">
        <is>
          <t>무도한행동</t>
        </is>
      </c>
      <c r="I197" s="29" t="inlineStr">
        <is>
          <t>不仁不義</t>
        </is>
      </c>
      <c r="J197" s="29">
        <f>IFERROR(__xludf.DUMMYFUNCTION("GOOGLETRANSLATE(I197,""zh_HANT"",""zh_HANS"")"),"不仁不义")</f>
        <v/>
      </c>
      <c r="K197" s="29">
        <f>F197</f>
        <v/>
      </c>
    </row>
    <row r="198">
      <c r="A198" s="29">
        <f>CONCATENATE("NAME_ABILITY_", SUBSTITUTE(UPPER(B198), " ", ""))</f>
        <v/>
      </c>
      <c r="B198" s="29" t="inlineStr">
        <is>
          <t>Shields Down</t>
        </is>
      </c>
      <c r="C198" s="29" t="inlineStr">
        <is>
          <t>リミットシールド</t>
        </is>
      </c>
      <c r="D198" s="29" t="inlineStr">
        <is>
          <t>Bouclier-Canon</t>
        </is>
      </c>
      <c r="E198" s="29" t="inlineStr">
        <is>
          <t>Limitschild</t>
        </is>
      </c>
      <c r="F198" s="29" t="inlineStr">
        <is>
          <t>Escudo Limitado</t>
        </is>
      </c>
      <c r="G198" s="29" t="inlineStr">
        <is>
          <t>Scudosogila</t>
        </is>
      </c>
      <c r="H198" s="29" t="inlineStr">
        <is>
          <t>리밋실드</t>
        </is>
      </c>
      <c r="I198" s="29" t="inlineStr">
        <is>
          <t>界限盾殼</t>
        </is>
      </c>
      <c r="J198" s="29">
        <f>IFERROR(__xludf.DUMMYFUNCTION("GOOGLETRANSLATE(I198,""zh_HANT"",""zh_HANS"")"),"界限盾壳")</f>
        <v/>
      </c>
      <c r="K198" s="29">
        <f>F198</f>
        <v/>
      </c>
    </row>
    <row r="199">
      <c r="A199" s="29">
        <f>CONCATENATE("NAME_ABILITY_", SUBSTITUTE(UPPER(B199), " ", ""))</f>
        <v/>
      </c>
      <c r="B199" s="29" t="inlineStr">
        <is>
          <t>Stakeout</t>
        </is>
      </c>
      <c r="C199" s="29" t="inlineStr">
        <is>
          <t>はりこみ</t>
        </is>
      </c>
      <c r="D199" s="29" t="inlineStr">
        <is>
          <t>Filature</t>
        </is>
      </c>
      <c r="E199" s="29" t="inlineStr">
        <is>
          <t>Beschattung</t>
        </is>
      </c>
      <c r="F199" s="29" t="inlineStr">
        <is>
          <t>Vigilante</t>
        </is>
      </c>
      <c r="G199" s="29" t="inlineStr">
        <is>
          <t>Sorveglianza</t>
        </is>
      </c>
      <c r="H199" s="29" t="inlineStr">
        <is>
          <t>참복</t>
        </is>
      </c>
      <c r="I199" s="29" t="inlineStr">
        <is>
          <t>監視</t>
        </is>
      </c>
      <c r="J199" s="29" t="inlineStr">
        <is>
          <t>蹲守</t>
        </is>
      </c>
      <c r="K199" s="29">
        <f>F199</f>
        <v/>
      </c>
    </row>
    <row r="200">
      <c r="A200" s="29">
        <f>CONCATENATE("NAME_ABILITY_", SUBSTITUTE(UPPER(B200), " ", ""))</f>
        <v/>
      </c>
      <c r="B200" s="29" t="inlineStr">
        <is>
          <t>Water Bubble</t>
        </is>
      </c>
      <c r="C200" s="29" t="inlineStr">
        <is>
          <t>すいほう</t>
        </is>
      </c>
      <c r="D200" s="29" t="inlineStr">
        <is>
          <t>Aquabulle</t>
        </is>
      </c>
      <c r="E200" s="29" t="inlineStr">
        <is>
          <t>Wasserblase</t>
        </is>
      </c>
      <c r="F200" s="29" t="inlineStr">
        <is>
          <t>Pompa</t>
        </is>
      </c>
      <c r="G200" s="29" t="inlineStr">
        <is>
          <t>Bolladacqua</t>
        </is>
      </c>
      <c r="H200" s="29" t="inlineStr">
        <is>
          <t>수포</t>
        </is>
      </c>
      <c r="I200" s="29" t="inlineStr">
        <is>
          <t>水泡</t>
        </is>
      </c>
      <c r="J200" s="29">
        <f>I200</f>
        <v/>
      </c>
      <c r="K200" s="29">
        <f>F200</f>
        <v/>
      </c>
    </row>
    <row r="201">
      <c r="A201" s="29">
        <f>CONCATENATE("NAME_ABILITY_", SUBSTITUTE(UPPER(B201), " ", ""))</f>
        <v/>
      </c>
      <c r="B201" s="29" t="inlineStr">
        <is>
          <t>Steelworker</t>
        </is>
      </c>
      <c r="C201" s="29" t="inlineStr">
        <is>
          <t>はがねつかい</t>
        </is>
      </c>
      <c r="D201" s="29" t="inlineStr">
        <is>
          <t>Expert Acier</t>
        </is>
      </c>
      <c r="E201" s="29" t="inlineStr">
        <is>
          <t>Stahlprofi</t>
        </is>
      </c>
      <c r="F201" s="29" t="inlineStr">
        <is>
          <t>Acero Templado</t>
        </is>
      </c>
      <c r="G201" s="29" t="inlineStr">
        <is>
          <t>Tempracciaio</t>
        </is>
      </c>
      <c r="H201" s="29" t="inlineStr">
        <is>
          <t>강철술사</t>
        </is>
      </c>
      <c r="I201" s="29" t="inlineStr">
        <is>
          <t>鋼能力者</t>
        </is>
      </c>
      <c r="J201" s="29">
        <f>IFERROR(__xludf.DUMMYFUNCTION("GOOGLETRANSLATE(I201,""zh_HANT"",""zh_HANS"")"),"钢能力者")</f>
        <v/>
      </c>
      <c r="K201" s="29">
        <f>F201</f>
        <v/>
      </c>
    </row>
    <row r="202">
      <c r="A202" s="29">
        <f>CONCATENATE("NAME_ABILITY_", SUBSTITUTE(UPPER(B202), " ", ""))</f>
        <v/>
      </c>
      <c r="B202" s="29" t="inlineStr">
        <is>
          <t>Berserk</t>
        </is>
      </c>
      <c r="C202" s="29" t="inlineStr">
        <is>
          <t>ぎゃくじょう</t>
        </is>
      </c>
      <c r="D202" s="29" t="inlineStr">
        <is>
          <t>Folle Furie</t>
        </is>
      </c>
      <c r="E202" s="29" t="inlineStr">
        <is>
          <t>Wutausbruch</t>
        </is>
      </c>
      <c r="F202" s="29" t="inlineStr">
        <is>
          <t>Cólera</t>
        </is>
      </c>
      <c r="G202" s="29" t="inlineStr">
        <is>
          <t>Furore</t>
        </is>
      </c>
      <c r="H202" s="29" t="inlineStr">
        <is>
          <t>발끈</t>
        </is>
      </c>
      <c r="I202" s="29" t="inlineStr">
        <is>
          <t>怒火沖天</t>
        </is>
      </c>
      <c r="J202" s="29">
        <f>IFERROR(__xludf.DUMMYFUNCTION("GOOGLETRANSLATE(I202,""zh_HANT"",""zh_HANS"")"),"怒火冲天")</f>
        <v/>
      </c>
      <c r="K202" s="29" t="inlineStr">
        <is>
          <t>Ira</t>
        </is>
      </c>
    </row>
    <row r="203">
      <c r="A203" s="29">
        <f>CONCATENATE("NAME_ABILITY_", SUBSTITUTE(UPPER(B203), " ", ""))</f>
        <v/>
      </c>
      <c r="B203" s="29" t="inlineStr">
        <is>
          <t>Slush Rush</t>
        </is>
      </c>
      <c r="C203" s="29" t="inlineStr">
        <is>
          <t>ゆきかき</t>
        </is>
      </c>
      <c r="D203" s="29" t="inlineStr">
        <is>
          <t>Chasse-Neige</t>
        </is>
      </c>
      <c r="E203" s="29" t="inlineStr">
        <is>
          <t>Schneescharrer</t>
        </is>
      </c>
      <c r="F203" s="29" t="inlineStr">
        <is>
          <t>Quitanieves</t>
        </is>
      </c>
      <c r="G203" s="29" t="inlineStr">
        <is>
          <t>Spalaneve</t>
        </is>
      </c>
      <c r="H203" s="29" t="inlineStr">
        <is>
          <t>눈치우기</t>
        </is>
      </c>
      <c r="I203" s="29" t="inlineStr">
        <is>
          <t>撥雪</t>
        </is>
      </c>
      <c r="J203" s="29">
        <f>IFERROR(__xludf.DUMMYFUNCTION("GOOGLETRANSLATE(I203,""zh_HANT"",""zh_HANS"")"),"拨雪")</f>
        <v/>
      </c>
      <c r="K203" s="29">
        <f>F203</f>
        <v/>
      </c>
    </row>
    <row r="204">
      <c r="A204" s="29">
        <f>CONCATENATE("NAME_ABILITY_", SUBSTITUTE(UPPER(B204), " ", ""))</f>
        <v/>
      </c>
      <c r="B204" s="29" t="inlineStr">
        <is>
          <t>Long Reach</t>
        </is>
      </c>
      <c r="C204" s="29" t="inlineStr">
        <is>
          <t>えんかく</t>
        </is>
      </c>
      <c r="D204" s="29" t="inlineStr">
        <is>
          <t>Longue Portée</t>
        </is>
      </c>
      <c r="E204" s="29" t="inlineStr">
        <is>
          <t>Langstrecke</t>
        </is>
      </c>
      <c r="F204" s="29" t="inlineStr">
        <is>
          <t>Remoto</t>
        </is>
      </c>
      <c r="G204" s="29" t="inlineStr">
        <is>
          <t>Distacco</t>
        </is>
      </c>
      <c r="H204" s="29" t="inlineStr">
        <is>
          <t>원격</t>
        </is>
      </c>
      <c r="I204" s="29" t="inlineStr">
        <is>
          <t>遠隔</t>
        </is>
      </c>
      <c r="J204" s="29">
        <f>IFERROR(__xludf.DUMMYFUNCTION("GOOGLETRANSLATE(I204,""zh_HANT"",""zh_HANS"")"),"远隔")</f>
        <v/>
      </c>
      <c r="K204" s="29">
        <f>F204</f>
        <v/>
      </c>
    </row>
    <row r="205">
      <c r="A205" s="29">
        <f>CONCATENATE("NAME_ABILITY_", SUBSTITUTE(UPPER(B205), " ", ""))</f>
        <v/>
      </c>
      <c r="B205" s="29" t="inlineStr">
        <is>
          <t>Liquid Voice</t>
        </is>
      </c>
      <c r="C205" s="29" t="inlineStr">
        <is>
          <t>うるおいボイス</t>
        </is>
      </c>
      <c r="D205" s="29" t="inlineStr">
        <is>
          <t>Hydrata-Soin</t>
        </is>
      </c>
      <c r="E205" s="29" t="inlineStr">
        <is>
          <t>Plätscherstimme</t>
        </is>
      </c>
      <c r="F205" s="29" t="inlineStr">
        <is>
          <t>Voz Fluida</t>
        </is>
      </c>
      <c r="G205" s="29" t="inlineStr">
        <is>
          <t>Idrovoce</t>
        </is>
      </c>
      <c r="H205" s="29" t="inlineStr">
        <is>
          <t>촉촉보이스</t>
        </is>
      </c>
      <c r="I205" s="29" t="inlineStr">
        <is>
          <t>濕潤之聲</t>
        </is>
      </c>
      <c r="J205" s="29">
        <f>IFERROR(__xludf.DUMMYFUNCTION("GOOGLETRANSLATE(I205,""zh_HANT"",""zh_HANS"")"),"湿润之声")</f>
        <v/>
      </c>
      <c r="K205" s="29">
        <f>F205</f>
        <v/>
      </c>
    </row>
    <row r="206">
      <c r="A206" s="29">
        <f>CONCATENATE("NAME_ABILITY_", SUBSTITUTE(UPPER(B206), " ", ""))</f>
        <v/>
      </c>
      <c r="B206" s="29" t="inlineStr">
        <is>
          <t>Triage</t>
        </is>
      </c>
      <c r="C206" s="29" t="inlineStr">
        <is>
          <t>ヒーリングシフト</t>
        </is>
      </c>
      <c r="D206" s="29" t="inlineStr">
        <is>
          <t>Prioguérison</t>
        </is>
      </c>
      <c r="E206" s="29" t="inlineStr">
        <is>
          <t>Heilwandel</t>
        </is>
      </c>
      <c r="F206" s="29" t="inlineStr">
        <is>
          <t>Primer Auxilio</t>
        </is>
      </c>
      <c r="G206" s="29" t="inlineStr">
        <is>
          <t>Primacura</t>
        </is>
      </c>
      <c r="H206" s="29" t="inlineStr">
        <is>
          <t>힐링시프트</t>
        </is>
      </c>
      <c r="I206" s="29" t="inlineStr">
        <is>
          <t>先行治療</t>
        </is>
      </c>
      <c r="J206" s="29">
        <f>IFERROR(__xludf.DUMMYFUNCTION("GOOGLETRANSLATE(I206,""zh_HANT"",""zh_HANS"")"),"先行治疗")</f>
        <v/>
      </c>
      <c r="K206" s="29">
        <f>F206</f>
        <v/>
      </c>
    </row>
    <row r="207">
      <c r="A207" s="29">
        <f>CONCATENATE("NAME_ABILITY_", SUBSTITUTE(UPPER(B207), " ", ""))</f>
        <v/>
      </c>
      <c r="B207" s="29" t="inlineStr">
        <is>
          <t>Galvanize</t>
        </is>
      </c>
      <c r="C207" s="29" t="inlineStr">
        <is>
          <t>エレキスキン</t>
        </is>
      </c>
      <c r="D207" s="29" t="inlineStr">
        <is>
          <t>Peau Électrique</t>
        </is>
      </c>
      <c r="E207" s="29" t="inlineStr">
        <is>
          <t>Elektrohaut</t>
        </is>
      </c>
      <c r="F207" s="29" t="inlineStr">
        <is>
          <t>Piel Eléctrica</t>
        </is>
      </c>
      <c r="G207" s="29" t="inlineStr">
        <is>
          <t>Pellelettro</t>
        </is>
      </c>
      <c r="H207" s="29" t="inlineStr">
        <is>
          <t>일렉트릭스킨</t>
        </is>
      </c>
      <c r="I207" s="29" t="inlineStr">
        <is>
          <t>電氣皮膚</t>
        </is>
      </c>
      <c r="J207" s="29">
        <f>IFERROR(__xludf.DUMMYFUNCTION("GOOGLETRANSLATE(I207,""zh_HANT"",""zh_HANS"")"),"电气皮肤")</f>
        <v/>
      </c>
      <c r="K207" s="29">
        <f>F207</f>
        <v/>
      </c>
    </row>
    <row r="208">
      <c r="A208" s="29">
        <f>CONCATENATE("NAME_ABILITY_", SUBSTITUTE(UPPER(B208), " ", ""))</f>
        <v/>
      </c>
      <c r="B208" s="29" t="inlineStr">
        <is>
          <t>Surge Surfer</t>
        </is>
      </c>
      <c r="C208" s="29" t="inlineStr">
        <is>
          <t>サーフテール</t>
        </is>
      </c>
      <c r="D208" s="29" t="inlineStr">
        <is>
          <t>Surf Caudal</t>
        </is>
      </c>
      <c r="E208" s="29" t="inlineStr">
        <is>
          <t>Surf-Schweif</t>
        </is>
      </c>
      <c r="F208" s="29" t="inlineStr">
        <is>
          <t>Cola Surf</t>
        </is>
      </c>
      <c r="G208" s="29" t="inlineStr">
        <is>
          <t>Codasurf</t>
        </is>
      </c>
      <c r="H208" s="29" t="inlineStr">
        <is>
          <t>서핑테일</t>
        </is>
      </c>
      <c r="I208" s="29" t="inlineStr">
        <is>
          <t>衝浪之尾</t>
        </is>
      </c>
      <c r="J208" s="29">
        <f>IFERROR(__xludf.DUMMYFUNCTION("GOOGLETRANSLATE(I208,""zh_HANT"",""zh_HANS"")"),"冲浪之尾")</f>
        <v/>
      </c>
      <c r="K208" s="29">
        <f>F208</f>
        <v/>
      </c>
    </row>
    <row r="209">
      <c r="A209" s="29">
        <f>CONCATENATE("NAME_ABILITY_", SUBSTITUTE(UPPER(B209), " ", ""))</f>
        <v/>
      </c>
      <c r="B209" s="29" t="inlineStr">
        <is>
          <t>Schooling</t>
        </is>
      </c>
      <c r="C209" s="29" t="inlineStr">
        <is>
          <t>ぎょぐん</t>
        </is>
      </c>
      <c r="D209" s="29" t="inlineStr">
        <is>
          <t>Banc</t>
        </is>
      </c>
      <c r="E209" s="29" t="inlineStr">
        <is>
          <t>Fischschwarm</t>
        </is>
      </c>
      <c r="F209" s="29" t="inlineStr">
        <is>
          <t>Banco</t>
        </is>
      </c>
      <c r="G209" s="29">
        <f>F209</f>
        <v/>
      </c>
      <c r="H209" s="29" t="inlineStr">
        <is>
          <t>어군</t>
        </is>
      </c>
      <c r="I209" s="29" t="inlineStr">
        <is>
          <t>魚群</t>
        </is>
      </c>
      <c r="J209" s="29">
        <f>IFERROR(__xludf.DUMMYFUNCTION("GOOGLETRANSLATE(I209,""zh_HANT"",""zh_HANS"")"),"鱼群")</f>
        <v/>
      </c>
      <c r="K209" s="29">
        <f>F209</f>
        <v/>
      </c>
    </row>
    <row r="210">
      <c r="A210" s="29">
        <f>CONCATENATE("NAME_ABILITY_", SUBSTITUTE(UPPER(B210), " ", ""))</f>
        <v/>
      </c>
      <c r="B210" s="29" t="inlineStr">
        <is>
          <t>Disguise</t>
        </is>
      </c>
      <c r="C210" s="29" t="inlineStr">
        <is>
          <t>ばけのかわ</t>
        </is>
      </c>
      <c r="D210" s="29" t="inlineStr">
        <is>
          <t>Fantômasque</t>
        </is>
      </c>
      <c r="E210" s="29" t="inlineStr">
        <is>
          <t>Kostümspuk</t>
        </is>
      </c>
      <c r="F210" s="29" t="inlineStr">
        <is>
          <t>Disfraz</t>
        </is>
      </c>
      <c r="G210" s="29" t="inlineStr">
        <is>
          <t>Fantasmanto</t>
        </is>
      </c>
      <c r="H210" s="29" t="inlineStr">
        <is>
          <t>탈</t>
        </is>
      </c>
      <c r="I210" s="29" t="inlineStr">
        <is>
          <t>畫皮</t>
        </is>
      </c>
      <c r="J210" s="29">
        <f>IFERROR(__xludf.DUMMYFUNCTION("GOOGLETRANSLATE(I210,""zh_HANT"",""zh_HANS"")"),"画皮")</f>
        <v/>
      </c>
      <c r="K210" s="29">
        <f>F210</f>
        <v/>
      </c>
    </row>
    <row r="211">
      <c r="A211" s="29">
        <f>CONCATENATE("NAME_ABILITY_", SUBSTITUTE(UPPER(B211), " ", ""))</f>
        <v/>
      </c>
      <c r="B211" s="29" t="inlineStr">
        <is>
          <t>Battle Bond</t>
        </is>
      </c>
      <c r="C211" s="29" t="inlineStr">
        <is>
          <t>きずなへんげ</t>
        </is>
      </c>
      <c r="D211" s="29" t="inlineStr">
        <is>
          <t>Synergie</t>
        </is>
      </c>
      <c r="E211" s="29" t="inlineStr">
        <is>
          <t>Freundschaftsakt</t>
        </is>
      </c>
      <c r="F211" s="29" t="inlineStr">
        <is>
          <t>Fuerte Afecto</t>
        </is>
      </c>
      <c r="G211" s="29" t="inlineStr">
        <is>
          <t>Morfosintonia</t>
        </is>
      </c>
      <c r="H211" s="29" t="inlineStr">
        <is>
          <t>유대변화</t>
        </is>
      </c>
      <c r="I211" s="29" t="inlineStr">
        <is>
          <t>牽絆變身</t>
        </is>
      </c>
      <c r="J211" s="29">
        <f>IFERROR(__xludf.DUMMYFUNCTION("GOOGLETRANSLATE(I211,""zh_HANT"",""zh_HANS"")"),"牵绊变身")</f>
        <v/>
      </c>
      <c r="K211" s="29">
        <f>F211</f>
        <v/>
      </c>
    </row>
    <row r="212">
      <c r="A212" s="29">
        <f>CONCATENATE("NAME_ABILITY_", SUBSTITUTE(UPPER(B212), " ", ""))</f>
        <v/>
      </c>
      <c r="B212" s="29" t="inlineStr">
        <is>
          <t>Power Construct</t>
        </is>
      </c>
      <c r="C212" s="29" t="inlineStr">
        <is>
          <t>スワームチェンジ</t>
        </is>
      </c>
      <c r="D212" s="29" t="inlineStr">
        <is>
          <t>Rassemblement</t>
        </is>
      </c>
      <c r="E212" s="29" t="inlineStr">
        <is>
          <t>Scharwandel</t>
        </is>
      </c>
      <c r="F212" s="29" t="inlineStr">
        <is>
          <t>Agrupamiento</t>
        </is>
      </c>
      <c r="G212" s="29" t="inlineStr">
        <is>
          <t>Sciamefusione</t>
        </is>
      </c>
      <c r="H212" s="29" t="inlineStr">
        <is>
          <t>스웜체인지</t>
        </is>
      </c>
      <c r="I212" s="29" t="inlineStr">
        <is>
          <t>群聚變形</t>
        </is>
      </c>
      <c r="J212" s="29">
        <f>IFERROR(__xludf.DUMMYFUNCTION("GOOGLETRANSLATE(I212,""zh_HANT"",""zh_HANS"")"),"群聚变形")</f>
        <v/>
      </c>
      <c r="K212" s="29">
        <f>F212</f>
        <v/>
      </c>
    </row>
    <row r="213">
      <c r="A213" s="29">
        <f>CONCATENATE("NAME_ABILITY_", SUBSTITUTE(UPPER(B213), " ", ""))</f>
        <v/>
      </c>
      <c r="B213" s="29" t="inlineStr">
        <is>
          <t>Corrosion</t>
        </is>
      </c>
      <c r="C213" s="29" t="inlineStr">
        <is>
          <t>ふしょく</t>
        </is>
      </c>
      <c r="D213" s="29" t="inlineStr">
        <is>
          <t>Corrosion</t>
        </is>
      </c>
      <c r="E213" s="29" t="inlineStr">
        <is>
          <t>Korrosion</t>
        </is>
      </c>
      <c r="F213" s="29" t="inlineStr">
        <is>
          <t>Corrosión</t>
        </is>
      </c>
      <c r="G213" s="29">
        <f>CONCATENATE(B213,"e")</f>
        <v/>
      </c>
      <c r="H213" s="29" t="inlineStr">
        <is>
          <t>부식</t>
        </is>
      </c>
      <c r="I213" s="29" t="inlineStr">
        <is>
          <t>腐蝕</t>
        </is>
      </c>
      <c r="J213" s="29">
        <f>IFERROR(__xludf.DUMMYFUNCTION("GOOGLETRANSLATE(I213,""zh_HANT"",""zh_HANS"")"),"腐蚀")</f>
        <v/>
      </c>
      <c r="K213" s="29">
        <f>F213</f>
        <v/>
      </c>
    </row>
    <row r="214">
      <c r="A214" s="29">
        <f>CONCATENATE("NAME_ABILITY_", SUBSTITUTE(UPPER(B214), " ", ""))</f>
        <v/>
      </c>
      <c r="B214" s="29" t="inlineStr">
        <is>
          <t>Comatose</t>
        </is>
      </c>
      <c r="C214" s="29" t="inlineStr">
        <is>
          <t>ぜったいねむり</t>
        </is>
      </c>
      <c r="D214" s="29" t="inlineStr">
        <is>
          <t>Hypersommeil</t>
        </is>
      </c>
      <c r="E214" s="29" t="inlineStr">
        <is>
          <t>Dauerschlaf</t>
        </is>
      </c>
      <c r="F214" s="29" t="inlineStr">
        <is>
          <t>Letargo Perenne</t>
        </is>
      </c>
      <c r="G214" s="29" t="inlineStr">
        <is>
          <t>Sonno Assoluto</t>
        </is>
      </c>
      <c r="H214" s="29" t="inlineStr">
        <is>
          <t>절대안깸</t>
        </is>
      </c>
      <c r="I214" s="29" t="inlineStr">
        <is>
          <t>絕對睡眠</t>
        </is>
      </c>
      <c r="J214" s="29">
        <f>IFERROR(__xludf.DUMMYFUNCTION("GOOGLETRANSLATE(I214,""zh_HANT"",""zh_HANS"")"),"绝对睡眠")</f>
        <v/>
      </c>
      <c r="K214" s="29">
        <f>F214</f>
        <v/>
      </c>
    </row>
    <row r="215">
      <c r="A215" s="29">
        <f>CONCATENATE("NAME_ABILITY_", SUBSTITUTE(UPPER(B215), " ", ""))</f>
        <v/>
      </c>
      <c r="B215" s="29" t="inlineStr">
        <is>
          <t>Queenly Majesty</t>
        </is>
      </c>
      <c r="C215" s="29" t="inlineStr">
        <is>
          <t>じょおうのいげん</t>
        </is>
      </c>
      <c r="D215" s="29" t="inlineStr">
        <is>
          <t>Prestance Royale</t>
        </is>
      </c>
      <c r="E215" s="29" t="inlineStr">
        <is>
          <t>Majestät</t>
        </is>
      </c>
      <c r="F215" s="29" t="inlineStr">
        <is>
          <t>Regia Presencia</t>
        </is>
      </c>
      <c r="G215" s="29" t="inlineStr">
        <is>
          <t>Regalità</t>
        </is>
      </c>
      <c r="H215" s="29" t="inlineStr">
        <is>
          <t>여왕의위엄</t>
        </is>
      </c>
      <c r="I215" s="29" t="inlineStr">
        <is>
          <t>女王的威嚴</t>
        </is>
      </c>
      <c r="J215" s="29">
        <f>IFERROR(__xludf.DUMMYFUNCTION("GOOGLETRANSLATE(I215,""zh_HANT"",""zh_HANS"")"),"女王的威严")</f>
        <v/>
      </c>
      <c r="K215" s="29">
        <f>F215</f>
        <v/>
      </c>
    </row>
    <row r="216">
      <c r="A216" s="29">
        <f>CONCATENATE("NAME_ABILITY_", SUBSTITUTE(UPPER(B216), " ", ""))</f>
        <v/>
      </c>
      <c r="B216" s="29" t="inlineStr">
        <is>
          <t>Innards Out</t>
        </is>
      </c>
      <c r="C216" s="29" t="inlineStr">
        <is>
          <t>とびだすなかみ</t>
        </is>
      </c>
      <c r="D216" s="29" t="inlineStr">
        <is>
          <t>Expuls'Organes</t>
        </is>
      </c>
      <c r="E216" s="29" t="inlineStr">
        <is>
          <t>Magenkrempler</t>
        </is>
      </c>
      <c r="F216" s="29" t="inlineStr">
        <is>
          <t>Revés</t>
        </is>
      </c>
      <c r="G216" s="29" t="inlineStr">
        <is>
          <t>Espellinterno</t>
        </is>
      </c>
      <c r="H216" s="29" t="inlineStr">
        <is>
          <t>내용물분출</t>
        </is>
      </c>
      <c r="I216" s="29" t="inlineStr">
        <is>
          <t>飛出的內在物</t>
        </is>
      </c>
      <c r="J216" s="29">
        <f>IFERROR(__xludf.DUMMYFUNCTION("GOOGLETRANSLATE(I216,""zh_HANT"",""zh_HANS"")"),"飞出的内在物")</f>
        <v/>
      </c>
      <c r="K216" s="29">
        <f>F216</f>
        <v/>
      </c>
    </row>
    <row r="217">
      <c r="A217" s="29">
        <f>CONCATENATE("NAME_ABILITY_", SUBSTITUTE(UPPER(B217), " ", ""))</f>
        <v/>
      </c>
      <c r="B217" s="29" t="inlineStr">
        <is>
          <t>Dancer</t>
        </is>
      </c>
      <c r="C217" s="29" t="inlineStr">
        <is>
          <t>おどりこ</t>
        </is>
      </c>
      <c r="D217" s="29" t="inlineStr">
        <is>
          <t>Danseuse</t>
        </is>
      </c>
      <c r="E217" s="29" t="inlineStr">
        <is>
          <t>Tänzer</t>
        </is>
      </c>
      <c r="F217" s="29" t="inlineStr">
        <is>
          <t>Pareja de Baile</t>
        </is>
      </c>
      <c r="G217" s="29" t="inlineStr">
        <is>
          <t>Sincrodanza</t>
        </is>
      </c>
      <c r="H217" s="29" t="inlineStr">
        <is>
          <t>무희</t>
        </is>
      </c>
      <c r="I217" s="29" t="inlineStr">
        <is>
          <t>舞者</t>
        </is>
      </c>
      <c r="J217" s="29">
        <f>I217</f>
        <v/>
      </c>
      <c r="K217" s="29">
        <f>F217</f>
        <v/>
      </c>
    </row>
    <row r="218">
      <c r="A218" s="29">
        <f>CONCATENATE("NAME_ABILITY_", SUBSTITUTE(UPPER(B218), " ", ""))</f>
        <v/>
      </c>
      <c r="B218" s="29" t="inlineStr">
        <is>
          <t>Battery</t>
        </is>
      </c>
      <c r="C218" s="29" t="inlineStr">
        <is>
          <t>バッテリー</t>
        </is>
      </c>
      <c r="D218" s="29" t="inlineStr">
        <is>
          <t>Batterie</t>
        </is>
      </c>
      <c r="E218" s="29">
        <f>D218</f>
        <v/>
      </c>
      <c r="F218" s="29" t="inlineStr">
        <is>
          <t>Batería</t>
        </is>
      </c>
      <c r="G218" s="29">
        <f>F218</f>
        <v/>
      </c>
      <c r="H218" s="29" t="inlineStr">
        <is>
          <t>배터리</t>
        </is>
      </c>
      <c r="I218" s="29" t="inlineStr">
        <is>
          <t>蓄電池</t>
        </is>
      </c>
      <c r="J218" s="29">
        <f>IFERROR(__xludf.DUMMYFUNCTION("GOOGLETRANSLATE(I218,""zh_HANT"",""zh_HANS"")"),"蓄电池")</f>
        <v/>
      </c>
      <c r="K218" s="29">
        <f>F218</f>
        <v/>
      </c>
    </row>
    <row r="219">
      <c r="A219" s="29">
        <f>CONCATENATE("NAME_ABILITY_", SUBSTITUTE(UPPER(B219), " ", ""))</f>
        <v/>
      </c>
      <c r="B219" s="29" t="inlineStr">
        <is>
          <t>Fluffy</t>
        </is>
      </c>
      <c r="C219" s="29" t="inlineStr">
        <is>
          <t>もふもふ</t>
        </is>
      </c>
      <c r="D219" s="29" t="inlineStr">
        <is>
          <t>Boule de Poils</t>
        </is>
      </c>
      <c r="E219" s="29" t="inlineStr">
        <is>
          <t>Flauschigkeit</t>
        </is>
      </c>
      <c r="F219" s="29" t="inlineStr">
        <is>
          <t>Peluche</t>
        </is>
      </c>
      <c r="G219" s="29" t="inlineStr">
        <is>
          <t>Morbidone</t>
        </is>
      </c>
      <c r="H219" s="29" t="inlineStr">
        <is>
          <t>복슬복슬</t>
        </is>
      </c>
      <c r="I219" s="29" t="inlineStr">
        <is>
          <t>毛茸茸</t>
        </is>
      </c>
      <c r="J219" s="29">
        <f>I219</f>
        <v/>
      </c>
      <c r="K219" s="29">
        <f>F219</f>
        <v/>
      </c>
    </row>
    <row r="220">
      <c r="A220" s="29">
        <f>CONCATENATE("NAME_ABILITY_", SUBSTITUTE(UPPER(B220), " ", ""))</f>
        <v/>
      </c>
      <c r="B220" s="29" t="inlineStr">
        <is>
          <t>Dazzling</t>
        </is>
      </c>
      <c r="C220" s="29" t="inlineStr">
        <is>
          <t>ビビッドボヂィ</t>
        </is>
      </c>
      <c r="D220" s="29" t="inlineStr">
        <is>
          <t>Corps Coloré</t>
        </is>
      </c>
      <c r="E220" s="29" t="inlineStr">
        <is>
          <t>Buntkörper</t>
        </is>
      </c>
      <c r="F220" s="29" t="inlineStr">
        <is>
          <t>Cuerpo Vívido</t>
        </is>
      </c>
      <c r="G220" s="29" t="inlineStr">
        <is>
          <t>Corposgargiante</t>
        </is>
      </c>
      <c r="H220" s="29" t="inlineStr">
        <is>
          <t>비비드바디</t>
        </is>
      </c>
      <c r="I220" s="29" t="inlineStr">
        <is>
          <t>鮮艷之軀</t>
        </is>
      </c>
      <c r="J220" s="29">
        <f>IFERROR(__xludf.DUMMYFUNCTION("GOOGLETRANSLATE(I220,""zh_HANT"",""zh_HANS"")"),"鲜艳之躯")</f>
        <v/>
      </c>
      <c r="K220" s="29">
        <f>F220</f>
        <v/>
      </c>
    </row>
    <row r="221">
      <c r="A221" s="29">
        <f>CONCATENATE("NAME_ABILITY_", SUBSTITUTE(UPPER(B221), " ", ""))</f>
        <v/>
      </c>
      <c r="B221" s="29" t="inlineStr">
        <is>
          <t>Soul-Heart</t>
        </is>
      </c>
      <c r="C221" s="29" t="inlineStr">
        <is>
          <t>ソウルハート</t>
        </is>
      </c>
      <c r="D221" s="29" t="inlineStr">
        <is>
          <t>Animacœur</t>
        </is>
      </c>
      <c r="E221" s="29" t="inlineStr">
        <is>
          <t>Seelenherz</t>
        </is>
      </c>
      <c r="F221" s="29" t="inlineStr">
        <is>
          <t>Coránima</t>
        </is>
      </c>
      <c r="G221" s="29" t="inlineStr">
        <is>
          <t>Cuoreanima</t>
        </is>
      </c>
      <c r="H221" s="29" t="inlineStr">
        <is>
          <t>소울하트</t>
        </is>
      </c>
      <c r="I221" s="29" t="inlineStr">
        <is>
          <t>魂心</t>
        </is>
      </c>
      <c r="J221" s="29">
        <f>I221</f>
        <v/>
      </c>
      <c r="K221" s="29">
        <f>F221</f>
        <v/>
      </c>
    </row>
    <row r="222">
      <c r="A222" s="29">
        <f>CONCATENATE("NAME_ABILITY_", SUBSTITUTE(UPPER(B222), " ", ""))</f>
        <v/>
      </c>
      <c r="B222" s="29" t="inlineStr">
        <is>
          <t>Tangling Hair</t>
        </is>
      </c>
      <c r="C222" s="29" t="inlineStr">
        <is>
          <t>カーリーヘアー</t>
        </is>
      </c>
      <c r="D222" s="29" t="inlineStr">
        <is>
          <t>Mèche Rebelle</t>
        </is>
      </c>
      <c r="E222" s="29" t="inlineStr">
        <is>
          <t>Lockenkopf</t>
        </is>
      </c>
      <c r="F222" s="29" t="inlineStr">
        <is>
          <t>Rizos Rebeldes</t>
        </is>
      </c>
      <c r="G222" s="29" t="inlineStr">
        <is>
          <t>Boccolidoro</t>
        </is>
      </c>
      <c r="H222" s="29" t="inlineStr">
        <is>
          <t>컬리헤어</t>
        </is>
      </c>
      <c r="I222" s="29" t="inlineStr">
        <is>
          <t>捲髮</t>
        </is>
      </c>
      <c r="J222" s="29">
        <f>IFERROR(__xludf.DUMMYFUNCTION("GOOGLETRANSLATE(I222,""zh_HANT"",""zh_HANS"")"),"卷发")</f>
        <v/>
      </c>
      <c r="K222" s="29">
        <f>F222</f>
        <v/>
      </c>
    </row>
    <row r="223">
      <c r="A223" s="29">
        <f>CONCATENATE("NAME_ABILITY_", SUBSTITUTE(UPPER(B223), " ", ""))</f>
        <v/>
      </c>
      <c r="B223" s="29" t="inlineStr">
        <is>
          <t>Receiver</t>
        </is>
      </c>
      <c r="C223" s="29" t="inlineStr">
        <is>
          <t>リシーバー</t>
        </is>
      </c>
      <c r="D223" s="29" t="inlineStr">
        <is>
          <t>Receveur</t>
        </is>
      </c>
      <c r="E223" s="29">
        <f>B223</f>
        <v/>
      </c>
      <c r="F223" s="29" t="inlineStr">
        <is>
          <t>Receptor</t>
        </is>
      </c>
      <c r="G223" s="29" t="inlineStr">
        <is>
          <t>Ricezione</t>
        </is>
      </c>
      <c r="H223" s="29" t="inlineStr">
        <is>
          <t>리시버</t>
        </is>
      </c>
      <c r="I223" s="29" t="inlineStr">
        <is>
          <t>接球手</t>
        </is>
      </c>
      <c r="J223" s="29">
        <f>I223</f>
        <v/>
      </c>
      <c r="K223" s="29">
        <f>F223</f>
        <v/>
      </c>
    </row>
    <row r="224">
      <c r="A224" s="29">
        <f>CONCATENATE("NAME_ABILITY_", SUBSTITUTE(UPPER(B224), " ", ""))</f>
        <v/>
      </c>
      <c r="B224" s="29" t="inlineStr">
        <is>
          <t>Power of Alchemy</t>
        </is>
      </c>
      <c r="C224" s="29" t="inlineStr">
        <is>
          <t>かがくのちから</t>
        </is>
      </c>
      <c r="D224" s="29" t="inlineStr">
        <is>
          <t>Osmose</t>
        </is>
      </c>
      <c r="E224" s="29" t="inlineStr">
        <is>
          <t>Chemiekraft</t>
        </is>
      </c>
      <c r="F224" s="29" t="inlineStr">
        <is>
          <t>Reacción Química</t>
        </is>
      </c>
      <c r="G224" s="29" t="inlineStr">
        <is>
          <t>Forza Chimica</t>
        </is>
      </c>
      <c r="H224" s="29" t="inlineStr">
        <is>
          <t>과학의힘</t>
        </is>
      </c>
      <c r="I224" s="29" t="inlineStr">
        <is>
          <t>化學之力</t>
        </is>
      </c>
      <c r="J224" s="29">
        <f>IFERROR(__xludf.DUMMYFUNCTION("GOOGLETRANSLATE(I224,""zh_HANT"",""zh_HANS"")"),"化学之力")</f>
        <v/>
      </c>
      <c r="K224" s="29">
        <f>F224</f>
        <v/>
      </c>
    </row>
    <row r="225">
      <c r="A225" s="29">
        <f>CONCATENATE("NAME_ABILITY_", SUBSTITUTE(UPPER(B225), " ", ""))</f>
        <v/>
      </c>
      <c r="B225" s="29" t="inlineStr">
        <is>
          <t>Beast Boost</t>
        </is>
      </c>
      <c r="C225" s="29" t="inlineStr">
        <is>
          <t>ビーストブースト</t>
        </is>
      </c>
      <c r="D225" s="29" t="inlineStr">
        <is>
          <t>Boost Chimère</t>
        </is>
      </c>
      <c r="E225" s="29" t="inlineStr">
        <is>
          <t>Bestien-Boost</t>
        </is>
      </c>
      <c r="F225" s="29" t="inlineStr">
        <is>
          <t>Ultraimpulso</t>
        </is>
      </c>
      <c r="G225" s="29" t="inlineStr">
        <is>
          <t>Ultraboost</t>
        </is>
      </c>
      <c r="H225" s="29" t="inlineStr">
        <is>
          <t>비스트부스트</t>
        </is>
      </c>
      <c r="I225" s="29" t="inlineStr">
        <is>
          <t>異獸提升</t>
        </is>
      </c>
      <c r="J225" s="29">
        <f>IFERROR(__xludf.DUMMYFUNCTION("GOOGLETRANSLATE(I225,""zh_HANT"",""zh_HANS"")"),"异兽提升")</f>
        <v/>
      </c>
      <c r="K225" s="29">
        <f>F225</f>
        <v/>
      </c>
    </row>
    <row r="226">
      <c r="A226" s="29">
        <f>CONCATENATE("NAME_ABILITY_", SUBSTITUTE(UPPER(B226), " ", ""))</f>
        <v/>
      </c>
      <c r="B226" s="29" t="inlineStr">
        <is>
          <t>RKS System</t>
        </is>
      </c>
      <c r="C226" s="29" t="inlineStr">
        <is>
          <t>ＡＲシステム</t>
        </is>
      </c>
      <c r="D226" s="29" t="inlineStr">
        <is>
          <t>Système Alpha</t>
        </is>
      </c>
      <c r="E226" s="29" t="inlineStr">
        <is>
          <t>Alpha-System</t>
        </is>
      </c>
      <c r="F226" s="29" t="inlineStr">
        <is>
          <t>Sistema Alfa</t>
        </is>
      </c>
      <c r="G226" s="29" t="inlineStr">
        <is>
          <t>Sistema Primevo</t>
        </is>
      </c>
      <c r="H226" s="29" t="inlineStr">
        <is>
          <t>ＡＲ시스템</t>
        </is>
      </c>
      <c r="I226" s="29" t="inlineStr">
        <is>
          <t>ＡＲ系統</t>
        </is>
      </c>
      <c r="J226" s="29">
        <f>IFERROR(__xludf.DUMMYFUNCTION("GOOGLETRANSLATE(I226,""zh_HANT"",""zh_HANS"")"),"ＡＲ系统")</f>
        <v/>
      </c>
      <c r="K226" s="29">
        <f>F226</f>
        <v/>
      </c>
    </row>
    <row r="227">
      <c r="A227" s="29">
        <f>CONCATENATE("NAME_ABILITY_", SUBSTITUTE(UPPER(B227), " ", ""))</f>
        <v/>
      </c>
      <c r="B227" s="29" t="inlineStr">
        <is>
          <t>Electric Surge</t>
        </is>
      </c>
      <c r="C227" s="29" t="inlineStr">
        <is>
          <t>エレキメイカー</t>
        </is>
      </c>
      <c r="D227" s="29" t="inlineStr">
        <is>
          <t>Créa-Élec</t>
        </is>
      </c>
      <c r="E227" s="29" t="inlineStr">
        <is>
          <t>Elektro-Erzeuger</t>
        </is>
      </c>
      <c r="F227" s="29" t="inlineStr">
        <is>
          <t>Electrogénesis</t>
        </is>
      </c>
      <c r="G227" s="29" t="inlineStr">
        <is>
          <t>Elettrogenesi</t>
        </is>
      </c>
      <c r="H227" s="29" t="inlineStr">
        <is>
          <t>일렉트릭메이커</t>
        </is>
      </c>
      <c r="I227" s="29" t="inlineStr">
        <is>
          <t>電氣製造者</t>
        </is>
      </c>
      <c r="J227" s="29">
        <f>IFERROR(__xludf.DUMMYFUNCTION("GOOGLETRANSLATE(I227,""zh_HANT"",""zh_HANS"")"),"电气制造者")</f>
        <v/>
      </c>
      <c r="K227" s="29">
        <f>F227</f>
        <v/>
      </c>
    </row>
    <row r="228">
      <c r="A228" s="29">
        <f>CONCATENATE("NAME_ABILITY_", SUBSTITUTE(UPPER(B228), " ", ""))</f>
        <v/>
      </c>
      <c r="B228" s="29" t="inlineStr">
        <is>
          <t>Psychic Surge</t>
        </is>
      </c>
      <c r="C228" s="29" t="inlineStr">
        <is>
          <t>サイコメイカー</t>
        </is>
      </c>
      <c r="D228" s="29" t="inlineStr">
        <is>
          <t>Créa-Psy</t>
        </is>
      </c>
      <c r="E228" s="29" t="inlineStr">
        <is>
          <t>Psycho-Erzeuger</t>
        </is>
      </c>
      <c r="F228" s="29" t="inlineStr">
        <is>
          <t>Psicogénesis</t>
        </is>
      </c>
      <c r="G228" s="29" t="inlineStr">
        <is>
          <t>Psicogenesi</t>
        </is>
      </c>
      <c r="H228" s="29" t="inlineStr">
        <is>
          <t>사이코메이커</t>
        </is>
      </c>
      <c r="I228" s="29" t="inlineStr">
        <is>
          <t>精神製造者</t>
        </is>
      </c>
      <c r="J228" s="29">
        <f>IFERROR(__xludf.DUMMYFUNCTION("GOOGLETRANSLATE(I228,""zh_HANT"",""zh_HANS"")"),"精神制造者")</f>
        <v/>
      </c>
      <c r="K228" s="29">
        <f>F228</f>
        <v/>
      </c>
    </row>
    <row r="229">
      <c r="A229" s="29">
        <f>CONCATENATE("NAME_ABILITY_", SUBSTITUTE(UPPER(B229), " ", ""))</f>
        <v/>
      </c>
      <c r="B229" s="29" t="inlineStr">
        <is>
          <t>Misty Surge</t>
        </is>
      </c>
      <c r="C229" s="29" t="inlineStr">
        <is>
          <t>ミストメイカー</t>
        </is>
      </c>
      <c r="D229" s="29" t="inlineStr">
        <is>
          <t>Créa-Brume</t>
        </is>
      </c>
      <c r="E229" s="29" t="inlineStr">
        <is>
          <t>Nebel-Erzeuger</t>
        </is>
      </c>
      <c r="F229" s="29" t="inlineStr">
        <is>
          <t>Nebulogénesis</t>
        </is>
      </c>
      <c r="G229" s="29" t="inlineStr">
        <is>
          <t>Nebbiogenesi</t>
        </is>
      </c>
      <c r="H229" s="29" t="inlineStr">
        <is>
          <t>미스트메이커</t>
        </is>
      </c>
      <c r="I229" s="29" t="inlineStr">
        <is>
          <t>精神製造者</t>
        </is>
      </c>
      <c r="J229" s="29">
        <f>IFERROR(__xludf.DUMMYFUNCTION("GOOGLETRANSLATE(I229,""zh_HANT"",""zh_HANS"")"),"精神制造者")</f>
        <v/>
      </c>
      <c r="K229" s="29">
        <f>F229</f>
        <v/>
      </c>
    </row>
    <row r="230">
      <c r="A230" s="29">
        <f>CONCATENATE("NAME_ABILITY_", SUBSTITUTE(UPPER(B230), " ", ""))</f>
        <v/>
      </c>
      <c r="B230" s="29" t="inlineStr">
        <is>
          <t>Grassy Surge</t>
        </is>
      </c>
      <c r="C230" s="29" t="inlineStr">
        <is>
          <t>グラスメイカー</t>
        </is>
      </c>
      <c r="D230" s="29" t="inlineStr">
        <is>
          <t>Créa-Herbe</t>
        </is>
      </c>
      <c r="E230" s="29" t="inlineStr">
        <is>
          <t>Gras-Erzeuger</t>
        </is>
      </c>
      <c r="F230" s="29" t="inlineStr">
        <is>
          <t>Herbogénesis</t>
        </is>
      </c>
      <c r="G230" s="29" t="inlineStr">
        <is>
          <t>Erbogenesi</t>
        </is>
      </c>
      <c r="H230" s="29" t="inlineStr">
        <is>
          <t>그래스메이커</t>
        </is>
      </c>
      <c r="I230" s="29" t="inlineStr">
        <is>
          <t>青草製造者</t>
        </is>
      </c>
      <c r="J230" s="29">
        <f>IFERROR(__xludf.DUMMYFUNCTION("GOOGLETRANSLATE(I230,""zh_HANT"",""zh_HANS"")"),"青草制造者")</f>
        <v/>
      </c>
      <c r="K230" s="29">
        <f>F230</f>
        <v/>
      </c>
    </row>
    <row r="231">
      <c r="A231" s="29">
        <f>CONCATENATE("NAME_ABILITY_", SUBSTITUTE(UPPER(B231), " ", ""))</f>
        <v/>
      </c>
      <c r="B231" s="29" t="inlineStr">
        <is>
          <t>Full Metal Body</t>
        </is>
      </c>
      <c r="C231" s="29" t="inlineStr">
        <is>
          <t>メタルプロテクト</t>
        </is>
      </c>
      <c r="D231" s="29" t="inlineStr">
        <is>
          <t>Métallo-Garde</t>
        </is>
      </c>
      <c r="E231" s="29" t="inlineStr">
        <is>
          <t>Metallprotektor</t>
        </is>
      </c>
      <c r="F231" s="29" t="inlineStr">
        <is>
          <t>Guardia Metálica</t>
        </is>
      </c>
      <c r="G231" s="29" t="inlineStr">
        <is>
          <t>Metalprotezione</t>
        </is>
      </c>
      <c r="H231" s="29" t="inlineStr">
        <is>
          <t>메탈프로텍트</t>
        </is>
      </c>
      <c r="I231" s="29" t="inlineStr">
        <is>
          <t>金屬防護</t>
        </is>
      </c>
      <c r="J231" s="29">
        <f>IFERROR(__xludf.DUMMYFUNCTION("GOOGLETRANSLATE(I231,""zh_HANT"",""zh_HANS"")"),"金属防护")</f>
        <v/>
      </c>
      <c r="K231" s="29">
        <f>F231</f>
        <v/>
      </c>
    </row>
    <row r="232">
      <c r="A232" s="29">
        <f>CONCATENATE("NAME_ABILITY_", SUBSTITUTE(UPPER(B232), " ", ""))</f>
        <v/>
      </c>
      <c r="B232" s="29" t="inlineStr">
        <is>
          <t>Shadow Shield</t>
        </is>
      </c>
      <c r="C232" s="29" t="inlineStr">
        <is>
          <t>ファントムガード</t>
        </is>
      </c>
      <c r="D232" s="29" t="inlineStr">
        <is>
          <t>Spectro-Bouclier</t>
        </is>
      </c>
      <c r="E232" s="29" t="inlineStr">
        <is>
          <t>Phantomschutz</t>
        </is>
      </c>
      <c r="F232" s="29" t="inlineStr">
        <is>
          <t>Guardia Espectro</t>
        </is>
      </c>
      <c r="G232" s="29" t="inlineStr">
        <is>
          <t>Spettroguardia</t>
        </is>
      </c>
      <c r="H232" s="29" t="inlineStr">
        <is>
          <t>스펙터가드</t>
        </is>
      </c>
      <c r="I232" s="29" t="inlineStr">
        <is>
          <t>幻影防守</t>
        </is>
      </c>
      <c r="J232" s="29">
        <f>I232</f>
        <v/>
      </c>
      <c r="K232" s="29">
        <f>F232</f>
        <v/>
      </c>
    </row>
    <row r="233">
      <c r="A233" s="29">
        <f>CONCATENATE("NAME_ABILITY_", SUBSTITUTE(UPPER(B233), " ", ""))</f>
        <v/>
      </c>
      <c r="B233" s="29" t="inlineStr">
        <is>
          <t>Prism Armor</t>
        </is>
      </c>
      <c r="C233" s="29" t="inlineStr">
        <is>
          <t>プリスムアーマー</t>
        </is>
      </c>
      <c r="D233" s="29" t="inlineStr">
        <is>
          <t>Prisme-Armure</t>
        </is>
      </c>
      <c r="E233" s="29" t="inlineStr">
        <is>
          <t>Prismarüstung</t>
        </is>
      </c>
      <c r="F233" s="29" t="inlineStr">
        <is>
          <t>Armadura Prisma</t>
        </is>
      </c>
      <c r="G233" s="29" t="inlineStr">
        <is>
          <t>Scudoprisma</t>
        </is>
      </c>
      <c r="H233" s="29" t="inlineStr">
        <is>
          <t>프리즘아머</t>
        </is>
      </c>
      <c r="I233" s="29" t="inlineStr">
        <is>
          <t>稜鏡裝甲</t>
        </is>
      </c>
      <c r="J233" s="29">
        <f>IFERROR(__xludf.DUMMYFUNCTION("GOOGLETRANSLATE(I233,""zh_HANT"",""zh_HANS"")"),"稜鏡装甲")</f>
        <v/>
      </c>
      <c r="K233" s="29">
        <f>F233</f>
        <v/>
      </c>
    </row>
    <row r="234">
      <c r="A234" s="29">
        <f>CONCATENATE("NAME_ABILITY_", SUBSTITUTE(UPPER(B234), " ", ""))</f>
        <v/>
      </c>
      <c r="B234" s="29" t="inlineStr">
        <is>
          <t>Neuroforce</t>
        </is>
      </c>
      <c r="C234" s="29" t="inlineStr">
        <is>
          <t>ブレインフォース</t>
        </is>
      </c>
      <c r="D234" s="29" t="inlineStr">
        <is>
          <t>Cérébro-Force</t>
        </is>
      </c>
      <c r="E234" s="29" t="inlineStr">
        <is>
          <t>Zerebralmacht</t>
        </is>
      </c>
      <c r="F234" s="29" t="inlineStr">
        <is>
          <t>Fuerza Cerebral</t>
        </is>
      </c>
      <c r="G234" s="29" t="inlineStr">
        <is>
          <t>Cerebroforza</t>
        </is>
      </c>
      <c r="H234" s="29" t="inlineStr">
        <is>
          <t>브레인포스</t>
        </is>
      </c>
      <c r="I234" s="29" t="inlineStr">
        <is>
          <t>腦核之力</t>
        </is>
      </c>
      <c r="J234" s="29">
        <f>IFERROR(__xludf.DUMMYFUNCTION("GOOGLETRANSLATE(I234,""zh_HANT"",""zh_HANS"")"),"脑核之力")</f>
        <v/>
      </c>
      <c r="K234" s="29">
        <f>F234</f>
        <v/>
      </c>
    </row>
    <row r="235">
      <c r="A235" s="29">
        <f>CONCATENATE("NAME_ABILITY_", SUBSTITUTE(UPPER(B235), " ", ""))</f>
        <v/>
      </c>
      <c r="B235" s="29" t="inlineStr">
        <is>
          <t>Intrepid Sword</t>
        </is>
      </c>
      <c r="C235" s="29" t="inlineStr">
        <is>
          <t>ふとうのけん</t>
        </is>
      </c>
      <c r="D235" s="29" t="inlineStr">
        <is>
          <t>Lame Indomptable</t>
        </is>
      </c>
      <c r="E235" s="29" t="inlineStr">
        <is>
          <t>Kühnes Schwert</t>
        </is>
      </c>
      <c r="F235" s="29" t="inlineStr">
        <is>
          <t>Espada Indómita</t>
        </is>
      </c>
      <c r="G235" s="29" t="inlineStr">
        <is>
          <t>Spada Indomita</t>
        </is>
      </c>
      <c r="H235" s="29" t="inlineStr">
        <is>
          <t>불요의검</t>
        </is>
      </c>
      <c r="I235" s="29" t="inlineStr">
        <is>
          <t>不撓之劍</t>
        </is>
      </c>
      <c r="J235" s="29">
        <f>IFERROR(__xludf.DUMMYFUNCTION("GOOGLETRANSLATE(I235,""zh_HANT"",""zh_HANS"")"),"不挠之剑")</f>
        <v/>
      </c>
      <c r="K235" s="29">
        <f>F235</f>
        <v/>
      </c>
    </row>
    <row r="236">
      <c r="A236" s="29">
        <f>CONCATENATE("NAME_ABILITY_", SUBSTITUTE(UPPER(B236), " ", ""))</f>
        <v/>
      </c>
      <c r="B236" s="29" t="inlineStr">
        <is>
          <t>Dauntless Shield</t>
        </is>
      </c>
      <c r="C236" s="29" t="inlineStr">
        <is>
          <t>ふくつのたて</t>
        </is>
      </c>
      <c r="D236" s="29" t="inlineStr">
        <is>
          <t>Égide Inflexible</t>
        </is>
      </c>
      <c r="E236" s="29" t="inlineStr">
        <is>
          <t>Wackerer Schild</t>
        </is>
      </c>
      <c r="F236" s="29" t="inlineStr">
        <is>
          <t>Escudo Recio</t>
        </is>
      </c>
      <c r="G236" s="29" t="inlineStr">
        <is>
          <t>Scudo Saldo</t>
        </is>
      </c>
      <c r="H236" s="29" t="inlineStr">
        <is>
          <t>불굴의방패</t>
        </is>
      </c>
      <c r="I236" s="29" t="inlineStr">
        <is>
          <t>不屈之盾</t>
        </is>
      </c>
      <c r="J236" s="29">
        <f>I236</f>
        <v/>
      </c>
      <c r="K236" s="29">
        <f>F236</f>
        <v/>
      </c>
    </row>
    <row r="237">
      <c r="A237" s="29">
        <f>CONCATENATE("NAME_ABILITY_", SUBSTITUTE(UPPER(B237), " ", ""))</f>
        <v/>
      </c>
      <c r="B237" s="29" t="inlineStr">
        <is>
          <t>Libero</t>
        </is>
      </c>
      <c r="C237" s="29" t="inlineStr">
        <is>
          <t>リバロ</t>
        </is>
      </c>
      <c r="D237" s="29" t="inlineStr">
        <is>
          <t>Libéro</t>
        </is>
      </c>
      <c r="E237" s="29">
        <f>B237</f>
        <v/>
      </c>
      <c r="F237" s="29">
        <f>B237</f>
        <v/>
      </c>
      <c r="G237" s="29">
        <f>B237</f>
        <v/>
      </c>
      <c r="H237" s="29" t="inlineStr">
        <is>
          <t>리베로</t>
        </is>
      </c>
      <c r="I237" s="29" t="inlineStr">
        <is>
          <t>自由者</t>
        </is>
      </c>
      <c r="J237" s="29">
        <f>I237</f>
        <v/>
      </c>
      <c r="K237" s="29">
        <f>F237</f>
        <v/>
      </c>
    </row>
    <row r="238">
      <c r="A238" s="29">
        <f>CONCATENATE("NAME_ABILITY_", SUBSTITUTE(UPPER(B238), " ", ""))</f>
        <v/>
      </c>
      <c r="B238" s="29" t="inlineStr">
        <is>
          <t>Ball Fetch</t>
        </is>
      </c>
      <c r="C238" s="29" t="inlineStr">
        <is>
          <t>たまひろい</t>
        </is>
      </c>
      <c r="D238" s="29" t="inlineStr">
        <is>
          <t>Ramasse Ball</t>
        </is>
      </c>
      <c r="E238" s="29" t="inlineStr">
        <is>
          <t>Apport</t>
        </is>
      </c>
      <c r="F238" s="29" t="inlineStr">
        <is>
          <t>Recogebolas</t>
        </is>
      </c>
      <c r="G238" s="29" t="inlineStr">
        <is>
          <t>Raccattapalle</t>
        </is>
      </c>
      <c r="H238" s="29" t="inlineStr">
        <is>
          <t>볼줍기</t>
        </is>
      </c>
      <c r="I238" s="29" t="inlineStr">
        <is>
          <t>撿球</t>
        </is>
      </c>
      <c r="J238" s="29">
        <f>IFERROR(__xludf.DUMMYFUNCTION("GOOGLETRANSLATE(I238,""zh_HANT"",""zh_HANS"")"),"捡球")</f>
        <v/>
      </c>
      <c r="K238" s="29">
        <f>F238</f>
        <v/>
      </c>
    </row>
    <row r="239">
      <c r="A239" s="29">
        <f>CONCATENATE("NAME_ABILITY_", SUBSTITUTE(UPPER(B239), " ", ""))</f>
        <v/>
      </c>
      <c r="B239" s="29" t="inlineStr">
        <is>
          <t>Cotton Down</t>
        </is>
      </c>
      <c r="C239" s="29" t="inlineStr">
        <is>
          <t>わたげ</t>
        </is>
      </c>
      <c r="D239" s="29" t="inlineStr">
        <is>
          <t>Effilochage</t>
        </is>
      </c>
      <c r="E239" s="29" t="inlineStr">
        <is>
          <t>Wollflaum</t>
        </is>
      </c>
      <c r="F239" s="29" t="inlineStr">
        <is>
          <t>Pelusa</t>
        </is>
      </c>
      <c r="G239" s="29" t="inlineStr">
        <is>
          <t>Lanugine</t>
        </is>
      </c>
      <c r="H239" s="29" t="inlineStr">
        <is>
          <t>솜털</t>
        </is>
      </c>
      <c r="I239" s="29" t="inlineStr">
        <is>
          <t>棉絮</t>
        </is>
      </c>
      <c r="J239" s="29">
        <f>I239</f>
        <v/>
      </c>
      <c r="K239" s="29">
        <f>F239</f>
        <v/>
      </c>
    </row>
    <row r="240">
      <c r="A240" s="29">
        <f>CONCATENATE("NAME_ABILITY_", SUBSTITUTE(UPPER(B240), " ", ""))</f>
        <v/>
      </c>
      <c r="B240" s="29" t="inlineStr">
        <is>
          <t>Propeller Tail</t>
        </is>
      </c>
      <c r="C240" s="29" t="inlineStr">
        <is>
          <t>スクリューおびれ</t>
        </is>
      </c>
      <c r="D240" s="29" t="inlineStr">
        <is>
          <t>Propulseur</t>
        </is>
      </c>
      <c r="E240" s="29" t="inlineStr">
        <is>
          <t>Schraubflosse</t>
        </is>
      </c>
      <c r="F240" s="29" t="inlineStr">
        <is>
          <t>Hélice Caudal</t>
        </is>
      </c>
      <c r="G240" s="29" t="inlineStr">
        <is>
          <t>Elicopinna</t>
        </is>
      </c>
      <c r="H240" s="29" t="inlineStr">
        <is>
          <t>스크루지느러미</t>
        </is>
      </c>
      <c r="I240" s="29" t="inlineStr">
        <is>
          <t>螺旋尾鰭</t>
        </is>
      </c>
      <c r="J240" s="29">
        <f>IFERROR(__xludf.DUMMYFUNCTION("GOOGLETRANSLATE(I240,""zh_HANT"",""zh_HANS"")"),"螺旋尾鳍")</f>
        <v/>
      </c>
      <c r="K240" s="29">
        <f>F240</f>
        <v/>
      </c>
    </row>
    <row r="241">
      <c r="A241" s="29">
        <f>CONCATENATE("NAME_ABILITY_", SUBSTITUTE(UPPER(B241), " ", ""))</f>
        <v/>
      </c>
      <c r="B241" s="29" t="inlineStr">
        <is>
          <t>Mirror Armor</t>
        </is>
      </c>
      <c r="C241" s="29" t="inlineStr">
        <is>
          <t>ミラーアーマー</t>
        </is>
      </c>
      <c r="D241" s="29" t="inlineStr">
        <is>
          <t>Armure Miroir</t>
        </is>
      </c>
      <c r="E241" s="29" t="inlineStr">
        <is>
          <t>Spiegelrüstung</t>
        </is>
      </c>
      <c r="F241" s="29" t="inlineStr">
        <is>
          <t>Coraza Reflejo</t>
        </is>
      </c>
      <c r="G241" s="29" t="inlineStr">
        <is>
          <t>Blindospecchio</t>
        </is>
      </c>
      <c r="H241" s="29" t="inlineStr">
        <is>
          <t>미러아머</t>
        </is>
      </c>
      <c r="I241" s="29" t="inlineStr">
        <is>
          <t>鏡甲</t>
        </is>
      </c>
      <c r="J241" s="29">
        <f>IFERROR(__xludf.DUMMYFUNCTION("GOOGLETRANSLATE(I241,""zh_HANT"",""zh_HANS"")"),"镜甲")</f>
        <v/>
      </c>
      <c r="K241" s="29">
        <f>F241</f>
        <v/>
      </c>
    </row>
    <row r="242">
      <c r="A242" s="29">
        <f>CONCATENATE("NAME_ABILITY_", SUBSTITUTE(UPPER(B242), " ", ""))</f>
        <v/>
      </c>
      <c r="B242" s="29" t="inlineStr">
        <is>
          <t>Gulp Missile</t>
        </is>
      </c>
      <c r="C242" s="29" t="inlineStr">
        <is>
          <t>うのミサイル</t>
        </is>
      </c>
      <c r="D242" s="29" t="inlineStr">
        <is>
          <t>Dégobage</t>
        </is>
      </c>
      <c r="E242" s="29" t="inlineStr">
        <is>
          <t>Würggeschoss</t>
        </is>
      </c>
      <c r="F242" s="29" t="inlineStr">
        <is>
          <t>Tragamisil</t>
        </is>
      </c>
      <c r="G242" s="29" t="inlineStr">
        <is>
          <t>Inghiottimissile</t>
        </is>
      </c>
      <c r="H242" s="29" t="inlineStr">
        <is>
          <t>그대로꿀꺽미사일</t>
        </is>
      </c>
      <c r="I242" s="29" t="inlineStr">
        <is>
          <t>一口飛彈</t>
        </is>
      </c>
      <c r="J242" s="29">
        <f>IFERROR(__xludf.DUMMYFUNCTION("GOOGLETRANSLATE(I242,""zh_HANT"",""zh_HANS"")"),"一口飞弹")</f>
        <v/>
      </c>
      <c r="K242" s="29">
        <f>F242</f>
        <v/>
      </c>
    </row>
    <row r="243">
      <c r="A243" s="29">
        <f>CONCATENATE("NAME_ABILITY_", SUBSTITUTE(UPPER(B243), " ", ""))</f>
        <v/>
      </c>
      <c r="B243" s="29" t="inlineStr">
        <is>
          <t>Stalwart</t>
        </is>
      </c>
      <c r="C243" s="29" t="inlineStr">
        <is>
          <t>すじがねいり</t>
        </is>
      </c>
      <c r="D243" s="29" t="inlineStr">
        <is>
          <t>Nerfs d'Acier</t>
        </is>
      </c>
      <c r="E243" s="29" t="inlineStr">
        <is>
          <t>Stahlrückgrat</t>
        </is>
      </c>
      <c r="F243" s="29" t="inlineStr">
        <is>
          <t>Acérrimo</t>
        </is>
      </c>
      <c r="G243" s="29" t="inlineStr">
        <is>
          <t>Volontà di Ferro</t>
        </is>
      </c>
      <c r="H243" s="29" t="inlineStr">
        <is>
          <t>굳건한신념</t>
        </is>
      </c>
      <c r="I243" s="29" t="inlineStr">
        <is>
          <t>堅毅</t>
        </is>
      </c>
      <c r="J243" s="29">
        <f>IFERROR(__xludf.DUMMYFUNCTION("GOOGLETRANSLATE(I243,""zh_HANT"",""zh_HANS"")"),"坚毅")</f>
        <v/>
      </c>
      <c r="K243" s="29">
        <f>F243</f>
        <v/>
      </c>
    </row>
    <row r="244">
      <c r="A244" s="29">
        <f>CONCATENATE("NAME_ABILITY_", SUBSTITUTE(UPPER(B244), " ", ""))</f>
        <v/>
      </c>
      <c r="B244" s="29" t="inlineStr">
        <is>
          <t>Steam Engine</t>
        </is>
      </c>
      <c r="C244" s="29" t="inlineStr">
        <is>
          <t>じょうききかん</t>
        </is>
      </c>
      <c r="D244" s="29" t="inlineStr">
        <is>
          <t>Turbine</t>
        </is>
      </c>
      <c r="E244" s="29" t="inlineStr">
        <is>
          <t>Dampfantrieb</t>
        </is>
      </c>
      <c r="F244" s="29" t="inlineStr">
        <is>
          <t>Combustible</t>
        </is>
      </c>
      <c r="G244" s="29" t="inlineStr">
        <is>
          <t>Vapormacchina</t>
        </is>
      </c>
      <c r="H244" s="29" t="inlineStr">
        <is>
          <t>증기기관</t>
        </is>
      </c>
      <c r="I244" s="29" t="inlineStr">
        <is>
          <t>蒸汽機</t>
        </is>
      </c>
      <c r="J244" s="29">
        <f>IFERROR(__xludf.DUMMYFUNCTION("GOOGLETRANSLATE(I244,""zh_HANT"",""zh_HANS"")"),"蒸汽机")</f>
        <v/>
      </c>
      <c r="K244" s="29">
        <f>F244</f>
        <v/>
      </c>
    </row>
    <row r="245">
      <c r="A245" s="29">
        <f>CONCATENATE("NAME_ABILITY_", SUBSTITUTE(UPPER(B245), " ", ""))</f>
        <v/>
      </c>
      <c r="B245" s="29" t="inlineStr">
        <is>
          <t>Punk Rock</t>
        </is>
      </c>
      <c r="C245" s="29" t="inlineStr">
        <is>
          <t>パンクロック</t>
        </is>
      </c>
      <c r="D245" s="29" t="inlineStr">
        <is>
          <t>Punk Rock</t>
        </is>
      </c>
      <c r="E245" s="29">
        <f>B245</f>
        <v/>
      </c>
      <c r="F245" s="29">
        <f>B245</f>
        <v/>
      </c>
      <c r="G245" s="29">
        <f>B245</f>
        <v/>
      </c>
      <c r="H245" s="29" t="inlineStr">
        <is>
          <t>펑크록</t>
        </is>
      </c>
      <c r="I245" s="29" t="inlineStr">
        <is>
          <t>龐克搖滾</t>
        </is>
      </c>
      <c r="J245" s="29">
        <f>IFERROR(__xludf.DUMMYFUNCTION("GOOGLETRANSLATE(I245,""zh_HANT"",""zh_HANS"")"),"庞克摇滚")</f>
        <v/>
      </c>
      <c r="K245" s="29">
        <f>F245</f>
        <v/>
      </c>
    </row>
    <row r="246">
      <c r="A246" s="29">
        <f>CONCATENATE("NAME_ABILITY_", SUBSTITUTE(UPPER(B246), " ", ""))</f>
        <v/>
      </c>
      <c r="B246" s="29" t="inlineStr">
        <is>
          <t>Sand Spit</t>
        </is>
      </c>
      <c r="C246" s="29" t="inlineStr">
        <is>
          <t>すたはき</t>
        </is>
      </c>
      <c r="D246" s="29" t="inlineStr">
        <is>
          <t>Expul'Sable</t>
        </is>
      </c>
      <c r="E246" s="29" t="inlineStr">
        <is>
          <t>Sandspeier</t>
        </is>
      </c>
      <c r="F246" s="29" t="inlineStr">
        <is>
          <t>Expulsarena</t>
        </is>
      </c>
      <c r="G246" s="29" t="inlineStr">
        <is>
          <t>Sputasabbia</t>
        </is>
      </c>
      <c r="H246" s="29" t="inlineStr">
        <is>
          <t>모래뿜기</t>
        </is>
      </c>
      <c r="I246" s="29" t="inlineStr">
        <is>
          <t>吐沙</t>
        </is>
      </c>
      <c r="J246" s="29">
        <f>I246</f>
        <v/>
      </c>
      <c r="K246" s="29">
        <f>F246</f>
        <v/>
      </c>
    </row>
    <row r="247">
      <c r="A247" s="29">
        <f>CONCATENATE("NAME_ABILITY_", SUBSTITUTE(UPPER(B247), " ", ""))</f>
        <v/>
      </c>
      <c r="B247" s="29" t="inlineStr">
        <is>
          <t>Ice Scales</t>
        </is>
      </c>
      <c r="C247" s="29" t="inlineStr">
        <is>
          <t>こおりのりんぷん</t>
        </is>
      </c>
      <c r="D247" s="29" t="inlineStr">
        <is>
          <t>Écailles Glacées</t>
        </is>
      </c>
      <c r="E247" s="29" t="inlineStr">
        <is>
          <t>Eisflügelstaub</t>
        </is>
      </c>
      <c r="F247" s="29" t="inlineStr">
        <is>
          <t>Escama de Hielo</t>
        </is>
      </c>
      <c r="G247" s="29" t="inlineStr">
        <is>
          <t>Geloscaglie</t>
        </is>
      </c>
      <c r="H247" s="29" t="inlineStr">
        <is>
          <t>얼음인분</t>
        </is>
      </c>
      <c r="I247" s="29" t="inlineStr">
        <is>
          <t>冰鱗粉</t>
        </is>
      </c>
      <c r="J247" s="29">
        <f>IFERROR(__xludf.DUMMYFUNCTION("GOOGLETRANSLATE(I247,""zh_HANT"",""zh_HANS"")"),"冰鳞粉")</f>
        <v/>
      </c>
      <c r="K247" s="29">
        <f>F247</f>
        <v/>
      </c>
    </row>
    <row r="248">
      <c r="A248" s="29">
        <f>CONCATENATE("NAME_ABILITY_", SUBSTITUTE(UPPER(B248), " ", ""))</f>
        <v/>
      </c>
      <c r="B248" s="29" t="inlineStr">
        <is>
          <t>Ripen</t>
        </is>
      </c>
      <c r="C248" s="29" t="inlineStr">
        <is>
          <t>じゅくせい</t>
        </is>
      </c>
      <c r="D248" s="29" t="inlineStr">
        <is>
          <t>Mûrissement</t>
        </is>
      </c>
      <c r="E248" s="29" t="inlineStr">
        <is>
          <t>Heranreifen</t>
        </is>
      </c>
      <c r="F248" s="29" t="inlineStr">
        <is>
          <t>Maduración</t>
        </is>
      </c>
      <c r="G248" s="29" t="inlineStr">
        <is>
          <t>Maturazione</t>
        </is>
      </c>
      <c r="H248" s="29" t="inlineStr">
        <is>
          <t>숙성</t>
        </is>
      </c>
      <c r="I248" s="29" t="inlineStr">
        <is>
          <t>熟成</t>
        </is>
      </c>
      <c r="J248" s="29">
        <f>I248</f>
        <v/>
      </c>
      <c r="K248" s="29">
        <f>F248</f>
        <v/>
      </c>
    </row>
    <row r="249">
      <c r="A249" s="29">
        <f>CONCATENATE("NAME_ABILITY_", SUBSTITUTE(UPPER(B249), " ", ""))</f>
        <v/>
      </c>
      <c r="B249" s="29" t="inlineStr">
        <is>
          <t>Ice Face</t>
        </is>
      </c>
      <c r="C249" s="29" t="inlineStr">
        <is>
          <t>アイスフェイス</t>
        </is>
      </c>
      <c r="D249" s="29" t="inlineStr">
        <is>
          <t>Tête de Gel</t>
        </is>
      </c>
      <c r="E249" s="29" t="inlineStr">
        <is>
          <t>Tiefkühlkopf</t>
        </is>
      </c>
      <c r="F249" s="29" t="inlineStr">
        <is>
          <t>Cara de Hielo</t>
        </is>
      </c>
      <c r="G249" s="29" t="inlineStr">
        <is>
          <t>Gelofaccia</t>
        </is>
      </c>
      <c r="H249" s="29" t="inlineStr">
        <is>
          <t>아이스페이스</t>
        </is>
      </c>
      <c r="I249" s="29" t="inlineStr">
        <is>
          <t>結凍頭</t>
        </is>
      </c>
      <c r="J249" s="29">
        <f>IFERROR(__xludf.DUMMYFUNCTION("GOOGLETRANSLATE(I249,""zh_HANT"",""zh_HANS"")"),"结冻头")</f>
        <v/>
      </c>
      <c r="K249" s="29">
        <f>F249</f>
        <v/>
      </c>
    </row>
    <row r="250">
      <c r="A250" s="29">
        <f>CONCATENATE("NAME_ABILITY_", SUBSTITUTE(UPPER(B250), " ", ""))</f>
        <v/>
      </c>
      <c r="B250" s="29" t="inlineStr">
        <is>
          <t>Power Spot</t>
        </is>
      </c>
      <c r="C250" s="29" t="inlineStr">
        <is>
          <t>パワースポット</t>
        </is>
      </c>
      <c r="D250" s="29" t="inlineStr">
        <is>
          <t>Cercle d'Énergie</t>
        </is>
      </c>
      <c r="E250" s="29" t="inlineStr">
        <is>
          <t>Kraftquelle</t>
        </is>
      </c>
      <c r="F250" s="29" t="inlineStr">
        <is>
          <t>Fuente Energía</t>
        </is>
      </c>
      <c r="G250" s="29" t="inlineStr">
        <is>
          <t>Fonte Energetica</t>
        </is>
      </c>
      <c r="H250" s="29" t="inlineStr">
        <is>
          <t>파워스폿</t>
        </is>
      </c>
      <c r="I250" s="29" t="inlineStr">
        <is>
          <t>能量點</t>
        </is>
      </c>
      <c r="J250" s="29">
        <f>IFERROR(__xludf.DUMMYFUNCTION("GOOGLETRANSLATE(I250,""zh_HANT"",""zh_HANS"")"),"能量点")</f>
        <v/>
      </c>
      <c r="K250" s="29">
        <f>F250</f>
        <v/>
      </c>
    </row>
    <row r="251">
      <c r="A251" s="29">
        <f>CONCATENATE("NAME_ABILITY_", SUBSTITUTE(UPPER(B251), " ", ""))</f>
        <v/>
      </c>
      <c r="B251" s="29" t="inlineStr">
        <is>
          <t>Mimicry</t>
        </is>
      </c>
      <c r="C251" s="29" t="inlineStr">
        <is>
          <t>ぎたい</t>
        </is>
      </c>
      <c r="D251" s="29" t="inlineStr">
        <is>
          <t>Mimétisme</t>
        </is>
      </c>
      <c r="E251" s="29" t="inlineStr">
        <is>
          <t>Mimese</t>
        </is>
      </c>
      <c r="F251" s="29" t="inlineStr">
        <is>
          <t>Mimetismo</t>
        </is>
      </c>
      <c r="G251" s="29">
        <f>F251</f>
        <v/>
      </c>
      <c r="H251" s="29" t="inlineStr">
        <is>
          <t>의태</t>
        </is>
      </c>
      <c r="I251" s="29" t="inlineStr">
        <is>
          <t>擬態</t>
        </is>
      </c>
      <c r="J251" s="29">
        <f>IFERROR(__xludf.DUMMYFUNCTION("GOOGLETRANSLATE(I251,""zh_HANT"",""zh_HANS"")"),"拟态")</f>
        <v/>
      </c>
      <c r="K251" s="29">
        <f>F251</f>
        <v/>
      </c>
    </row>
    <row r="252">
      <c r="A252" s="29">
        <f>CONCATENATE("NAME_ABILITY_", SUBSTITUTE(UPPER(B252), " ", ""))</f>
        <v/>
      </c>
      <c r="B252" s="29" t="inlineStr">
        <is>
          <t>Screen Cleaner</t>
        </is>
      </c>
      <c r="C252" s="29" t="inlineStr">
        <is>
          <t>バリアフリー</t>
        </is>
      </c>
      <c r="D252" s="29" t="inlineStr">
        <is>
          <t>Brise-Barrière</t>
        </is>
      </c>
      <c r="E252" s="29" t="inlineStr">
        <is>
          <t>Hemmungslos</t>
        </is>
      </c>
      <c r="F252" s="29" t="inlineStr">
        <is>
          <t>Antibarrera</t>
        </is>
      </c>
      <c r="G252" s="29" t="inlineStr">
        <is>
          <t>Annullabarriere</t>
        </is>
      </c>
      <c r="H252" s="29" t="inlineStr">
        <is>
          <t>배리어프리</t>
        </is>
      </c>
      <c r="I252" s="29" t="inlineStr">
        <is>
          <t>除障</t>
        </is>
      </c>
      <c r="J252" s="29">
        <f>I252</f>
        <v/>
      </c>
      <c r="K252" s="29">
        <f>F252</f>
        <v/>
      </c>
    </row>
    <row r="253">
      <c r="A253" s="29">
        <f>CONCATENATE("NAME_ABILITY_", SUBSTITUTE(UPPER(B253), " ", ""))</f>
        <v/>
      </c>
      <c r="B253" s="29" t="inlineStr">
        <is>
          <t>Steely Spirit</t>
        </is>
      </c>
      <c r="C253" s="29" t="inlineStr">
        <is>
          <t>はがねのせいしん</t>
        </is>
      </c>
      <c r="D253" s="29" t="inlineStr">
        <is>
          <t>Boost Acier</t>
        </is>
      </c>
      <c r="E253" s="29" t="inlineStr">
        <is>
          <t>Stählerner Wille</t>
        </is>
      </c>
      <c r="F253" s="29" t="inlineStr">
        <is>
          <t>Alma Acerada</t>
        </is>
      </c>
      <c r="G253" s="29" t="inlineStr">
        <is>
          <t>Spiritoferreo</t>
        </is>
      </c>
      <c r="H253" s="29" t="inlineStr">
        <is>
          <t>강철정신</t>
        </is>
      </c>
      <c r="I253" s="29" t="inlineStr">
        <is>
          <t>鋼之意志</t>
        </is>
      </c>
      <c r="J253" s="29">
        <f>IFERROR(__xludf.DUMMYFUNCTION("GOOGLETRANSLATE(I253,""zh_HANT"",""zh_HANS"")"),"钢之意志")</f>
        <v/>
      </c>
      <c r="K253" s="29">
        <f>F253</f>
        <v/>
      </c>
    </row>
    <row r="254">
      <c r="A254" s="29">
        <f>CONCATENATE("NAME_ABILITY_", SUBSTITUTE(UPPER(B254), " ", ""))</f>
        <v/>
      </c>
      <c r="B254" s="29" t="inlineStr">
        <is>
          <t>Perish Body</t>
        </is>
      </c>
      <c r="C254" s="29" t="inlineStr">
        <is>
          <t>ほろびのボヂィ</t>
        </is>
      </c>
      <c r="D254" s="29" t="inlineStr">
        <is>
          <t>Corps Condamné</t>
        </is>
      </c>
      <c r="E254" s="29" t="inlineStr">
        <is>
          <t>Unheilskörper</t>
        </is>
      </c>
      <c r="F254" s="29" t="inlineStr">
        <is>
          <t>Cuerpo Mortal</t>
        </is>
      </c>
      <c r="G254" s="29" t="inlineStr">
        <is>
          <t>Ultimotocco</t>
        </is>
      </c>
      <c r="H254" s="29" t="inlineStr">
        <is>
          <t>멸망의바디</t>
        </is>
      </c>
      <c r="I254" s="29" t="inlineStr">
        <is>
          <t>滅亡之軀</t>
        </is>
      </c>
      <c r="J254" s="29">
        <f>IFERROR(__xludf.DUMMYFUNCTION("GOOGLETRANSLATE(I254,""zh_HANT"",""zh_HANS"")"),"灭亡之躯")</f>
        <v/>
      </c>
      <c r="K254" s="29">
        <f>F254</f>
        <v/>
      </c>
    </row>
    <row r="255">
      <c r="A255" s="29">
        <f>CONCATENATE("NAME_ABILITY_", SUBSTITUTE(UPPER(B255), " ", ""))</f>
        <v/>
      </c>
      <c r="B255" s="29" t="inlineStr">
        <is>
          <t>Wandering Spirit</t>
        </is>
      </c>
      <c r="C255" s="29" t="inlineStr">
        <is>
          <t>さまようたましい</t>
        </is>
      </c>
      <c r="D255" s="29" t="inlineStr">
        <is>
          <t>Âme Vagabonde</t>
        </is>
      </c>
      <c r="E255" s="29" t="inlineStr">
        <is>
          <t>Rastlose Seele</t>
        </is>
      </c>
      <c r="F255" s="29" t="inlineStr">
        <is>
          <t>Alma Errante</t>
        </is>
      </c>
      <c r="G255" s="29" t="inlineStr">
        <is>
          <t>Anima Errante</t>
        </is>
      </c>
      <c r="H255" s="29" t="inlineStr">
        <is>
          <t>떠도는영혼</t>
        </is>
      </c>
      <c r="I255" s="29" t="inlineStr">
        <is>
          <t>遊魂</t>
        </is>
      </c>
      <c r="J255" s="29">
        <f>IFERROR(__xludf.DUMMYFUNCTION("GOOGLETRANSLATE(I255,""zh_HANT"",""zh_HANS"")"),"游魂")</f>
        <v/>
      </c>
      <c r="K255" s="29">
        <f>F255</f>
        <v/>
      </c>
    </row>
    <row r="256">
      <c r="A256" s="29">
        <f>CONCATENATE("NAME_ABILITY_", SUBSTITUTE(UPPER(B256), " ", ""))</f>
        <v/>
      </c>
      <c r="B256" s="29" t="inlineStr">
        <is>
          <t>Gorilla Tactics</t>
        </is>
      </c>
      <c r="C256" s="29" t="inlineStr">
        <is>
          <t>ごりむちゅう</t>
        </is>
      </c>
      <c r="D256" s="29" t="inlineStr">
        <is>
          <t>Entêtement</t>
        </is>
      </c>
      <c r="E256" s="29" t="inlineStr">
        <is>
          <t>Affenfokus</t>
        </is>
      </c>
      <c r="F256" s="29" t="inlineStr">
        <is>
          <t>Monotema</t>
        </is>
      </c>
      <c r="G256" s="29" t="inlineStr">
        <is>
          <t>Vigorilla</t>
        </is>
      </c>
      <c r="H256" s="29" t="inlineStr">
        <is>
          <t>무아지경</t>
        </is>
      </c>
      <c r="I256" s="29" t="inlineStr">
        <is>
          <t>一猩一意</t>
        </is>
      </c>
      <c r="J256" s="29">
        <f>I256</f>
        <v/>
      </c>
      <c r="K256" s="29">
        <f>F256</f>
        <v/>
      </c>
    </row>
    <row r="257">
      <c r="A257" s="29">
        <f>CONCATENATE("NAME_ABILITY_", SUBSTITUTE(UPPER(B257), " ", ""))</f>
        <v/>
      </c>
      <c r="B257" s="29" t="inlineStr">
        <is>
          <t>Neutralizing Gas</t>
        </is>
      </c>
      <c r="C257" s="29" t="inlineStr">
        <is>
          <t>かがくへんかガス</t>
        </is>
      </c>
      <c r="D257" s="29" t="inlineStr">
        <is>
          <t>Gas Inhibiteur</t>
        </is>
      </c>
      <c r="E257" s="29" t="inlineStr">
        <is>
          <t>Reaktionsgas</t>
        </is>
      </c>
      <c r="F257" s="29" t="inlineStr">
        <is>
          <t>Gas Reactivo</t>
        </is>
      </c>
      <c r="G257" s="29" t="inlineStr">
        <is>
          <t>Gas Reagente</t>
        </is>
      </c>
      <c r="H257" s="29" t="inlineStr">
        <is>
          <t>화학변화가스</t>
        </is>
      </c>
      <c r="I257" s="29" t="inlineStr">
        <is>
          <t>化學變化氣體</t>
        </is>
      </c>
      <c r="J257" s="29">
        <f>IFERROR(__xludf.DUMMYFUNCTION("GOOGLETRANSLATE(I257,""zh_HANT"",""zh_HANS"")"),"化学变化气体")</f>
        <v/>
      </c>
      <c r="K257" s="29">
        <f>F257</f>
        <v/>
      </c>
    </row>
    <row r="258">
      <c r="A258" s="29">
        <f>CONCATENATE("NAME_ABILITY_", SUBSTITUTE(UPPER(B258), " ", ""))</f>
        <v/>
      </c>
      <c r="B258" s="29" t="inlineStr">
        <is>
          <t>Pastel Veil</t>
        </is>
      </c>
      <c r="C258" s="29" t="inlineStr">
        <is>
          <t>パステルベール</t>
        </is>
      </c>
      <c r="D258" s="29" t="inlineStr">
        <is>
          <t>Voile Pastel</t>
        </is>
      </c>
      <c r="E258" s="29" t="inlineStr">
        <is>
          <t>Pastellhülle</t>
        </is>
      </c>
      <c r="F258" s="29" t="inlineStr">
        <is>
          <t>Velo Pastel</t>
        </is>
      </c>
      <c r="G258" s="29" t="inlineStr">
        <is>
          <t>Pastelvelo</t>
        </is>
      </c>
      <c r="H258" s="29" t="inlineStr">
        <is>
          <t>파스텔베일</t>
        </is>
      </c>
      <c r="I258" s="29" t="inlineStr">
        <is>
          <t>粉彩護幕</t>
        </is>
      </c>
      <c r="J258" s="29">
        <f>IFERROR(__xludf.DUMMYFUNCTION("GOOGLETRANSLATE(I258,""zh_HANT"",""zh_HANS"")"),"粉彩护幕")</f>
        <v/>
      </c>
      <c r="K258" s="29">
        <f>F258</f>
        <v/>
      </c>
    </row>
    <row r="259">
      <c r="A259" s="29">
        <f>CONCATENATE("NAME_ABILITY_", SUBSTITUTE(UPPER(B259), " ", ""))</f>
        <v/>
      </c>
      <c r="B259" s="29" t="inlineStr">
        <is>
          <t>Hunder Switch</t>
        </is>
      </c>
      <c r="C259" s="29" t="inlineStr">
        <is>
          <t>スイッチ</t>
        </is>
      </c>
      <c r="D259" s="29" t="inlineStr">
        <is>
          <t>Déclic Fringale</t>
        </is>
      </c>
      <c r="E259" s="29" t="inlineStr">
        <is>
          <t>Heißhunger</t>
        </is>
      </c>
      <c r="F259" s="29" t="inlineStr">
        <is>
          <t>Mutapetito</t>
        </is>
      </c>
      <c r="G259" s="29" t="inlineStr">
        <is>
          <t>Pancialterna</t>
        </is>
      </c>
      <c r="H259" s="29" t="inlineStr">
        <is>
          <t>꼬르륵스위치</t>
        </is>
      </c>
      <c r="I259" s="29" t="inlineStr">
        <is>
          <t>飽了又餓</t>
        </is>
      </c>
      <c r="J259" s="29">
        <f>IFERROR(__xludf.DUMMYFUNCTION("GOOGLETRANSLATE(I259,""zh_HANT"",""zh_HANS"")"),"饱了又饿")</f>
        <v/>
      </c>
      <c r="K259" s="29">
        <f>F259</f>
        <v/>
      </c>
    </row>
    <row r="260">
      <c r="A260" s="29">
        <f>CONCATENATE("NAME_ABILITY_", SUBSTITUTE(UPPER(B260), " ", ""))</f>
        <v/>
      </c>
      <c r="B260" s="29" t="inlineStr">
        <is>
          <t>Quick Draw</t>
        </is>
      </c>
      <c r="C260" s="29" t="inlineStr">
        <is>
          <t>クリックドロウ</t>
        </is>
      </c>
      <c r="D260" s="29" t="inlineStr">
        <is>
          <t>Tir Vif</t>
        </is>
      </c>
      <c r="E260" s="29" t="inlineStr">
        <is>
          <t>Schnellschuss</t>
        </is>
      </c>
      <c r="F260" s="29" t="inlineStr">
        <is>
          <t>Mano Rápida</t>
        </is>
      </c>
      <c r="G260" s="29" t="inlineStr">
        <is>
          <t>Colpolesto</t>
        </is>
      </c>
      <c r="H260" s="29" t="inlineStr">
        <is>
          <t>퀵드로</t>
        </is>
      </c>
      <c r="I260" s="29" t="inlineStr">
        <is>
          <t>速擊</t>
        </is>
      </c>
      <c r="J260" s="29">
        <f>IFERROR(__xludf.DUMMYFUNCTION("GOOGLETRANSLATE(I260,""zh_HANT"",""zh_HANS"")"),"速击")</f>
        <v/>
      </c>
      <c r="K260" s="29">
        <f>F260</f>
        <v/>
      </c>
    </row>
    <row r="261">
      <c r="A261" s="29">
        <f>CONCATENATE("NAME_ABILITY_", SUBSTITUTE(UPPER(B261), " ", ""))</f>
        <v/>
      </c>
      <c r="B261" s="29" t="inlineStr">
        <is>
          <t>Unseen Fist</t>
        </is>
      </c>
      <c r="C261" s="29" t="inlineStr">
        <is>
          <t>ふかしのこぶし</t>
        </is>
      </c>
      <c r="D261" s="29" t="inlineStr">
        <is>
          <t>Poing Invisible</t>
        </is>
      </c>
      <c r="E261" s="29" t="inlineStr">
        <is>
          <t>Verborgene Faust</t>
        </is>
      </c>
      <c r="F261" s="29" t="inlineStr">
        <is>
          <t>Puño Invisible</t>
        </is>
      </c>
      <c r="G261" s="29" t="inlineStr">
        <is>
          <t>Pugni Invisibili</t>
        </is>
      </c>
      <c r="H261" s="29" t="inlineStr">
        <is>
          <t>보이지않는주먹</t>
        </is>
      </c>
      <c r="I261" s="29" t="inlineStr">
        <is>
          <t>無形拳</t>
        </is>
      </c>
      <c r="J261" s="29">
        <f>IFERROR(__xludf.DUMMYFUNCTION("GOOGLETRANSLATE(I261,""zh_HANT"",""zh_HANS"")"),"无形拳")</f>
        <v/>
      </c>
      <c r="K261" s="29">
        <f>F261</f>
        <v/>
      </c>
    </row>
    <row r="262">
      <c r="A262" s="29">
        <f>CONCATENATE("NAME_ABILITY_", SUBSTITUTE(UPPER(B262), " ", ""))</f>
        <v/>
      </c>
      <c r="B262" s="29" t="inlineStr">
        <is>
          <t>Curious Medicine</t>
        </is>
      </c>
      <c r="C262" s="29" t="inlineStr">
        <is>
          <t>きみょうのくすり</t>
        </is>
      </c>
      <c r="D262" s="29" t="inlineStr">
        <is>
          <t>Breuvage Suspect</t>
        </is>
      </c>
      <c r="E262" s="29" t="inlineStr">
        <is>
          <t>Kuriose Arznei</t>
        </is>
      </c>
      <c r="F262" s="29" t="inlineStr">
        <is>
          <t>Medicina Extraña</t>
        </is>
      </c>
      <c r="G262" s="29" t="inlineStr">
        <is>
          <t>Stranofarmaco</t>
        </is>
      </c>
      <c r="H262" s="29" t="inlineStr">
        <is>
          <t>기묘한약</t>
        </is>
      </c>
      <c r="I262" s="29" t="inlineStr">
        <is>
          <t>怪藥</t>
        </is>
      </c>
      <c r="J262" s="29">
        <f>IFERROR(__xludf.DUMMYFUNCTION("GOOGLETRANSLATE(I262,""zh_HANT"",""zh_HANS"")"),"怪药")</f>
        <v/>
      </c>
      <c r="K262" s="29">
        <f>F262</f>
        <v/>
      </c>
    </row>
    <row r="263">
      <c r="A263" s="29">
        <f>CONCATENATE("NAME_ABILITY_", SUBSTITUTE(UPPER(B263), " ", ""))</f>
        <v/>
      </c>
      <c r="B263" s="29" t="inlineStr">
        <is>
          <t>Transistor</t>
        </is>
      </c>
      <c r="C263" s="29" t="inlineStr">
        <is>
          <t>トトランシスト</t>
        </is>
      </c>
      <c r="D263" s="29">
        <f>B263</f>
        <v/>
      </c>
      <c r="E263" s="29">
        <f>B263</f>
        <v/>
      </c>
      <c r="F263" s="29">
        <f>B263</f>
        <v/>
      </c>
      <c r="G263" s="29">
        <f>B263</f>
        <v/>
      </c>
      <c r="H263" s="29" t="inlineStr">
        <is>
          <t>트랜지스터</t>
        </is>
      </c>
      <c r="I263" s="29" t="inlineStr">
        <is>
          <t>電晶體</t>
        </is>
      </c>
      <c r="J263" s="29">
        <f>IFERROR(__xludf.DUMMYFUNCTION("GOOGLETRANSLATE(I263,""zh_HANT"",""zh_HANS"")"),"晶体管")</f>
        <v/>
      </c>
      <c r="K263" s="29">
        <f>F263</f>
        <v/>
      </c>
    </row>
    <row r="264">
      <c r="A264" s="29">
        <f>CONCATENATE("NAME_ABILITY_", SUBSTITUTE(SUBSTITUTE(UPPER(B264), " ", ""), "'", ""))</f>
        <v/>
      </c>
      <c r="B264" s="29" t="inlineStr">
        <is>
          <t>Dragon's Maw</t>
        </is>
      </c>
      <c r="C264" s="29" t="inlineStr">
        <is>
          <t>りゅうのあぎと</t>
        </is>
      </c>
      <c r="D264" s="29" t="inlineStr">
        <is>
          <t>Dent de Dragon</t>
        </is>
      </c>
      <c r="E264" s="29" t="inlineStr">
        <is>
          <t>Drachenkiefer</t>
        </is>
      </c>
      <c r="F264" s="29" t="inlineStr">
        <is>
          <t>Mandíbula Dragón</t>
        </is>
      </c>
      <c r="G264" s="29" t="inlineStr">
        <is>
          <t>Dragomascelle</t>
        </is>
      </c>
      <c r="H264" s="29" t="inlineStr">
        <is>
          <t>용의턱</t>
        </is>
      </c>
      <c r="I264" s="29" t="inlineStr">
        <is>
          <t>龍顎</t>
        </is>
      </c>
      <c r="J264" s="29">
        <f>IFERROR(__xludf.DUMMYFUNCTION("GOOGLETRANSLATE(I264,""zh_HANT"",""zh_HANS"")"),"龙颚")</f>
        <v/>
      </c>
      <c r="K264" s="29">
        <f>F264</f>
        <v/>
      </c>
    </row>
    <row r="265">
      <c r="A265" s="29">
        <f>CONCATENATE("NAME_ABILITY_", SUBSTITUTE(UPPER(B265), " ", ""))</f>
        <v/>
      </c>
      <c r="B265" s="29" t="inlineStr">
        <is>
          <t>Chilling Neigh</t>
        </is>
      </c>
      <c r="C265" s="29" t="inlineStr">
        <is>
          <t>しろのいななき</t>
        </is>
      </c>
      <c r="D265" s="29" t="inlineStr">
        <is>
          <t>Blanche Ruade</t>
        </is>
      </c>
      <c r="E265" s="29" t="inlineStr">
        <is>
          <t>Helles Wiehern</t>
        </is>
      </c>
      <c r="F265" s="29" t="inlineStr">
        <is>
          <t>Relincho Blanco</t>
        </is>
      </c>
      <c r="G265" s="29" t="inlineStr">
        <is>
          <t>Nitrito Blanco</t>
        </is>
      </c>
      <c r="H265" s="29" t="inlineStr">
        <is>
          <t>백의울음</t>
        </is>
      </c>
      <c r="I265" s="29" t="inlineStr">
        <is>
          <t>蒼白嘶鳴</t>
        </is>
      </c>
      <c r="J265" s="29">
        <f>IFERROR(__xludf.DUMMYFUNCTION("GOOGLETRANSLATE(I265,""zh_HANT"",""zh_HANS"")"),"苍白嘶鸣")</f>
        <v/>
      </c>
      <c r="K265" s="29">
        <f>F265</f>
        <v/>
      </c>
    </row>
    <row r="266">
      <c r="A266" s="29">
        <f>CONCATENATE("NAME_ABILITY_", SUBSTITUTE(UPPER(B266), " ", ""))</f>
        <v/>
      </c>
      <c r="B266" s="29" t="inlineStr">
        <is>
          <t>Grim Neigh</t>
        </is>
      </c>
      <c r="C266" s="29" t="inlineStr">
        <is>
          <t>くろのいななき</t>
        </is>
      </c>
      <c r="D266" s="29" t="inlineStr">
        <is>
          <t>Sombre Ruade</t>
        </is>
      </c>
      <c r="E266" s="29" t="inlineStr">
        <is>
          <t>Dunkles Wiehern</t>
        </is>
      </c>
      <c r="F266" s="29" t="inlineStr">
        <is>
          <t>Relincho Negro</t>
        </is>
      </c>
      <c r="G266" s="29" t="inlineStr">
        <is>
          <t>Nitrito Nero</t>
        </is>
      </c>
      <c r="H266" s="29" t="inlineStr">
        <is>
          <t>흑의울음</t>
        </is>
      </c>
      <c r="I266" s="29" t="inlineStr">
        <is>
          <t>漆黑嘶鳴</t>
        </is>
      </c>
      <c r="J266" s="29">
        <f>IFERROR(__xludf.DUMMYFUNCTION("GOOGLETRANSLATE(I266,""zh_HANT"",""zh_HANS"")"),"漆黑嘶鸣")</f>
        <v/>
      </c>
      <c r="K266" s="29">
        <f>F266</f>
        <v/>
      </c>
    </row>
    <row r="267">
      <c r="A267" s="29">
        <f>CONCATENATE("NAME_ABILITY_", SUBSTITUTE(UPPER(B267), " ", ""))</f>
        <v/>
      </c>
      <c r="B267" s="29" t="inlineStr">
        <is>
          <t>As One</t>
        </is>
      </c>
      <c r="C267" s="29" t="inlineStr">
        <is>
          <t>じんばいったい</t>
        </is>
      </c>
      <c r="D267" s="29" t="inlineStr">
        <is>
          <t>Osmose Équine</t>
        </is>
      </c>
      <c r="E267" s="29" t="inlineStr">
        <is>
          <t>Reitgespann</t>
        </is>
      </c>
      <c r="F267" s="29" t="inlineStr">
        <is>
          <t>Unidad Ecuestre</t>
        </is>
      </c>
      <c r="G267" s="29" t="inlineStr">
        <is>
          <t>Sintonia Equina</t>
        </is>
      </c>
      <c r="H267" s="29" t="inlineStr">
        <is>
          <t>혼연일체</t>
        </is>
      </c>
      <c r="I267" s="29" t="inlineStr">
        <is>
          <t>人馬一體</t>
        </is>
      </c>
      <c r="J267" s="29">
        <f>IFERROR(__xludf.DUMMYFUNCTION("GOOGLETRANSLATE(I267,""zh_HANT"",""zh_HANS"")"),"人马一体")</f>
        <v/>
      </c>
      <c r="K267" s="29">
        <f>F267</f>
        <v/>
      </c>
    </row>
    <row r="268">
      <c r="A268" s="29">
        <f>CONCATENATE("NAME_ABILITY_", SUBSTITUTE(UPPER(B268), " ", ""))</f>
        <v/>
      </c>
      <c r="B268" s="29" t="inlineStr">
        <is>
          <t>Lingering Aroma</t>
        </is>
      </c>
      <c r="C268" s="29" t="inlineStr">
        <is>
          <t>とれないにおい</t>
        </is>
      </c>
      <c r="D268" s="29" t="inlineStr">
        <is>
          <t>Odeur Tenace</t>
        </is>
      </c>
      <c r="E268" s="29" t="inlineStr">
        <is>
          <t>Duftschwade</t>
        </is>
      </c>
      <c r="F268" s="29" t="inlineStr">
        <is>
          <t>Olor Persistente</t>
        </is>
      </c>
      <c r="G268" s="29" t="inlineStr">
        <is>
          <t>Odore Tenace</t>
        </is>
      </c>
      <c r="H268" s="29" t="inlineStr">
        <is>
          <t>가시지않는향기</t>
        </is>
      </c>
      <c r="I268" s="29">
        <f>IFERROR(__xludf.DUMMYFUNCTION("GOOGLETRANSLATE(J268,""zh_HANS"",""zh_HANT"")"),"甩不掉的氣味")</f>
        <v/>
      </c>
      <c r="J268" s="29" t="inlineStr">
        <is>
          <t>甩不掉的气味</t>
        </is>
      </c>
      <c r="K268" s="29">
        <f>F268</f>
        <v/>
      </c>
    </row>
    <row r="269">
      <c r="A269" s="29">
        <f>CONCATENATE("NAME_ABILITY_", SUBSTITUTE(UPPER(B269), " ", ""))</f>
        <v/>
      </c>
      <c r="B269" s="29" t="inlineStr">
        <is>
          <t>Seed Sower</t>
        </is>
      </c>
      <c r="C269" s="29" t="inlineStr">
        <is>
          <t>こぼれダネ</t>
        </is>
      </c>
      <c r="D269" s="29" t="inlineStr">
        <is>
          <t>Semencier</t>
        </is>
      </c>
      <c r="E269" s="29" t="inlineStr">
        <is>
          <t>Streusaat</t>
        </is>
      </c>
      <c r="F269" s="29" t="inlineStr">
        <is>
          <t>Disemillar</t>
        </is>
      </c>
      <c r="G269" s="29" t="inlineStr">
        <is>
          <t>Spargisemi</t>
        </is>
      </c>
      <c r="H269" s="29" t="inlineStr">
        <is>
          <t>넘치는씨</t>
        </is>
      </c>
      <c r="I269" s="29">
        <f>IFERROR(__xludf.DUMMYFUNCTION("GOOGLETRANSLATE(J269,""zh_HANS"",""zh_HANT"")"),"掉出種子")</f>
        <v/>
      </c>
      <c r="J269" s="29" t="inlineStr">
        <is>
          <t>掉出种子</t>
        </is>
      </c>
      <c r="K269" s="29">
        <f>F269</f>
        <v/>
      </c>
    </row>
    <row r="270">
      <c r="A270" s="29">
        <f>CONCATENATE("NAME_ABILITY_", SUBSTITUTE(UPPER(B270), " ", ""))</f>
        <v/>
      </c>
      <c r="B270" s="29" t="inlineStr">
        <is>
          <t>Thermal Exchange</t>
        </is>
      </c>
      <c r="C270" s="29" t="inlineStr">
        <is>
          <t>ねつこうかん</t>
        </is>
      </c>
      <c r="D270" s="29" t="inlineStr">
        <is>
          <t>Thermodynamique</t>
        </is>
      </c>
      <c r="E270" s="29" t="inlineStr">
        <is>
          <t>Thermowandel</t>
        </is>
      </c>
      <c r="F270" s="29" t="inlineStr">
        <is>
          <t>Termoconversión</t>
        </is>
      </c>
      <c r="G270" s="29" t="inlineStr">
        <is>
          <t>Termoscambio</t>
        </is>
      </c>
      <c r="H270" s="29" t="inlineStr">
        <is>
          <t>열교환</t>
        </is>
      </c>
      <c r="I270" s="29">
        <f>IFERROR(__xludf.DUMMYFUNCTION("GOOGLETRANSLATE(J270,""zh_HANS"",""zh_HANT"")"),"熱交換")</f>
        <v/>
      </c>
      <c r="J270" s="29" t="inlineStr">
        <is>
          <t>热交换</t>
        </is>
      </c>
      <c r="K270" s="29">
        <f>F270</f>
        <v/>
      </c>
    </row>
    <row r="271">
      <c r="A271" s="29">
        <f>CONCATENATE("NAME_ABILITY_", SUBSTITUTE(UPPER(B271), " ", ""))</f>
        <v/>
      </c>
      <c r="B271" s="29" t="inlineStr">
        <is>
          <t>Anger Shell</t>
        </is>
      </c>
      <c r="C271" s="29" t="inlineStr">
        <is>
          <t>いかりのこうら</t>
        </is>
      </c>
      <c r="D271" s="29" t="inlineStr">
        <is>
          <t>Courroupace</t>
        </is>
      </c>
      <c r="E271" s="29" t="inlineStr">
        <is>
          <t>Wutpanzer</t>
        </is>
      </c>
      <c r="F271" s="29" t="inlineStr">
        <is>
          <t>Coraza Ira</t>
        </is>
      </c>
      <c r="G271" s="29" t="inlineStr">
        <is>
          <t>Iraguscio</t>
        </is>
      </c>
      <c r="H271" s="29" t="inlineStr">
        <is>
          <t>분노의껍질</t>
        </is>
      </c>
      <c r="I271" s="29">
        <f>IFERROR(__xludf.DUMMYFUNCTION("GOOGLETRANSLATE(J271,""zh_HANS"",""zh_HANT"")"),"憤怒甲殼")</f>
        <v/>
      </c>
      <c r="J271" s="29" t="inlineStr">
        <is>
          <t>愤怒甲壳</t>
        </is>
      </c>
      <c r="K271" s="29">
        <f>F271</f>
        <v/>
      </c>
    </row>
    <row r="272">
      <c r="A272" s="29">
        <f>CONCATENATE("NAME_ABILITY_", SUBSTITUTE(UPPER(B272), " ", ""))</f>
        <v/>
      </c>
      <c r="B272" s="29" t="inlineStr">
        <is>
          <t>Purifying Salt</t>
        </is>
      </c>
      <c r="C272" s="29" t="inlineStr">
        <is>
          <t>きよめのしお</t>
        </is>
      </c>
      <c r="D272" s="29" t="inlineStr">
        <is>
          <t>Sel Purificateur</t>
        </is>
      </c>
      <c r="E272" s="29" t="inlineStr">
        <is>
          <t>Läutersalz</t>
        </is>
      </c>
      <c r="F272" s="29" t="inlineStr">
        <is>
          <t>Sal Purificadora</t>
        </is>
      </c>
      <c r="G272" s="29" t="inlineStr">
        <is>
          <t>Sale Purificante</t>
        </is>
      </c>
      <c r="H272" s="29" t="inlineStr">
        <is>
          <t>정화의소금</t>
        </is>
      </c>
      <c r="I272" s="29">
        <f>IFERROR(__xludf.DUMMYFUNCTION("GOOGLETRANSLATE(J272,""zh_HANS"",""zh_HANT"")"),"潔淨之鹽")</f>
        <v/>
      </c>
      <c r="J272" s="29" t="inlineStr">
        <is>
          <t>洁净之盐</t>
        </is>
      </c>
      <c r="K272" s="29">
        <f>F272</f>
        <v/>
      </c>
    </row>
    <row r="273">
      <c r="A273" s="29">
        <f>CONCATENATE("NAME_ABILITY_", SUBSTITUTE(UPPER(B273), " ", ""))</f>
        <v/>
      </c>
      <c r="B273" s="29" t="inlineStr">
        <is>
          <t>Well-Baked Body</t>
        </is>
      </c>
      <c r="C273" s="29" t="inlineStr">
        <is>
          <t>こんがりボディ</t>
        </is>
      </c>
      <c r="D273" s="29" t="inlineStr">
        <is>
          <t>Bien Cuit</t>
        </is>
      </c>
      <c r="E273" s="29" t="inlineStr">
        <is>
          <t>Knusperkruste</t>
        </is>
      </c>
      <c r="F273" s="29" t="inlineStr">
        <is>
          <t>Cuerpo Horneado</t>
        </is>
      </c>
      <c r="G273" s="29" t="inlineStr">
        <is>
          <t>Bentostato</t>
        </is>
      </c>
      <c r="H273" s="29" t="inlineStr">
        <is>
          <t>노릇노릇바디</t>
        </is>
      </c>
      <c r="I273" s="29">
        <f>IFERROR(__xludf.DUMMYFUNCTION("GOOGLETRANSLATE(J273,""zh_HANS"",""zh_HANT"")"),"焦香之軀")</f>
        <v/>
      </c>
      <c r="J273" s="29" t="inlineStr">
        <is>
          <t>焦香之躯</t>
        </is>
      </c>
      <c r="K273" s="29">
        <f>F273</f>
        <v/>
      </c>
    </row>
    <row r="274">
      <c r="A274" s="29">
        <f>CONCATENATE("NAME_ABILITY_", SUBSTITUTE(UPPER(B274), " ", ""))</f>
        <v/>
      </c>
      <c r="B274" s="29" t="inlineStr">
        <is>
          <t>Wind Rider</t>
        </is>
      </c>
      <c r="C274" s="29" t="inlineStr">
        <is>
          <t>かぜのり</t>
        </is>
      </c>
      <c r="D274" s="29" t="inlineStr">
        <is>
          <t>Aéroporté</t>
        </is>
      </c>
      <c r="E274" s="29" t="inlineStr">
        <is>
          <t>Windreiter</t>
        </is>
      </c>
      <c r="F274" s="29" t="inlineStr">
        <is>
          <t>Surcavientos</t>
        </is>
      </c>
      <c r="G274" s="29" t="inlineStr">
        <is>
          <t>Vento Propizio</t>
        </is>
      </c>
      <c r="H274" s="29" t="inlineStr">
        <is>
          <t>바람타기</t>
        </is>
      </c>
      <c r="I274" s="29">
        <f>IFERROR(__xludf.DUMMYFUNCTION("GOOGLETRANSLATE(J274,""zh_HANS"",""zh_HANT"")"),"乘風")</f>
        <v/>
      </c>
      <c r="J274" s="29" t="inlineStr">
        <is>
          <t>乘风</t>
        </is>
      </c>
      <c r="K274" s="29">
        <f>F274</f>
        <v/>
      </c>
    </row>
    <row r="275">
      <c r="A275" s="29">
        <f>CONCATENATE("NAME_ABILITY_", SUBSTITUTE(UPPER(B275), " ", ""))</f>
        <v/>
      </c>
      <c r="B275" s="29" t="inlineStr">
        <is>
          <t>Guard Dog</t>
        </is>
      </c>
      <c r="C275" s="29" t="inlineStr">
        <is>
          <t>ばんけん</t>
        </is>
      </c>
      <c r="D275" s="29" t="inlineStr">
        <is>
          <t>Chien de Garde</t>
        </is>
      </c>
      <c r="E275" s="29" t="inlineStr">
        <is>
          <t>Wachhund</t>
        </is>
      </c>
      <c r="F275" s="29" t="inlineStr">
        <is>
          <t>Perro Guardián</t>
        </is>
      </c>
      <c r="G275" s="29" t="inlineStr">
        <is>
          <t>Cane da Guardia</t>
        </is>
      </c>
      <c r="H275" s="29" t="inlineStr">
        <is>
          <t>파수견</t>
        </is>
      </c>
      <c r="I275" s="29">
        <f>IFERROR(__xludf.DUMMYFUNCTION("GOOGLETRANSLATE(J275,""zh_HANS"",""zh_HANT"")"),"看門犬")</f>
        <v/>
      </c>
      <c r="J275" s="29" t="inlineStr">
        <is>
          <t>看门犬</t>
        </is>
      </c>
      <c r="K275" s="29">
        <f>F275</f>
        <v/>
      </c>
    </row>
    <row r="276">
      <c r="A276" s="29">
        <f>CONCATENATE("NAME_ABILITY_", SUBSTITUTE(UPPER(B276), " ", ""))</f>
        <v/>
      </c>
      <c r="B276" s="29" t="inlineStr">
        <is>
          <t>Rocky Payload</t>
        </is>
      </c>
      <c r="C276" s="29" t="inlineStr">
        <is>
          <t>いわはこび</t>
        </is>
      </c>
      <c r="D276" s="29" t="inlineStr">
        <is>
          <t>Porte-Roche</t>
        </is>
      </c>
      <c r="E276" s="29" t="inlineStr">
        <is>
          <t>Steinträger</t>
        </is>
      </c>
      <c r="F276" s="29" t="inlineStr">
        <is>
          <t>Transportarrocas</t>
        </is>
      </c>
      <c r="G276" s="29" t="inlineStr">
        <is>
          <t>Portamassi</t>
        </is>
      </c>
      <c r="H276" s="29" t="inlineStr">
        <is>
          <t>바위나르기</t>
        </is>
      </c>
      <c r="I276" s="29" t="inlineStr">
        <is>
          <t>搬岩</t>
        </is>
      </c>
      <c r="J276" s="29">
        <f>I276</f>
        <v/>
      </c>
      <c r="K276" s="29">
        <f>F276</f>
        <v/>
      </c>
    </row>
    <row r="277">
      <c r="A277" s="29">
        <f>CONCATENATE("NAME_ABILITY_", SUBSTITUTE(UPPER(B277), " ", ""))</f>
        <v/>
      </c>
      <c r="B277" s="29" t="inlineStr">
        <is>
          <t>Wind Power</t>
        </is>
      </c>
      <c r="C277" s="29" t="inlineStr">
        <is>
          <t>ふうりょくでんき</t>
        </is>
      </c>
      <c r="D277" s="29" t="inlineStr">
        <is>
          <t>Turbine Éolienne</t>
        </is>
      </c>
      <c r="E277" s="29" t="inlineStr">
        <is>
          <t>Windkraft</t>
        </is>
      </c>
      <c r="F277" s="29" t="inlineStr">
        <is>
          <t>Energía Eólica</t>
        </is>
      </c>
      <c r="G277" s="29" t="inlineStr">
        <is>
          <t>Energia Eolica</t>
        </is>
      </c>
      <c r="H277" s="29" t="inlineStr">
        <is>
          <t>풍력발전</t>
        </is>
      </c>
      <c r="I277" s="29">
        <f>IFERROR(__xludf.DUMMYFUNCTION("GOOGLETRANSLATE(J277,""zh_HANS"",""zh_HANT"")"),"風力發電")</f>
        <v/>
      </c>
      <c r="J277" s="29" t="inlineStr">
        <is>
          <t>风力发电</t>
        </is>
      </c>
      <c r="K277" s="29">
        <f>F277</f>
        <v/>
      </c>
    </row>
    <row r="278">
      <c r="A278" s="29">
        <f>CONCATENATE("NAME_ABILITY_", SUBSTITUTE(UPPER(B278), " ", ""))</f>
        <v/>
      </c>
      <c r="B278" s="29" t="inlineStr">
        <is>
          <t>Zero to Hero</t>
        </is>
      </c>
      <c r="C278" s="29" t="inlineStr">
        <is>
          <t>マイティチェンジ</t>
        </is>
      </c>
      <c r="D278" s="29" t="inlineStr">
        <is>
          <t>Supermutation</t>
        </is>
      </c>
      <c r="E278" s="29" t="inlineStr">
        <is>
          <t>Superwechsel</t>
        </is>
      </c>
      <c r="F278" s="29" t="inlineStr">
        <is>
          <t>Cambio Heroico</t>
        </is>
      </c>
      <c r="G278" s="29" t="inlineStr">
        <is>
          <t>Supercambio</t>
        </is>
      </c>
      <c r="H278" s="29" t="inlineStr">
        <is>
          <t>마이티체인지</t>
        </is>
      </c>
      <c r="I278" s="29">
        <f>IFERROR(__xludf.DUMMYFUNCTION("GOOGLETRANSLATE(J278,""zh_HANS"",""zh_HANT"")"),"全能變身")</f>
        <v/>
      </c>
      <c r="J278" s="29" t="inlineStr">
        <is>
          <t>全能变身</t>
        </is>
      </c>
      <c r="K278" s="29">
        <f>F278</f>
        <v/>
      </c>
    </row>
    <row r="279">
      <c r="A279" s="29">
        <f>CONCATENATE("NAME_ABILITY_", SUBSTITUTE(UPPER(B279), " ", ""))</f>
        <v/>
      </c>
      <c r="B279" s="29" t="inlineStr">
        <is>
          <t>Commander</t>
        </is>
      </c>
      <c r="C279" s="29" t="inlineStr">
        <is>
          <t>しれいとう</t>
        </is>
      </c>
      <c r="D279" s="29" t="inlineStr">
        <is>
          <t>Commandant</t>
        </is>
      </c>
      <c r="E279" s="29" t="inlineStr">
        <is>
          <t>Kommandant</t>
        </is>
      </c>
      <c r="F279" s="29" t="inlineStr">
        <is>
          <t>Comandar</t>
        </is>
      </c>
      <c r="G279" s="29" t="inlineStr">
        <is>
          <t>Torre di Comando</t>
        </is>
      </c>
      <c r="H279" s="29" t="inlineStr">
        <is>
          <t>사령탑</t>
        </is>
      </c>
      <c r="I279" s="29">
        <f>IFERROR(__xludf.DUMMYFUNCTION("GOOGLETRANSLATE(J279,""zh_HANS"",""zh_HANT"")"),"發號施令")</f>
        <v/>
      </c>
      <c r="J279" s="29" t="inlineStr">
        <is>
          <t>发号施令</t>
        </is>
      </c>
      <c r="K279" s="29">
        <f>F279</f>
        <v/>
      </c>
    </row>
    <row r="280">
      <c r="A280" s="29">
        <f>CONCATENATE("NAME_ABILITY_", SUBSTITUTE(UPPER(B280), " ", ""))</f>
        <v/>
      </c>
      <c r="B280" s="29" t="inlineStr">
        <is>
          <t>Electromorphosis</t>
        </is>
      </c>
      <c r="C280" s="29" t="inlineStr">
        <is>
          <t>でんきにかえる</t>
        </is>
      </c>
      <c r="D280" s="29" t="inlineStr">
        <is>
          <t>Grecharge</t>
        </is>
      </c>
      <c r="E280" s="29" t="inlineStr">
        <is>
          <t>Dynamo</t>
        </is>
      </c>
      <c r="F280" s="29" t="inlineStr">
        <is>
          <t>Dinamo</t>
        </is>
      </c>
      <c r="G280" s="29" t="inlineStr">
        <is>
          <t>Convertivolt</t>
        </is>
      </c>
      <c r="H280" s="29" t="inlineStr">
        <is>
          <t>전기로바꾸기</t>
        </is>
      </c>
      <c r="I280" s="29">
        <f>IFERROR(__xludf.DUMMYFUNCTION("GOOGLETRANSLATE(J280,""zh_HANS"",""zh_HANT"")"),"電力轉換")</f>
        <v/>
      </c>
      <c r="J280" s="29" t="inlineStr">
        <is>
          <t>电力转换</t>
        </is>
      </c>
      <c r="K280" s="29">
        <f>F280</f>
        <v/>
      </c>
    </row>
    <row r="281">
      <c r="A281" s="29">
        <f>CONCATENATE("NAME_ABILITY_", SUBSTITUTE(UPPER(B281), " ", ""))</f>
        <v/>
      </c>
      <c r="B281" s="29" t="inlineStr">
        <is>
          <t>Protosynthesis</t>
        </is>
      </c>
      <c r="C281" s="29" t="inlineStr">
        <is>
          <t>こだいかっさい</t>
        </is>
      </c>
      <c r="D281" s="29" t="inlineStr">
        <is>
          <t>Paléosynthèse</t>
        </is>
      </c>
      <c r="E281" s="29" t="inlineStr">
        <is>
          <t>Paläosynthese</t>
        </is>
      </c>
      <c r="F281" s="29" t="inlineStr">
        <is>
          <t>Paleosíntesis</t>
        </is>
      </c>
      <c r="G281" s="29" t="inlineStr">
        <is>
          <t>Paleoattivazione</t>
        </is>
      </c>
      <c r="H281" s="29" t="inlineStr">
        <is>
          <t>고대활성</t>
        </is>
      </c>
      <c r="I281" s="29" t="inlineStr">
        <is>
          <t>古代活性</t>
        </is>
      </c>
      <c r="J281" s="29">
        <f>I281</f>
        <v/>
      </c>
      <c r="K281" s="29">
        <f>F281</f>
        <v/>
      </c>
    </row>
    <row r="282">
      <c r="A282" s="29">
        <f>CONCATENATE("NAME_ABILITY_", SUBSTITUTE(UPPER(B282), " ", ""))</f>
        <v/>
      </c>
      <c r="B282" s="29" t="inlineStr">
        <is>
          <t>Quark Drive</t>
        </is>
      </c>
      <c r="C282" s="29" t="inlineStr">
        <is>
          <t>クォークチャージ</t>
        </is>
      </c>
      <c r="D282" s="29" t="inlineStr">
        <is>
          <t>Charge Quantique</t>
        </is>
      </c>
      <c r="E282" s="29" t="inlineStr">
        <is>
          <t>Quantenantrieb</t>
        </is>
      </c>
      <c r="F282" s="29" t="inlineStr">
        <is>
          <t>Carga Cuark</t>
        </is>
      </c>
      <c r="G282" s="29" t="inlineStr">
        <is>
          <t>Carica Quark</t>
        </is>
      </c>
      <c r="H282" s="29" t="inlineStr">
        <is>
          <t>쿼크차지</t>
        </is>
      </c>
      <c r="I282" s="29" t="inlineStr">
        <is>
          <t>夸克充能</t>
        </is>
      </c>
      <c r="J282" s="29">
        <f>I282</f>
        <v/>
      </c>
      <c r="K282" s="29">
        <f>F282</f>
        <v/>
      </c>
    </row>
    <row r="283">
      <c r="A283" s="29">
        <f>CONCATENATE("NAME_ABILITY_", SUBSTITUTE(UPPER(B283), " ", ""))</f>
        <v/>
      </c>
      <c r="B283" s="29" t="inlineStr">
        <is>
          <t>Good as Gold</t>
        </is>
      </c>
      <c r="C283" s="29" t="inlineStr">
        <is>
          <t>おうごんのからだ</t>
        </is>
      </c>
      <c r="D283" s="29" t="inlineStr">
        <is>
          <t>Corps en Or</t>
        </is>
      </c>
      <c r="E283" s="29" t="inlineStr">
        <is>
          <t>Goldkörper</t>
        </is>
      </c>
      <c r="F283" s="29" t="inlineStr">
        <is>
          <t>Cuerpo Áureo</t>
        </is>
      </c>
      <c r="G283" s="29" t="inlineStr">
        <is>
          <t>Corpo Aureo</t>
        </is>
      </c>
      <c r="H283" s="29" t="inlineStr">
        <is>
          <t>황금몸</t>
        </is>
      </c>
      <c r="I283" s="29">
        <f>IFERROR(__xludf.DUMMYFUNCTION("GOOGLETRANSLATE(J283,""zh_HANS"",""zh_HANT"")"),"黃金之軀")</f>
        <v/>
      </c>
      <c r="J283" s="29" t="inlineStr">
        <is>
          <t>黄金之躯</t>
        </is>
      </c>
      <c r="K283" s="29">
        <f>F283</f>
        <v/>
      </c>
    </row>
    <row r="284">
      <c r="A284" s="29">
        <f>CONCATENATE("NAME_ABILITY_", SUBSTITUTE(UPPER(B284), " ", ""))</f>
        <v/>
      </c>
      <c r="B284" s="29" t="inlineStr">
        <is>
          <t>Vessel of Ruin</t>
        </is>
      </c>
      <c r="C284" s="29" t="inlineStr">
        <is>
          <t>わざわいのうつわ</t>
        </is>
      </c>
      <c r="D284" s="29" t="inlineStr">
        <is>
          <t>Urne du Fléau</t>
        </is>
      </c>
      <c r="E284" s="29" t="inlineStr">
        <is>
          <t>Unheilsgefäß</t>
        </is>
      </c>
      <c r="F284" s="29" t="inlineStr">
        <is>
          <t>Caldero Debacle</t>
        </is>
      </c>
      <c r="G284" s="29" t="inlineStr">
        <is>
          <t>Vaso Nefasto</t>
        </is>
      </c>
      <c r="H284" s="29" t="inlineStr">
        <is>
          <t>재앙의그릇</t>
        </is>
      </c>
      <c r="I284" s="29">
        <f>IFERROR(__xludf.DUMMYFUNCTION("GOOGLETRANSLATE(J284,""zh_HANS"",""zh_HANT"")"),"災禍之鼎")</f>
        <v/>
      </c>
      <c r="J284" s="29" t="inlineStr">
        <is>
          <t>灾祸之鼎</t>
        </is>
      </c>
      <c r="K284" s="29">
        <f>F284</f>
        <v/>
      </c>
    </row>
    <row r="285">
      <c r="A285" s="29">
        <f>CONCATENATE("NAME_ABILITY_", SUBSTITUTE(UPPER(B285), " ", ""))</f>
        <v/>
      </c>
      <c r="B285" s="29" t="inlineStr">
        <is>
          <t>Sword of Ruin</t>
        </is>
      </c>
      <c r="C285" s="29" t="inlineStr">
        <is>
          <t>わざわいのつるぎ</t>
        </is>
      </c>
      <c r="D285" s="29" t="inlineStr">
        <is>
          <t>Épée du Fléau</t>
        </is>
      </c>
      <c r="E285" s="29" t="inlineStr">
        <is>
          <t>Unheilsschwert</t>
        </is>
      </c>
      <c r="F285" s="29" t="inlineStr">
        <is>
          <t>Espada Debacle</t>
        </is>
      </c>
      <c r="G285" s="29" t="inlineStr">
        <is>
          <t>Spada Nefasto</t>
        </is>
      </c>
      <c r="H285" s="29" t="inlineStr">
        <is>
          <t>재앙의검</t>
        </is>
      </c>
      <c r="I285" s="29">
        <f>IFERROR(__xludf.DUMMYFUNCTION("GOOGLETRANSLATE(J285,""zh_HANS"",""zh_HANT"")"),"災禍之劍")</f>
        <v/>
      </c>
      <c r="J285" s="29" t="inlineStr">
        <is>
          <t>灾祸之剑</t>
        </is>
      </c>
      <c r="K285" s="29">
        <f>F285</f>
        <v/>
      </c>
    </row>
    <row r="286">
      <c r="A286" s="29">
        <f>CONCATENATE("NAME_ABILITY_", SUBSTITUTE(UPPER(B286), " ", ""))</f>
        <v/>
      </c>
      <c r="B286" s="29" t="inlineStr">
        <is>
          <t>Tablets of Ruin</t>
        </is>
      </c>
      <c r="C286" s="29" t="inlineStr">
        <is>
          <t>わざわいのおふだ</t>
        </is>
      </c>
      <c r="D286" s="29" t="inlineStr">
        <is>
          <t>Bois du Fléau</t>
        </is>
      </c>
      <c r="E286" s="29" t="inlineStr">
        <is>
          <t>Unheilstafeln</t>
        </is>
      </c>
      <c r="F286" s="29" t="inlineStr">
        <is>
          <t>Tablilla Debacle</t>
        </is>
      </c>
      <c r="G286" s="29" t="inlineStr">
        <is>
          <t>Amuleto Nefasto</t>
        </is>
      </c>
      <c r="H286" s="29" t="inlineStr">
        <is>
          <t>재앙의목간</t>
        </is>
      </c>
      <c r="I286" s="29">
        <f>IFERROR(__xludf.DUMMYFUNCTION("GOOGLETRANSLATE(J286,""zh_HANS"",""zh_HANT"")"),"災禍之簡")</f>
        <v/>
      </c>
      <c r="J286" s="29" t="inlineStr">
        <is>
          <t>灾祸之简</t>
        </is>
      </c>
      <c r="K286" s="29">
        <f>F286</f>
        <v/>
      </c>
    </row>
    <row r="287">
      <c r="A287" s="29">
        <f>CONCATENATE("NAME_ABILITY_", SUBSTITUTE(UPPER(B287), " ", ""))</f>
        <v/>
      </c>
      <c r="B287" s="29" t="inlineStr">
        <is>
          <t>Beads of Ruin</t>
        </is>
      </c>
      <c r="C287" s="29" t="inlineStr">
        <is>
          <t>わざわいのたま</t>
        </is>
      </c>
      <c r="D287" s="29" t="inlineStr">
        <is>
          <t>Perles du Fléau</t>
        </is>
      </c>
      <c r="E287" s="29" t="inlineStr">
        <is>
          <t>Unheilsjuwelen</t>
        </is>
      </c>
      <c r="F287" s="29" t="inlineStr">
        <is>
          <t>Abalorio Debacle</t>
        </is>
      </c>
      <c r="G287" s="29" t="inlineStr">
        <is>
          <t>Monile Nefasto</t>
        </is>
      </c>
      <c r="H287" s="29" t="inlineStr">
        <is>
          <t>재앙의구슬</t>
        </is>
      </c>
      <c r="I287" s="29">
        <f>IFERROR(__xludf.DUMMYFUNCTION("GOOGLETRANSLATE(J287,""zh_HANS"",""zh_HANT"")"),"災禍之玉")</f>
        <v/>
      </c>
      <c r="J287" s="29" t="inlineStr">
        <is>
          <t>灾祸之玉</t>
        </is>
      </c>
      <c r="K287" s="29">
        <f>F287</f>
        <v/>
      </c>
    </row>
    <row r="288">
      <c r="A288" s="29">
        <f>CONCATENATE("NAME_ABILITY_", SUBSTITUTE(UPPER(B288), " ", ""))</f>
        <v/>
      </c>
      <c r="B288" s="29" t="inlineStr">
        <is>
          <t>Orichalcum Pulse</t>
        </is>
      </c>
      <c r="C288" s="29" t="inlineStr">
        <is>
          <t>ひひいろのこどう</t>
        </is>
      </c>
      <c r="D288" s="29" t="inlineStr">
        <is>
          <t>Pouls Orichalque</t>
        </is>
      </c>
      <c r="E288" s="29" t="inlineStr">
        <is>
          <t>Orichalkum-Puls</t>
        </is>
      </c>
      <c r="F288" s="29" t="inlineStr">
        <is>
          <t>Latido Oricalco</t>
        </is>
      </c>
      <c r="G288" s="29" t="inlineStr">
        <is>
          <t>Ritmo d'Oricalco</t>
        </is>
      </c>
      <c r="H288" s="29" t="inlineStr">
        <is>
          <t>진홍빛고동</t>
        </is>
      </c>
      <c r="I288" s="29">
        <f>IFERROR(__xludf.DUMMYFUNCTION("GOOGLETRANSLATE(J288,""zh_HANS"",""zh_HANT"")"),"緋紅脈動")</f>
        <v/>
      </c>
      <c r="J288" s="29" t="inlineStr">
        <is>
          <t>绯红脉动</t>
        </is>
      </c>
      <c r="K288" s="29">
        <f>F288</f>
        <v/>
      </c>
    </row>
    <row r="289">
      <c r="A289" s="29">
        <f>CONCATENATE("NAME_ABILITY_", SUBSTITUTE(UPPER(B289), " ", ""))</f>
        <v/>
      </c>
      <c r="B289" s="29" t="inlineStr">
        <is>
          <t>Hadron Engine</t>
        </is>
      </c>
      <c r="C289" s="29" t="inlineStr">
        <is>
          <t>ハドロンエンジン</t>
        </is>
      </c>
      <c r="D289" s="29" t="inlineStr">
        <is>
          <t>Moteur à Hadrons</t>
        </is>
      </c>
      <c r="E289" s="29" t="inlineStr">
        <is>
          <t>Hadronen-Motor</t>
        </is>
      </c>
      <c r="F289" s="29" t="inlineStr">
        <is>
          <t>Motor Hadrónico</t>
        </is>
      </c>
      <c r="G289" s="29" t="inlineStr">
        <is>
          <t>Motore Adronico</t>
        </is>
      </c>
      <c r="H289" s="29" t="inlineStr">
        <is>
          <t>하드론엔진</t>
        </is>
      </c>
      <c r="I289" s="29">
        <f>IFERROR(__xludf.DUMMYFUNCTION("GOOGLETRANSLATE(J289,""zh_HANS"",""zh_HANT"")"),"強子引擎")</f>
        <v/>
      </c>
      <c r="J289" s="29" t="inlineStr">
        <is>
          <t>强子引擎</t>
        </is>
      </c>
      <c r="K289" s="29">
        <f>F289</f>
        <v/>
      </c>
    </row>
    <row r="290">
      <c r="A290" s="29">
        <f>CONCATENATE("NAME_ABILITY_", SUBSTITUTE(UPPER(B290), " ", ""))</f>
        <v/>
      </c>
      <c r="B290" s="29" t="inlineStr">
        <is>
          <t>Opportunist</t>
        </is>
      </c>
      <c r="C290" s="29" t="inlineStr">
        <is>
          <t>びんじょう</t>
        </is>
      </c>
      <c r="D290" s="29">
        <f>CONCATENATE(B290,"e")</f>
        <v/>
      </c>
      <c r="E290" s="29" t="inlineStr">
        <is>
          <t>Profiteur</t>
        </is>
      </c>
      <c r="F290" s="29" t="inlineStr">
        <is>
          <t>Oportunista</t>
        </is>
      </c>
      <c r="G290" s="29" t="inlineStr">
        <is>
          <t>Scrocco</t>
        </is>
      </c>
      <c r="H290" s="29" t="inlineStr">
        <is>
          <t>편승</t>
        </is>
      </c>
      <c r="I290" s="29">
        <f>IFERROR(__xludf.DUMMYFUNCTION("GOOGLETRANSLATE(J290,""zh_HANS"",""zh_HANT"")"),"跟風")</f>
        <v/>
      </c>
      <c r="J290" s="29" t="inlineStr">
        <is>
          <t>跟风</t>
        </is>
      </c>
      <c r="K290" s="29">
        <f>F290</f>
        <v/>
      </c>
    </row>
    <row r="291">
      <c r="A291" s="29">
        <f>CONCATENATE("NAME_ABILITY_", SUBSTITUTE(UPPER(B291), " ", ""))</f>
        <v/>
      </c>
      <c r="B291" s="29" t="inlineStr">
        <is>
          <t>Cud Chew</t>
        </is>
      </c>
      <c r="C291" s="29" t="inlineStr">
        <is>
          <t>はんすう</t>
        </is>
      </c>
      <c r="D291" s="29" t="inlineStr">
        <is>
          <t>Ruminant</t>
        </is>
      </c>
      <c r="E291" s="29" t="inlineStr">
        <is>
          <t>Wiederkäuer</t>
        </is>
      </c>
      <c r="F291" s="29" t="inlineStr">
        <is>
          <t>Rumia</t>
        </is>
      </c>
      <c r="G291" s="29">
        <f>CONCATENATE(D291,"e")</f>
        <v/>
      </c>
      <c r="H291" s="29" t="inlineStr">
        <is>
          <t>되새김질</t>
        </is>
      </c>
      <c r="I291" s="29">
        <f>IFERROR(__xludf.DUMMYFUNCTION("GOOGLETRANSLATE(J291,""zh_HANS"",""zh_HANT"")"),"反芻")</f>
        <v/>
      </c>
      <c r="J291" s="29" t="inlineStr">
        <is>
          <t>反刍</t>
        </is>
      </c>
      <c r="K291" s="29">
        <f>F291</f>
        <v/>
      </c>
    </row>
    <row r="292">
      <c r="A292" s="29">
        <f>CONCATENATE("NAME_ABILITY_", SUBSTITUTE(UPPER(B292), " ", ""))</f>
        <v/>
      </c>
      <c r="B292" s="29" t="inlineStr">
        <is>
          <t>Sharpness</t>
        </is>
      </c>
      <c r="C292" s="29" t="inlineStr">
        <is>
          <t>きれあじ</t>
        </is>
      </c>
      <c r="D292" s="29" t="inlineStr">
        <is>
          <t>Incisif</t>
        </is>
      </c>
      <c r="E292" s="29" t="inlineStr">
        <is>
          <t>Scharfkantig</t>
        </is>
      </c>
      <c r="F292" s="29" t="inlineStr">
        <is>
          <t>Cortante</t>
        </is>
      </c>
      <c r="G292" s="29" t="inlineStr">
        <is>
          <t>Affilama</t>
        </is>
      </c>
      <c r="H292" s="29" t="inlineStr">
        <is>
          <t>예리함</t>
        </is>
      </c>
      <c r="I292" s="29">
        <f>IFERROR(__xludf.DUMMYFUNCTION("GOOGLETRANSLATE(J292,""zh_HANS"",""zh_HANT"")"),"鋒銳")</f>
        <v/>
      </c>
      <c r="J292" s="29" t="inlineStr">
        <is>
          <t>锋锐</t>
        </is>
      </c>
      <c r="K292" s="29">
        <f>F292</f>
        <v/>
      </c>
    </row>
    <row r="293">
      <c r="A293" s="29">
        <f>CONCATENATE("NAME_ABILITY_", SUBSTITUTE(UPPER(B293), " ", ""))</f>
        <v/>
      </c>
      <c r="B293" s="29" t="inlineStr">
        <is>
          <t>Supreme Overlord</t>
        </is>
      </c>
      <c r="C293" s="29" t="inlineStr">
        <is>
          <t>そうたいしょう</t>
        </is>
      </c>
      <c r="D293" s="29" t="inlineStr">
        <is>
          <t>Général Suprême</t>
        </is>
      </c>
      <c r="E293" s="29" t="inlineStr">
        <is>
          <t>Feldherr</t>
        </is>
      </c>
      <c r="F293" s="29" t="inlineStr">
        <is>
          <t>General Supremo</t>
        </is>
      </c>
      <c r="G293" s="29" t="inlineStr">
        <is>
          <t>Generale Supremo</t>
        </is>
      </c>
      <c r="H293" s="29" t="inlineStr">
        <is>
          <t>총대장</t>
        </is>
      </c>
      <c r="I293" s="29">
        <f>IFERROR(__xludf.DUMMYFUNCTION("GOOGLETRANSLATE(J293,""zh_HANS"",""zh_HANT"")"),"大將")</f>
        <v/>
      </c>
      <c r="J293" s="29" t="inlineStr">
        <is>
          <t>大将</t>
        </is>
      </c>
      <c r="K293" s="29">
        <f>F293</f>
        <v/>
      </c>
    </row>
    <row r="294">
      <c r="A294" s="29">
        <f>CONCATENATE("NAME_ABILITY_", SUBSTITUTE(UPPER(B294), " ", ""))</f>
        <v/>
      </c>
      <c r="B294" s="29" t="inlineStr">
        <is>
          <t>Costar</t>
        </is>
      </c>
      <c r="C294" s="29" t="inlineStr">
        <is>
          <t>きょうえん</t>
        </is>
      </c>
      <c r="D294" s="29" t="inlineStr">
        <is>
          <t>Collab</t>
        </is>
      </c>
      <c r="E294" s="29" t="inlineStr">
        <is>
          <t>Synchronauftritt</t>
        </is>
      </c>
      <c r="F294" s="29" t="inlineStr">
        <is>
          <t>Unísono</t>
        </is>
      </c>
      <c r="G294" s="29" t="inlineStr">
        <is>
          <t>Coprotagonismo</t>
        </is>
      </c>
      <c r="H294" s="29" t="inlineStr">
        <is>
          <t>협연</t>
        </is>
      </c>
      <c r="I294" s="29" t="inlineStr">
        <is>
          <t>同台共演</t>
        </is>
      </c>
      <c r="J294" s="29">
        <f>I294</f>
        <v/>
      </c>
      <c r="K294" s="29">
        <f>F294</f>
        <v/>
      </c>
    </row>
    <row r="295">
      <c r="A295" s="29">
        <f>CONCATENATE("NAME_ABILITY_", SUBSTITUTE(UPPER(B295), " ", ""))</f>
        <v/>
      </c>
      <c r="B295" s="29" t="inlineStr">
        <is>
          <t>Toxic Debris</t>
        </is>
      </c>
      <c r="C295" s="29" t="inlineStr">
        <is>
          <t>どくげしょう</t>
        </is>
      </c>
      <c r="D295" s="29" t="inlineStr">
        <is>
          <t>Dépôt Toxique</t>
        </is>
      </c>
      <c r="E295" s="29" t="inlineStr">
        <is>
          <t>Giftbelag</t>
        </is>
      </c>
      <c r="F295" s="29" t="inlineStr">
        <is>
          <t>Capa Tóxica</t>
        </is>
      </c>
      <c r="G295" s="29" t="inlineStr">
        <is>
          <t>Mantossina</t>
        </is>
      </c>
      <c r="H295" s="29" t="inlineStr">
        <is>
          <t>독치장</t>
        </is>
      </c>
      <c r="I295" s="29">
        <f>IFERROR(__xludf.DUMMYFUNCTION("GOOGLETRANSLATE(J295,""zh_HANS"",""zh_HANT"")"),"毒滿地")</f>
        <v/>
      </c>
      <c r="J295" s="29" t="inlineStr">
        <is>
          <t>毒满地</t>
        </is>
      </c>
      <c r="K295" s="29">
        <f>F295</f>
        <v/>
      </c>
    </row>
    <row r="296">
      <c r="A296" s="29">
        <f>CONCATENATE("NAME_ABILITY_", SUBSTITUTE(UPPER(B296), " ", ""))</f>
        <v/>
      </c>
      <c r="B296" s="29" t="inlineStr">
        <is>
          <t>Armor Tail</t>
        </is>
      </c>
      <c r="C296" s="29" t="inlineStr">
        <is>
          <t>テイルアーマー</t>
        </is>
      </c>
      <c r="D296" s="29" t="inlineStr">
        <is>
          <t>Armure Caudale</t>
        </is>
      </c>
      <c r="E296" s="29" t="inlineStr">
        <is>
          <t>Schweifrüstung</t>
        </is>
      </c>
      <c r="F296" s="29" t="inlineStr">
        <is>
          <t>Cola Armadura</t>
        </is>
      </c>
      <c r="G296" s="29" t="inlineStr">
        <is>
          <t>Codarmatura</t>
        </is>
      </c>
      <c r="H296" s="29" t="inlineStr">
        <is>
          <t>테일아머</t>
        </is>
      </c>
      <c r="I296" s="29" t="inlineStr">
        <is>
          <t>尾甲</t>
        </is>
      </c>
      <c r="J296" s="29">
        <f>I296</f>
        <v/>
      </c>
      <c r="K296" s="29">
        <f>F296</f>
        <v/>
      </c>
    </row>
    <row r="297">
      <c r="A297" s="29">
        <f>CONCATENATE("NAME_ABILITY_", SUBSTITUTE(UPPER(B297), " ", ""))</f>
        <v/>
      </c>
      <c r="B297" s="29" t="inlineStr">
        <is>
          <t>Earth Eater</t>
        </is>
      </c>
      <c r="C297" s="29" t="inlineStr">
        <is>
          <t>どしょく</t>
        </is>
      </c>
      <c r="D297" s="29" t="inlineStr">
        <is>
          <t>Absorbe-Terre</t>
        </is>
      </c>
      <c r="E297" s="29" t="inlineStr">
        <is>
          <t>Bodenschmaus</t>
        </is>
      </c>
      <c r="F297" s="29" t="inlineStr">
        <is>
          <t>Geofagia</t>
        </is>
      </c>
      <c r="G297" s="29" t="inlineStr">
        <is>
          <t>Mangiaterra</t>
        </is>
      </c>
      <c r="H297" s="29" t="inlineStr">
        <is>
          <t>흙먹기</t>
        </is>
      </c>
      <c r="I297" s="29" t="inlineStr">
        <is>
          <t>食土</t>
        </is>
      </c>
      <c r="J297" s="29">
        <f>I297</f>
        <v/>
      </c>
      <c r="K297" s="29">
        <f>F297</f>
        <v/>
      </c>
    </row>
    <row r="298">
      <c r="A298" s="29">
        <f>CONCATENATE("NAME_ABILITY_", SUBSTITUTE(UPPER(B298), " ", ""))</f>
        <v/>
      </c>
      <c r="B298" s="29" t="inlineStr">
        <is>
          <t>Mycelium Might</t>
        </is>
      </c>
      <c r="C298" s="29" t="inlineStr">
        <is>
          <t>きんしのちから</t>
        </is>
      </c>
      <c r="D298" s="29" t="inlineStr">
        <is>
          <t>Force Fongique</t>
        </is>
      </c>
      <c r="E298" s="29" t="inlineStr">
        <is>
          <t>Myzelienkraft</t>
        </is>
      </c>
      <c r="F298" s="29" t="inlineStr">
        <is>
          <t>Poder Fúngico</t>
        </is>
      </c>
      <c r="G298" s="29" t="inlineStr">
        <is>
          <t>Micoforza</t>
        </is>
      </c>
      <c r="H298" s="29" t="inlineStr">
        <is>
          <t>균사의힘</t>
        </is>
      </c>
      <c r="I298" s="29">
        <f>IFERROR(__xludf.DUMMYFUNCTION("GOOGLETRANSLATE(J298,""zh_HANS"",""zh_HANT"")"),"菌絲之力")</f>
        <v/>
      </c>
      <c r="J298" s="29" t="inlineStr">
        <is>
          <t>菌丝之力</t>
        </is>
      </c>
      <c r="K298" s="29">
        <f>F298</f>
        <v/>
      </c>
    </row>
    <row r="299">
      <c r="A299" s="29">
        <f>CONCATENATE("NAME_ABILITY_", SUBSTITUTE(UPPER(B299), " ", ""))</f>
        <v/>
      </c>
      <c r="B299" s="29" t="inlineStr">
        <is>
          <t>Hospitality</t>
        </is>
      </c>
      <c r="C299" s="29" t="inlineStr">
        <is>
          <t>おもてなし</t>
        </is>
      </c>
      <c r="D299" s="29" t="inlineStr">
        <is>
          <t>Aux Petis Soins</t>
        </is>
      </c>
      <c r="E299" s="29" t="inlineStr">
        <is>
          <t>Gastlichkei</t>
        </is>
      </c>
      <c r="F299" s="29" t="inlineStr">
        <is>
          <t>Hoapitalidad</t>
        </is>
      </c>
      <c r="G299" s="29" t="inlineStr">
        <is>
          <t>Ospitalità</t>
        </is>
      </c>
      <c r="H299" s="29" t="inlineStr">
        <is>
          <t>대접</t>
        </is>
      </c>
      <c r="I299" s="29" t="inlineStr">
        <is>
          <t>款待</t>
        </is>
      </c>
      <c r="J299" s="29">
        <f>I299</f>
        <v/>
      </c>
      <c r="K299" s="29">
        <f>F299</f>
        <v/>
      </c>
    </row>
    <row r="300">
      <c r="A300" s="29">
        <f>CONCATENATE("NAME_ABILITY_", SUBSTITUTE(SUBSTITUTE(UPPER(B300), " ", ""), "'", ""))</f>
        <v/>
      </c>
      <c r="B300" s="29" t="inlineStr">
        <is>
          <t>Mind's Eye</t>
        </is>
      </c>
      <c r="C300" s="29" t="inlineStr">
        <is>
          <t>しんがん</t>
        </is>
      </c>
      <c r="D300" s="29" t="inlineStr">
        <is>
          <t>Œil Révélateur</t>
        </is>
      </c>
      <c r="E300" s="29" t="inlineStr">
        <is>
          <t>Geistiges Auge</t>
        </is>
      </c>
      <c r="F300" s="29" t="inlineStr">
        <is>
          <t>Ojo Mental</t>
        </is>
      </c>
      <c r="G300" s="29" t="inlineStr">
        <is>
          <t>Occhio Interiore</t>
        </is>
      </c>
      <c r="H300" s="29" t="inlineStr">
        <is>
          <t>심안</t>
        </is>
      </c>
      <c r="I300" s="29" t="inlineStr">
        <is>
          <t>心眼</t>
        </is>
      </c>
      <c r="J300" s="29">
        <f>I300</f>
        <v/>
      </c>
      <c r="K300" s="29">
        <f>F300</f>
        <v/>
      </c>
    </row>
    <row r="301">
      <c r="A301" s="29">
        <f>CONCATENATE("NAME_ABILITY_", SUBSTITUTE(UPPER(B301), " ", ""))</f>
        <v/>
      </c>
      <c r="B301" s="29" t="inlineStr">
        <is>
          <t>Embody Aspect</t>
        </is>
      </c>
      <c r="C301" s="29" t="inlineStr">
        <is>
          <t>おもかげやどし</t>
        </is>
      </c>
      <c r="D301" s="29" t="inlineStr">
        <is>
          <t>Force Mémorielle</t>
        </is>
      </c>
      <c r="E301" s="29" t="inlineStr">
        <is>
          <t>Erinnerungskraft</t>
        </is>
      </c>
      <c r="F301" s="29" t="inlineStr">
        <is>
          <t>Evocarrecuerdos</t>
        </is>
      </c>
      <c r="G301" s="29" t="inlineStr">
        <is>
          <t>Albergamemorie</t>
        </is>
      </c>
      <c r="H301" s="29" t="inlineStr">
        <is>
          <t>초상투영</t>
        </is>
      </c>
      <c r="I301" s="29">
        <f>IFERROR(__xludf.DUMMYFUNCTION("GOOGLETRANSLATE(J301,""zh_HANS"",""zh_HANT"")"),"面影輝映")</f>
        <v/>
      </c>
      <c r="J301" s="29" t="inlineStr">
        <is>
          <t>面影辉映</t>
        </is>
      </c>
      <c r="K301" s="29">
        <f>F301</f>
        <v/>
      </c>
    </row>
    <row r="302">
      <c r="A302" s="29">
        <f>CONCATENATE("NAME_ABILITY_", SUBSTITUTE(UPPER(B302), " ", ""))</f>
        <v/>
      </c>
      <c r="B302" s="29" t="inlineStr">
        <is>
          <t>Toxic Chain</t>
        </is>
      </c>
      <c r="C302" s="29" t="inlineStr">
        <is>
          <t>どくのくさり</t>
        </is>
      </c>
      <c r="D302" s="29" t="inlineStr">
        <is>
          <t>Chaîne Toxique</t>
        </is>
      </c>
      <c r="E302" s="29" t="inlineStr">
        <is>
          <t>Giftkette</t>
        </is>
      </c>
      <c r="F302" s="29" t="inlineStr">
        <is>
          <t>Cadena Tóxica</t>
        </is>
      </c>
      <c r="G302" s="29" t="inlineStr">
        <is>
          <t>Catena Tossica</t>
        </is>
      </c>
      <c r="H302" s="29" t="inlineStr">
        <is>
          <t>독사슬</t>
        </is>
      </c>
      <c r="I302" s="29">
        <f>IFERROR(__xludf.DUMMYFUNCTION("GOOGLETRANSLATE(J302,""zh_HANS"",""zh_HANT"")"),"毒鎖鏈")</f>
        <v/>
      </c>
      <c r="J302" s="29" t="inlineStr">
        <is>
          <t>毒锁链</t>
        </is>
      </c>
      <c r="K302" s="29">
        <f>F302</f>
        <v/>
      </c>
    </row>
    <row r="303">
      <c r="A303" s="29">
        <f>CONCATENATE("NAME_ABILITY_", SUBSTITUTE(UPPER(B303), " ", ""))</f>
        <v/>
      </c>
      <c r="B303" s="29" t="inlineStr">
        <is>
          <t>Supersweet Syrup</t>
        </is>
      </c>
      <c r="C303" s="29" t="inlineStr">
        <is>
          <t>かんろなミツ</t>
        </is>
      </c>
      <c r="D303" s="29" t="inlineStr">
        <is>
          <t>Nectar Mielleux</t>
        </is>
      </c>
      <c r="E303" s="29" t="inlineStr">
        <is>
          <t>Süßer Nektar</t>
        </is>
      </c>
      <c r="F303" s="29" t="inlineStr">
        <is>
          <t>Néctar Dulce</t>
        </is>
      </c>
      <c r="G303" s="29" t="inlineStr">
        <is>
          <t>Sciroppo Sublime</t>
        </is>
      </c>
      <c r="H303" s="29" t="inlineStr">
        <is>
          <t>감미로운꿀</t>
        </is>
      </c>
      <c r="I303" s="29" t="inlineStr">
        <is>
          <t>甘露之蜜</t>
        </is>
      </c>
      <c r="J303" s="29">
        <f>I303</f>
        <v/>
      </c>
      <c r="K303" s="29">
        <f>F303</f>
        <v/>
      </c>
    </row>
    <row r="304">
      <c r="A304" s="29">
        <f>CONCATENATE("NAME_ABILITY_", SUBSTITUTE(UPPER(B304), " ", ""))</f>
        <v/>
      </c>
      <c r="B304" s="29" t="inlineStr">
        <is>
          <t>Tera Shift</t>
        </is>
      </c>
      <c r="C304" s="29" t="inlineStr">
        <is>
          <t>テラスチェンジ</t>
        </is>
      </c>
      <c r="D304" s="29" t="inlineStr">
        <is>
          <t>Téramorphose</t>
        </is>
      </c>
      <c r="E304" s="29" t="inlineStr">
        <is>
          <t>Tera-Wandel</t>
        </is>
      </c>
      <c r="F304" s="29" t="inlineStr">
        <is>
          <t>Teracambio</t>
        </is>
      </c>
      <c r="G304" s="29" t="inlineStr">
        <is>
          <t>Teramorfosi</t>
        </is>
      </c>
      <c r="H304" s="29" t="inlineStr">
        <is>
          <t>테라체인지</t>
        </is>
      </c>
      <c r="I304" s="29">
        <f>IFERROR(__xludf.DUMMYFUNCTION("GOOGLETRANSLATE(J304,""zh_HANS"",""zh_HANT"")"),"太晶變形")</f>
        <v/>
      </c>
      <c r="J304" s="29" t="inlineStr">
        <is>
          <t>太晶变形</t>
        </is>
      </c>
      <c r="K304" s="29">
        <f>F304</f>
        <v/>
      </c>
    </row>
    <row r="305">
      <c r="A305" s="29">
        <f>CONCATENATE("NAME_ABILITY_", SUBSTITUTE(UPPER(B305), " ", ""))</f>
        <v/>
      </c>
      <c r="B305" s="29" t="inlineStr">
        <is>
          <t>Tera Shell</t>
        </is>
      </c>
      <c r="C305" s="29" t="inlineStr">
        <is>
          <t>テラスシェル</t>
        </is>
      </c>
      <c r="D305" s="29" t="inlineStr">
        <is>
          <t>Téra-Carapace</t>
        </is>
      </c>
      <c r="E305" s="29" t="inlineStr">
        <is>
          <t>Tera-Panzer</t>
        </is>
      </c>
      <c r="F305" s="29" t="inlineStr">
        <is>
          <t>Teracaparazón</t>
        </is>
      </c>
      <c r="G305" s="29" t="inlineStr">
        <is>
          <t>Teraguscio</t>
        </is>
      </c>
      <c r="H305" s="29" t="inlineStr">
        <is>
          <t>테라셸</t>
        </is>
      </c>
      <c r="I305" s="29">
        <f>IFERROR(__xludf.DUMMYFUNCTION("GOOGLETRANSLATE(J305,""zh_HANS"",""zh_HANT"")"),"太晶甲殼")</f>
        <v/>
      </c>
      <c r="J305" s="29" t="inlineStr">
        <is>
          <t>太晶甲壳</t>
        </is>
      </c>
      <c r="K305" s="29">
        <f>F305</f>
        <v/>
      </c>
    </row>
    <row r="306">
      <c r="A306" s="29">
        <f>CONCATENATE("NAME_ABILITY_", SUBSTITUTE(UPPER(B306), " ", ""))</f>
        <v/>
      </c>
      <c r="B306" s="29" t="inlineStr">
        <is>
          <t>Teraform Zero</t>
        </is>
      </c>
      <c r="C306" s="29" t="inlineStr">
        <is>
          <t>ゼロフォーミング</t>
        </is>
      </c>
      <c r="D306" s="29" t="inlineStr">
        <is>
          <t>Téraformation 0</t>
        </is>
      </c>
      <c r="E306" s="29" t="inlineStr">
        <is>
          <t>Teraforming Null</t>
        </is>
      </c>
      <c r="F306" s="29" t="inlineStr">
        <is>
          <t>Teraformación 0</t>
        </is>
      </c>
      <c r="G306" s="29" t="inlineStr">
        <is>
          <t>Zeroformazione</t>
        </is>
      </c>
      <c r="H306" s="29" t="inlineStr">
        <is>
          <t>제로포밍</t>
        </is>
      </c>
      <c r="I306" s="29">
        <f>IFERROR(__xludf.DUMMYFUNCTION("GOOGLETRANSLATE(J306,""zh_HANS"",""zh_HANT"")"),"歸零化境")</f>
        <v/>
      </c>
      <c r="J306" s="29" t="inlineStr">
        <is>
          <t>归零化境</t>
        </is>
      </c>
      <c r="K306" s="29">
        <f>F306</f>
        <v/>
      </c>
    </row>
    <row r="307">
      <c r="A307" s="29">
        <f>CONCATENATE("NAME_ABILITY_", SUBSTITUTE(UPPER(B307), " ", ""))</f>
        <v/>
      </c>
      <c r="B307" s="29" t="inlineStr">
        <is>
          <t>Poison Puppeteer</t>
        </is>
      </c>
      <c r="C307" s="29" t="inlineStr">
        <is>
          <t>どくくぐつ</t>
        </is>
      </c>
      <c r="D307" s="29" t="inlineStr">
        <is>
          <t>Emprise Toxique</t>
        </is>
      </c>
      <c r="E307" s="29" t="inlineStr">
        <is>
          <t>Giftpuppenspiel</t>
        </is>
      </c>
      <c r="F307" s="29" t="inlineStr">
        <is>
          <t>Títere tóxico</t>
        </is>
      </c>
      <c r="G307" s="29" t="inlineStr">
        <is>
          <t>Malia Tossica</t>
        </is>
      </c>
      <c r="H307" s="29" t="inlineStr">
        <is>
          <t>독조종</t>
        </is>
      </c>
      <c r="I307" s="29" t="inlineStr">
        <is>
          <t>毒傀儡</t>
        </is>
      </c>
      <c r="J307" s="29">
        <f>I307</f>
        <v/>
      </c>
      <c r="K307" s="29">
        <f>F307</f>
        <v/>
      </c>
    </row>
    <row r="308">
      <c r="A308" s="29">
        <f>CONCATENATE("NAME_ABILITY_", SUBSTITUTE(UPPER(B308), " ", ""))</f>
        <v/>
      </c>
      <c r="B308" s="29" t="inlineStr">
        <is>
          <t>Piercing Drill</t>
        </is>
      </c>
      <c r="C308" s="29" t="inlineStr">
        <is>
          <t>かんつうドリル</t>
        </is>
      </c>
      <c r="D308" s="29" t="inlineStr">
        <is>
          <t>Transperceuse</t>
        </is>
      </c>
      <c r="E308" s="29" t="inlineStr">
        <is>
          <t>Stichbohrer</t>
        </is>
      </c>
      <c r="F308" s="29" t="inlineStr">
        <is>
          <t>Turbotaladro</t>
        </is>
      </c>
      <c r="G308" s="29" t="inlineStr">
        <is>
          <t>Punta Perforante</t>
        </is>
      </c>
      <c r="H308" s="29" t="inlineStr">
        <is>
          <t>관통드릴</t>
        </is>
      </c>
      <c r="I308" s="29">
        <f>IFERROR(__xludf.DUMMYFUNCTION("GOOGLETRANSLATE(J308,""zh_HANS"",""zh_HANT"")"),"貫穿鑽")</f>
        <v/>
      </c>
      <c r="J308" s="29" t="inlineStr">
        <is>
          <t>贯穿钻</t>
        </is>
      </c>
      <c r="K308" s="29">
        <f>F308</f>
        <v/>
      </c>
    </row>
    <row r="309">
      <c r="A309" s="29">
        <f>CONCATENATE("NAME_ABILITY_", SUBSTITUTE(UPPER(B309), " ", ""))</f>
        <v/>
      </c>
      <c r="B309" s="29" t="inlineStr">
        <is>
          <t>Dragonize</t>
        </is>
      </c>
      <c r="C309" s="29" t="inlineStr">
        <is>
          <t>ドラゴンスキン</t>
        </is>
      </c>
      <c r="D309" s="29" t="inlineStr">
        <is>
          <t>Peau Draconique</t>
        </is>
      </c>
      <c r="E309" s="29" t="inlineStr">
        <is>
          <t>Drachenschicht</t>
        </is>
      </c>
      <c r="F309" s="29" t="inlineStr">
        <is>
          <t>Piel Dragontina</t>
        </is>
      </c>
      <c r="G309" s="29" t="inlineStr">
        <is>
          <t>Pelledrago</t>
        </is>
      </c>
      <c r="H309" s="29" t="inlineStr">
        <is>
          <t xml:space="preserve">드래곤스킨 </t>
        </is>
      </c>
      <c r="I309" s="29" t="inlineStr">
        <is>
          <t>龍皮膚</t>
        </is>
      </c>
      <c r="J309" s="29">
        <f>I309</f>
        <v/>
      </c>
      <c r="K309" s="29" t="inlineStr">
        <is>
          <t>Piel Dracónica</t>
        </is>
      </c>
    </row>
    <row r="310">
      <c r="A310" s="29">
        <f>CONCATENATE("NAME_ABILITY_", SUBSTITUTE(UPPER(B310), " ", ""))</f>
        <v/>
      </c>
      <c r="B310" s="29" t="inlineStr">
        <is>
          <t>Eelevate</t>
        </is>
      </c>
      <c r="C310" s="29" t="inlineStr">
        <is>
          <t>うなぎのぼり</t>
        </is>
      </c>
      <c r="D310" s="29" t="inlineStr">
        <is>
          <t>Lévitaboost</t>
        </is>
      </c>
      <c r="E310" s="29" t="inlineStr">
        <is>
          <t>Emporwindung</t>
        </is>
      </c>
      <c r="F310" s="29" t="inlineStr">
        <is>
          <t>Impulso Anguila</t>
        </is>
      </c>
      <c r="G310" s="29" t="inlineStr">
        <is>
          <t>Rapidascesa</t>
        </is>
      </c>
      <c r="H310" s="29" t="inlineStr">
        <is>
          <t>천정부지</t>
        </is>
      </c>
      <c r="I310" s="29">
        <f>IFERROR(__xludf.DUMMYFUNCTION("GOOGLETRANSLATE(J310,""zh_HANS"",""zh_HANT"")"),"鰻鰻高升")</f>
        <v/>
      </c>
      <c r="J310" s="29" t="inlineStr">
        <is>
          <t>鳗鳗高升</t>
        </is>
      </c>
      <c r="K310" s="29">
        <f>F310</f>
        <v/>
      </c>
    </row>
    <row r="311">
      <c r="B311" s="29" t="n"/>
      <c r="C311" s="29" t="n"/>
      <c r="D311" s="29" t="n"/>
      <c r="E311" s="29" t="n"/>
      <c r="F311" s="29" t="n"/>
      <c r="G311" s="29" t="n"/>
      <c r="H311" s="29" t="n"/>
      <c r="I311" s="29" t="n"/>
      <c r="J311" s="29" t="n"/>
    </row>
    <row r="312">
      <c r="A312" s="29">
        <f>CONCATENATE("NAME_ABILITY_", SUBSTITUTE(UPPER(B312), " ", ""))</f>
        <v/>
      </c>
      <c r="B312" s="29" t="inlineStr">
        <is>
          <t>Mega Sol</t>
        </is>
      </c>
      <c r="C312" s="29" t="inlineStr">
        <is>
          <t>メガソーラー</t>
        </is>
      </c>
      <c r="D312" s="29" t="inlineStr">
        <is>
          <t>Méga-Soleil</t>
        </is>
      </c>
      <c r="E312" s="29" t="inlineStr">
        <is>
          <t>Mega-Solarladung</t>
        </is>
      </c>
      <c r="F312" s="29" t="inlineStr">
        <is>
          <t>Megasolar</t>
        </is>
      </c>
      <c r="G312" s="29" t="inlineStr">
        <is>
          <t>Megasolar</t>
        </is>
      </c>
      <c r="H312" s="29" t="inlineStr">
        <is>
          <t>메가솔라</t>
        </is>
      </c>
      <c r="I312" s="29">
        <f>IFERROR(__xludf.DUMMYFUNCTION("GOOGLETRANSLATE(J312,""zh_HANS"",""zh_HANT"")"),"超級日光")</f>
        <v/>
      </c>
      <c r="J312" s="29" t="inlineStr">
        <is>
          <t>超级日光</t>
        </is>
      </c>
      <c r="K312" s="29">
        <f>F312</f>
        <v/>
      </c>
    </row>
    <row r="313">
      <c r="A313" s="29">
        <f>CONCATENATE("NAME_ABILITY_", SUBSTITUTE(UPPER(B313), " ", ""))</f>
        <v/>
      </c>
      <c r="B313" s="29" t="inlineStr">
        <is>
          <t>Fire Mane</t>
        </is>
      </c>
      <c r="C313" s="29" t="inlineStr">
        <is>
          <t>ほのおのたてがみ</t>
        </is>
      </c>
      <c r="D313" s="29" t="inlineStr">
        <is>
          <t>Crinière de Feu</t>
        </is>
      </c>
      <c r="E313" s="29" t="inlineStr">
        <is>
          <t>Flammenmähne</t>
        </is>
      </c>
      <c r="F313" s="29" t="inlineStr">
        <is>
          <t>Crin de Fuego</t>
        </is>
      </c>
      <c r="G313" s="29" t="inlineStr">
        <is>
          <t>Pirocriniera</t>
        </is>
      </c>
      <c r="H313" s="29" t="inlineStr">
        <is>
          <t>불꽃의갈기</t>
        </is>
      </c>
      <c r="I313" s="29" t="inlineStr">
        <is>
          <t>火焰鬃毛</t>
        </is>
      </c>
      <c r="J313" s="29">
        <f>I313</f>
        <v/>
      </c>
      <c r="K313" s="29" t="inlineStr">
        <is>
          <t>Melena de Fuego</t>
        </is>
      </c>
    </row>
    <row r="314">
      <c r="B314" s="29" t="n"/>
      <c r="C314" s="29" t="n"/>
      <c r="D314" s="29" t="n"/>
      <c r="E314" s="29" t="n"/>
      <c r="F314" s="29" t="n"/>
      <c r="G314" s="29" t="n"/>
      <c r="H314" s="29" t="n"/>
      <c r="I314" s="29" t="n"/>
      <c r="J314" s="29" t="n"/>
    </row>
    <row r="315">
      <c r="A315" s="29">
        <f>CONCATENATE("NAME_ABILITY_", SUBSTITUTE(UPPER(B315), " ", ""))</f>
        <v/>
      </c>
      <c r="B315" s="29" t="inlineStr">
        <is>
          <t>Spicy Spray</t>
        </is>
      </c>
      <c r="C315" s="29" t="inlineStr">
        <is>
          <t>とびだすハバネロ</t>
        </is>
      </c>
      <c r="D315" s="29" t="inlineStr">
        <is>
          <t>Habanéruption</t>
        </is>
      </c>
      <c r="E315" s="29" t="inlineStr">
        <is>
          <t>Chilispritzer</t>
        </is>
      </c>
      <c r="F315" s="29" t="inlineStr">
        <is>
          <t>Salpicante</t>
        </is>
      </c>
      <c r="G315" s="29" t="inlineStr">
        <is>
          <t>Spargipiccante</t>
        </is>
      </c>
      <c r="H315" s="29" t="inlineStr">
        <is>
          <t>하바네로분출</t>
        </is>
      </c>
      <c r="I315" s="29">
        <f>IFERROR(__xludf.DUMMYFUNCTION("GOOGLETRANSLATE(J315,""zh_HANS"",""zh_HANT"")"),"辣椒噴發")</f>
        <v/>
      </c>
      <c r="J315" s="29" t="inlineStr">
        <is>
          <t>辣椒喷发</t>
        </is>
      </c>
      <c r="K315" s="29">
        <f>F315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0" summaryRight="0"/>
    <pageSetUpPr/>
  </sheetPr>
  <dimension ref="A1:Z26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2.63" defaultRowHeight="15.75" customHeight="1"/>
  <cols>
    <col width="26.25" customWidth="1" style="31" min="1" max="1"/>
    <col width="9.75" customWidth="1" style="31" min="8" max="8"/>
    <col width="8.880000000000001" customWidth="1" style="31" min="9" max="9"/>
    <col width="8.75" customWidth="1" style="31" min="10" max="10"/>
  </cols>
  <sheetData>
    <row r="1">
      <c r="A1" s="19">
        <f>Pokemon!A1</f>
        <v/>
      </c>
      <c r="B1" s="20">
        <f>Pokemon!B1</f>
        <v/>
      </c>
      <c r="C1" s="20">
        <f>Pokemon!C1</f>
        <v/>
      </c>
      <c r="D1" s="20">
        <f>Pokemon!D1</f>
        <v/>
      </c>
      <c r="E1" s="20">
        <f>Pokemon!E1</f>
        <v/>
      </c>
      <c r="F1" s="20">
        <f>Pokemon!F1</f>
        <v/>
      </c>
      <c r="G1" s="20">
        <f>Pokemon!G1</f>
        <v/>
      </c>
      <c r="H1" s="20">
        <f>Pokemon!H1</f>
        <v/>
      </c>
      <c r="I1" s="20">
        <f>Pokemon!I1</f>
        <v/>
      </c>
      <c r="J1" s="20">
        <f>Pokemon!J1</f>
        <v/>
      </c>
      <c r="K1" s="20">
        <f>Pokemon!K1</f>
        <v/>
      </c>
      <c r="L1" s="21" t="n"/>
      <c r="M1" s="21" t="n"/>
      <c r="N1" s="21" t="n"/>
      <c r="O1" s="21" t="n"/>
      <c r="P1" s="21" t="n"/>
      <c r="Q1" s="21" t="n"/>
      <c r="R1" s="21" t="n"/>
      <c r="S1" s="21" t="n"/>
      <c r="T1" s="21" t="n"/>
      <c r="U1" s="21" t="n"/>
      <c r="V1" s="21" t="n"/>
      <c r="W1" s="21" t="n"/>
      <c r="X1" s="21" t="n"/>
      <c r="Y1" s="21" t="n"/>
      <c r="Z1" s="21" t="n"/>
    </row>
    <row r="2">
      <c r="A2" s="22">
        <f>CONCATENATE("NAME_NATURE_", UPPER(B2))</f>
        <v/>
      </c>
      <c r="B2" s="21" t="inlineStr">
        <is>
          <t>Adamant</t>
        </is>
      </c>
      <c r="C2" s="23" t="inlineStr">
        <is>
          <t>いじっぱり</t>
        </is>
      </c>
      <c r="D2" s="21" t="inlineStr">
        <is>
          <t>Rigide</t>
        </is>
      </c>
      <c r="E2" s="21" t="inlineStr">
        <is>
          <t>Hart</t>
        </is>
      </c>
      <c r="F2" s="21" t="inlineStr">
        <is>
          <t>Firme</t>
        </is>
      </c>
      <c r="G2" s="21" t="inlineStr">
        <is>
          <t>Decisa</t>
        </is>
      </c>
      <c r="H2" s="21" t="inlineStr">
        <is>
          <t>고집</t>
        </is>
      </c>
      <c r="I2" s="21" t="inlineStr">
        <is>
          <t>固執</t>
        </is>
      </c>
      <c r="J2" s="21">
        <f>IFERROR(__xludf.DUMMYFUNCTION("GOOGLETRANSLATE(I2,""zh_HANT"",""zh_HANS"")"),"固执")</f>
        <v/>
      </c>
      <c r="K2" s="21">
        <f>F2</f>
        <v/>
      </c>
      <c r="L2" s="21" t="n"/>
      <c r="M2" s="21" t="n"/>
      <c r="N2" s="21" t="n"/>
      <c r="O2" s="21" t="n"/>
      <c r="P2" s="21" t="n"/>
      <c r="Q2" s="21" t="n"/>
      <c r="R2" s="21" t="n"/>
      <c r="S2" s="21" t="n"/>
      <c r="T2" s="21" t="n"/>
      <c r="U2" s="21" t="n"/>
      <c r="V2" s="21" t="n"/>
      <c r="W2" s="21" t="n"/>
      <c r="X2" s="21" t="n"/>
      <c r="Y2" s="21" t="n"/>
      <c r="Z2" s="21" t="n"/>
    </row>
    <row r="3">
      <c r="A3" s="22">
        <f>CONCATENATE("NAME_NATURE_", UPPER(B3))</f>
        <v/>
      </c>
      <c r="B3" s="21" t="inlineStr">
        <is>
          <t>Bashful</t>
        </is>
      </c>
      <c r="C3" s="23" t="inlineStr">
        <is>
          <t>てれや</t>
        </is>
      </c>
      <c r="D3" s="21" t="inlineStr">
        <is>
          <t>Pudique</t>
        </is>
      </c>
      <c r="E3" s="21" t="inlineStr">
        <is>
          <t>Zaghaft</t>
        </is>
      </c>
      <c r="F3" s="21" t="inlineStr">
        <is>
          <t>Tímida</t>
        </is>
      </c>
      <c r="G3" s="21" t="inlineStr">
        <is>
          <t>Ritrosa</t>
        </is>
      </c>
      <c r="H3" s="21" t="inlineStr">
        <is>
          <t>수줍음</t>
        </is>
      </c>
      <c r="I3" s="21" t="inlineStr">
        <is>
          <t>害羞</t>
        </is>
      </c>
      <c r="J3" s="21">
        <f>I3</f>
        <v/>
      </c>
      <c r="K3" s="21">
        <f>F3</f>
        <v/>
      </c>
      <c r="L3" s="21" t="n"/>
      <c r="M3" s="21" t="n"/>
      <c r="N3" s="21" t="n"/>
      <c r="O3" s="21" t="n"/>
      <c r="P3" s="21" t="n"/>
      <c r="Q3" s="21" t="n"/>
      <c r="R3" s="21" t="n"/>
      <c r="S3" s="21" t="n"/>
      <c r="T3" s="21" t="n"/>
      <c r="U3" s="21" t="n"/>
      <c r="V3" s="21" t="n"/>
      <c r="W3" s="21" t="n"/>
      <c r="X3" s="21" t="n"/>
      <c r="Y3" s="21" t="n"/>
      <c r="Z3" s="21" t="n"/>
    </row>
    <row r="4">
      <c r="A4" s="22">
        <f>CONCATENATE("NAME_NATURE_", UPPER(B4))</f>
        <v/>
      </c>
      <c r="B4" s="21" t="inlineStr">
        <is>
          <t>Bold</t>
        </is>
      </c>
      <c r="C4" s="23" t="inlineStr">
        <is>
          <t>ずぶとい</t>
        </is>
      </c>
      <c r="D4" s="21" t="inlineStr">
        <is>
          <t>Assuré</t>
        </is>
      </c>
      <c r="E4" s="21" t="inlineStr">
        <is>
          <t>Kühn</t>
        </is>
      </c>
      <c r="F4" s="21" t="inlineStr">
        <is>
          <t>Osada</t>
        </is>
      </c>
      <c r="G4" s="21" t="inlineStr">
        <is>
          <t>Sicura</t>
        </is>
      </c>
      <c r="H4" s="21" t="inlineStr">
        <is>
          <t>대담</t>
        </is>
      </c>
      <c r="I4" s="21" t="inlineStr">
        <is>
          <t>大膽</t>
        </is>
      </c>
      <c r="J4" s="21">
        <f>IFERROR(__xludf.DUMMYFUNCTION("GOOGLETRANSLATE(I4,""zh_HANT"",""zh_HANS"")"),"大胆")</f>
        <v/>
      </c>
      <c r="K4" s="21">
        <f>F4</f>
        <v/>
      </c>
      <c r="L4" s="21" t="n"/>
      <c r="M4" s="21" t="n"/>
      <c r="N4" s="21" t="n"/>
      <c r="O4" s="21" t="n"/>
      <c r="P4" s="21" t="n"/>
      <c r="Q4" s="21" t="n"/>
      <c r="R4" s="21" t="n"/>
      <c r="S4" s="21" t="n"/>
      <c r="T4" s="21" t="n"/>
      <c r="U4" s="21" t="n"/>
      <c r="V4" s="21" t="n"/>
      <c r="W4" s="21" t="n"/>
      <c r="X4" s="21" t="n"/>
      <c r="Y4" s="21" t="n"/>
      <c r="Z4" s="21" t="n"/>
    </row>
    <row r="5">
      <c r="A5" s="22">
        <f>CONCATENATE("NAME_NATURE_", UPPER(B5))</f>
        <v/>
      </c>
      <c r="B5" s="21" t="inlineStr">
        <is>
          <t>Brave</t>
        </is>
      </c>
      <c r="C5" s="23" t="inlineStr">
        <is>
          <t>ゆうかん</t>
        </is>
      </c>
      <c r="D5" s="21">
        <f>B5</f>
        <v/>
      </c>
      <c r="E5" s="21" t="inlineStr">
        <is>
          <t>Mutig</t>
        </is>
      </c>
      <c r="F5" s="21" t="inlineStr">
        <is>
          <t>Audaz</t>
        </is>
      </c>
      <c r="G5" s="21" t="inlineStr">
        <is>
          <t>Audace</t>
        </is>
      </c>
      <c r="H5" s="21" t="inlineStr">
        <is>
          <t>용감</t>
        </is>
      </c>
      <c r="I5" s="21" t="inlineStr">
        <is>
          <t>勇敢</t>
        </is>
      </c>
      <c r="J5" s="21">
        <f>I5</f>
        <v/>
      </c>
      <c r="K5" s="21">
        <f>F5</f>
        <v/>
      </c>
      <c r="L5" s="21" t="n"/>
      <c r="M5" s="21" t="n"/>
      <c r="N5" s="21" t="n"/>
      <c r="O5" s="21" t="n"/>
      <c r="P5" s="21" t="n"/>
      <c r="Q5" s="21" t="n"/>
      <c r="R5" s="21" t="n"/>
      <c r="S5" s="21" t="n"/>
      <c r="T5" s="21" t="n"/>
      <c r="U5" s="21" t="n"/>
      <c r="V5" s="21" t="n"/>
      <c r="W5" s="21" t="n"/>
      <c r="X5" s="21" t="n"/>
      <c r="Y5" s="21" t="n"/>
      <c r="Z5" s="21" t="n"/>
    </row>
    <row r="6">
      <c r="A6" s="22">
        <f>CONCATENATE("NAME_NATURE_", UPPER(B6))</f>
        <v/>
      </c>
      <c r="B6" s="21" t="inlineStr">
        <is>
          <t>Calm</t>
        </is>
      </c>
      <c r="C6" s="23" t="inlineStr">
        <is>
          <t>おだやか</t>
        </is>
      </c>
      <c r="D6" s="21" t="inlineStr">
        <is>
          <t>Calme</t>
        </is>
      </c>
      <c r="E6" s="29" t="inlineStr">
        <is>
          <t>Still</t>
        </is>
      </c>
      <c r="F6" s="21" t="inlineStr">
        <is>
          <t>Serena</t>
        </is>
      </c>
      <c r="G6" s="21" t="inlineStr">
        <is>
          <t>Calma</t>
        </is>
      </c>
      <c r="H6" s="21" t="inlineStr">
        <is>
          <t>차분</t>
        </is>
      </c>
      <c r="I6" s="21" t="inlineStr">
        <is>
          <t>溫和</t>
        </is>
      </c>
      <c r="J6" s="21">
        <f>IFERROR(__xludf.DUMMYFUNCTION("GOOGLETRANSLATE(I6,""zh_HANT"",""zh_HANS"")"),"温和")</f>
        <v/>
      </c>
      <c r="K6" s="21">
        <f>F6</f>
        <v/>
      </c>
      <c r="L6" s="21" t="n"/>
      <c r="M6" s="21" t="n"/>
      <c r="N6" s="21" t="n"/>
      <c r="O6" s="21" t="n"/>
      <c r="P6" s="21" t="n"/>
      <c r="Q6" s="21" t="n"/>
      <c r="R6" s="21" t="n"/>
      <c r="S6" s="21" t="n"/>
      <c r="T6" s="21" t="n"/>
      <c r="U6" s="21" t="n"/>
      <c r="V6" s="21" t="n"/>
      <c r="W6" s="21" t="n"/>
      <c r="X6" s="21" t="n"/>
      <c r="Y6" s="21" t="n"/>
      <c r="Z6" s="21" t="n"/>
    </row>
    <row r="7">
      <c r="A7" s="22">
        <f>CONCATENATE("NAME_NATURE_", UPPER(B7))</f>
        <v/>
      </c>
      <c r="B7" s="21" t="inlineStr">
        <is>
          <t>Careful</t>
        </is>
      </c>
      <c r="C7" s="23" t="inlineStr">
        <is>
          <t>しんちょう</t>
        </is>
      </c>
      <c r="D7" s="21" t="inlineStr">
        <is>
          <t>Prudent</t>
        </is>
      </c>
      <c r="E7" s="21" t="inlineStr">
        <is>
          <t>Sacht</t>
        </is>
      </c>
      <c r="F7" s="21" t="inlineStr">
        <is>
          <t>Cauta</t>
        </is>
      </c>
      <c r="G7" s="21" t="inlineStr">
        <is>
          <t>Cauta</t>
        </is>
      </c>
      <c r="H7" s="21" t="inlineStr">
        <is>
          <t>신중</t>
        </is>
      </c>
      <c r="I7" s="21" t="inlineStr">
        <is>
          <t>慎重</t>
        </is>
      </c>
      <c r="J7" s="21">
        <f>I7</f>
        <v/>
      </c>
      <c r="K7" s="21">
        <f>F7</f>
        <v/>
      </c>
      <c r="L7" s="21" t="n"/>
      <c r="M7" s="21" t="n"/>
      <c r="N7" s="21" t="n"/>
      <c r="O7" s="21" t="n"/>
      <c r="P7" s="21" t="n"/>
      <c r="Q7" s="21" t="n"/>
      <c r="R7" s="21" t="n"/>
      <c r="S7" s="21" t="n"/>
      <c r="T7" s="21" t="n"/>
      <c r="U7" s="21" t="n"/>
      <c r="V7" s="21" t="n"/>
      <c r="W7" s="21" t="n"/>
      <c r="X7" s="21" t="n"/>
      <c r="Y7" s="21" t="n"/>
      <c r="Z7" s="21" t="n"/>
    </row>
    <row r="8">
      <c r="A8" s="22">
        <f>CONCATENATE("NAME_NATURE_", UPPER(B8))</f>
        <v/>
      </c>
      <c r="B8" s="21" t="inlineStr">
        <is>
          <t>Docile</t>
        </is>
      </c>
      <c r="C8" s="23" t="inlineStr">
        <is>
          <t>すなお</t>
        </is>
      </c>
      <c r="D8" s="21">
        <f>B8</f>
        <v/>
      </c>
      <c r="E8" s="21" t="inlineStr">
        <is>
          <t>Sanft</t>
        </is>
      </c>
      <c r="F8" s="21" t="inlineStr">
        <is>
          <t>Dócil</t>
        </is>
      </c>
      <c r="G8" s="21" t="inlineStr">
        <is>
          <t>Docile</t>
        </is>
      </c>
      <c r="H8" s="21" t="inlineStr">
        <is>
          <t>온순</t>
        </is>
      </c>
      <c r="I8" s="21" t="inlineStr">
        <is>
          <t>坦率</t>
        </is>
      </c>
      <c r="J8" s="21">
        <f>I8</f>
        <v/>
      </c>
      <c r="K8" s="21">
        <f>F8</f>
        <v/>
      </c>
      <c r="L8" s="21" t="n"/>
      <c r="M8" s="21" t="n"/>
      <c r="N8" s="21" t="n"/>
      <c r="O8" s="21" t="n"/>
      <c r="P8" s="21" t="n"/>
      <c r="Q8" s="21" t="n"/>
      <c r="R8" s="21" t="n"/>
      <c r="S8" s="21" t="n"/>
      <c r="T8" s="21" t="n"/>
      <c r="U8" s="21" t="n"/>
      <c r="V8" s="21" t="n"/>
      <c r="W8" s="21" t="n"/>
      <c r="X8" s="21" t="n"/>
      <c r="Y8" s="21" t="n"/>
      <c r="Z8" s="21" t="n"/>
    </row>
    <row r="9">
      <c r="A9" s="22">
        <f>CONCATENATE("NAME_NATURE_", UPPER(B9))</f>
        <v/>
      </c>
      <c r="B9" s="21" t="inlineStr">
        <is>
          <t>Gentle</t>
        </is>
      </c>
      <c r="C9" s="23" t="inlineStr">
        <is>
          <t>おとなしい</t>
        </is>
      </c>
      <c r="D9" s="21" t="inlineStr">
        <is>
          <t>Gentil</t>
        </is>
      </c>
      <c r="E9" s="21" t="inlineStr">
        <is>
          <t>Zart</t>
        </is>
      </c>
      <c r="F9" s="21" t="inlineStr">
        <is>
          <t>Amable</t>
        </is>
      </c>
      <c r="G9" s="21" t="inlineStr">
        <is>
          <t>Gentile</t>
        </is>
      </c>
      <c r="H9" s="21" t="inlineStr">
        <is>
          <t>얌전</t>
        </is>
      </c>
      <c r="I9" s="21" t="inlineStr">
        <is>
          <t>溫順</t>
        </is>
      </c>
      <c r="J9" s="21">
        <f>IFERROR(__xludf.DUMMYFUNCTION("GOOGLETRANSLATE(I9,""zh_HANT"",""zh_HANS"")"),"温顺")</f>
        <v/>
      </c>
      <c r="K9" s="21">
        <f>F9</f>
        <v/>
      </c>
      <c r="L9" s="21" t="n"/>
      <c r="M9" s="21" t="n"/>
      <c r="N9" s="21" t="n"/>
      <c r="O9" s="21" t="n"/>
      <c r="P9" s="21" t="n"/>
      <c r="Q9" s="21" t="n"/>
      <c r="R9" s="21" t="n"/>
      <c r="S9" s="21" t="n"/>
      <c r="T9" s="21" t="n"/>
      <c r="U9" s="21" t="n"/>
      <c r="V9" s="21" t="n"/>
      <c r="W9" s="21" t="n"/>
      <c r="X9" s="21" t="n"/>
      <c r="Y9" s="21" t="n"/>
      <c r="Z9" s="21" t="n"/>
    </row>
    <row r="10">
      <c r="A10" s="22">
        <f>CONCATENATE("NAME_NATURE_", UPPER(B10))</f>
        <v/>
      </c>
      <c r="B10" s="21" t="inlineStr">
        <is>
          <t>Hardy</t>
        </is>
      </c>
      <c r="C10" s="23" t="inlineStr">
        <is>
          <t>がんばりや</t>
        </is>
      </c>
      <c r="D10" s="21" t="inlineStr">
        <is>
          <t>Hardi</t>
        </is>
      </c>
      <c r="E10" s="21" t="inlineStr">
        <is>
          <t>Robust</t>
        </is>
      </c>
      <c r="F10" s="21" t="inlineStr">
        <is>
          <t>Fuerte</t>
        </is>
      </c>
      <c r="G10" s="21" t="inlineStr">
        <is>
          <t>Ardita</t>
        </is>
      </c>
      <c r="H10" s="21" t="inlineStr">
        <is>
          <t>노력</t>
        </is>
      </c>
      <c r="I10" s="21" t="inlineStr">
        <is>
          <t>勤奮</t>
        </is>
      </c>
      <c r="J10" s="21">
        <f>IFERROR(__xludf.DUMMYFUNCTION("GOOGLETRANSLATE(I10,""zh_HANT"",""zh_HANS"")"),"勤奋")</f>
        <v/>
      </c>
      <c r="K10" s="21">
        <f>F10</f>
        <v/>
      </c>
      <c r="L10" s="21" t="n"/>
      <c r="M10" s="21" t="n"/>
      <c r="N10" s="21" t="n"/>
      <c r="O10" s="21" t="n"/>
      <c r="P10" s="21" t="n"/>
      <c r="Q10" s="21" t="n"/>
      <c r="R10" s="21" t="n"/>
      <c r="S10" s="21" t="n"/>
      <c r="T10" s="21" t="n"/>
      <c r="U10" s="21" t="n"/>
      <c r="V10" s="21" t="n"/>
      <c r="W10" s="21" t="n"/>
      <c r="X10" s="21" t="n"/>
      <c r="Y10" s="21" t="n"/>
      <c r="Z10" s="21" t="n"/>
    </row>
    <row r="11">
      <c r="A11" s="22">
        <f>CONCATENATE("NAME_NATURE_", UPPER(B11))</f>
        <v/>
      </c>
      <c r="B11" s="21" t="inlineStr">
        <is>
          <t>Hasty</t>
        </is>
      </c>
      <c r="C11" s="23" t="inlineStr">
        <is>
          <t>せっかち</t>
        </is>
      </c>
      <c r="D11" s="21" t="inlineStr">
        <is>
          <t>Pressé</t>
        </is>
      </c>
      <c r="E11" s="21" t="inlineStr">
        <is>
          <t>Hastig</t>
        </is>
      </c>
      <c r="F11" s="21" t="inlineStr">
        <is>
          <t>Activa</t>
        </is>
      </c>
      <c r="G11" s="21" t="inlineStr">
        <is>
          <t>Lesta</t>
        </is>
      </c>
      <c r="H11" s="21" t="inlineStr">
        <is>
          <t>성급</t>
        </is>
      </c>
      <c r="I11" s="21" t="inlineStr">
        <is>
          <t>急躁</t>
        </is>
      </c>
      <c r="J11" s="21">
        <f>I11</f>
        <v/>
      </c>
      <c r="K11" s="21">
        <f>F11</f>
        <v/>
      </c>
      <c r="L11" s="21" t="n"/>
      <c r="M11" s="21" t="n"/>
      <c r="N11" s="21" t="n"/>
      <c r="O11" s="21" t="n"/>
      <c r="P11" s="21" t="n"/>
      <c r="Q11" s="21" t="n"/>
      <c r="R11" s="21" t="n"/>
      <c r="S11" s="21" t="n"/>
      <c r="T11" s="21" t="n"/>
      <c r="U11" s="21" t="n"/>
      <c r="V11" s="21" t="n"/>
      <c r="W11" s="21" t="n"/>
      <c r="X11" s="21" t="n"/>
      <c r="Y11" s="21" t="n"/>
      <c r="Z11" s="21" t="n"/>
    </row>
    <row r="12">
      <c r="A12" s="22">
        <f>CONCATENATE("NAME_NATURE_", UPPER(B12))</f>
        <v/>
      </c>
      <c r="B12" s="21" t="inlineStr">
        <is>
          <t>Impish</t>
        </is>
      </c>
      <c r="C12" s="23" t="inlineStr">
        <is>
          <t>わんぱく</t>
        </is>
      </c>
      <c r="D12" s="21" t="inlineStr">
        <is>
          <t>Malin</t>
        </is>
      </c>
      <c r="E12" s="21" t="inlineStr">
        <is>
          <t>Pfiffig</t>
        </is>
      </c>
      <c r="F12" s="21" t="inlineStr">
        <is>
          <t>Agitada</t>
        </is>
      </c>
      <c r="G12" s="21" t="inlineStr">
        <is>
          <t>Scaltra</t>
        </is>
      </c>
      <c r="H12" s="21" t="inlineStr">
        <is>
          <t>장난꾸러기</t>
        </is>
      </c>
      <c r="I12" s="21" t="inlineStr">
        <is>
          <t>淘氣</t>
        </is>
      </c>
      <c r="J12" s="21">
        <f>IFERROR(__xludf.DUMMYFUNCTION("GOOGLETRANSLATE(I12,""zh_HANT"",""zh_HANS"")"),"淘气")</f>
        <v/>
      </c>
      <c r="K12" s="21">
        <f>F12</f>
        <v/>
      </c>
      <c r="L12" s="21" t="n"/>
      <c r="M12" s="21" t="n"/>
      <c r="N12" s="21" t="n"/>
      <c r="O12" s="21" t="n"/>
      <c r="P12" s="21" t="n"/>
      <c r="Q12" s="21" t="n"/>
      <c r="R12" s="21" t="n"/>
      <c r="S12" s="21" t="n"/>
      <c r="T12" s="21" t="n"/>
      <c r="U12" s="21" t="n"/>
      <c r="V12" s="21" t="n"/>
      <c r="W12" s="21" t="n"/>
      <c r="X12" s="21" t="n"/>
      <c r="Y12" s="21" t="n"/>
      <c r="Z12" s="21" t="n"/>
    </row>
    <row r="13">
      <c r="A13" s="22">
        <f>CONCATENATE("NAME_NATURE_", UPPER(B13))</f>
        <v/>
      </c>
      <c r="B13" s="21" t="inlineStr">
        <is>
          <t>Jolly</t>
        </is>
      </c>
      <c r="C13" s="23" t="inlineStr">
        <is>
          <t>ようき</t>
        </is>
      </c>
      <c r="D13" s="21" t="inlineStr">
        <is>
          <t>Jovial</t>
        </is>
      </c>
      <c r="E13" s="21" t="inlineStr">
        <is>
          <t>Froh</t>
        </is>
      </c>
      <c r="F13" s="21" t="inlineStr">
        <is>
          <t>Alegre</t>
        </is>
      </c>
      <c r="G13" s="21" t="inlineStr">
        <is>
          <t>Allegra</t>
        </is>
      </c>
      <c r="H13" s="21" t="inlineStr">
        <is>
          <t>명랑</t>
        </is>
      </c>
      <c r="I13" s="21" t="inlineStr">
        <is>
          <t>爽朗</t>
        </is>
      </c>
      <c r="J13" s="21">
        <f>I13</f>
        <v/>
      </c>
      <c r="K13" s="21">
        <f>F13</f>
        <v/>
      </c>
      <c r="L13" s="21" t="n"/>
      <c r="M13" s="21" t="n"/>
      <c r="N13" s="21" t="n"/>
      <c r="O13" s="21" t="n"/>
      <c r="P13" s="21" t="n"/>
      <c r="Q13" s="21" t="n"/>
      <c r="R13" s="21" t="n"/>
      <c r="S13" s="21" t="n"/>
      <c r="T13" s="21" t="n"/>
      <c r="U13" s="21" t="n"/>
      <c r="V13" s="21" t="n"/>
      <c r="W13" s="21" t="n"/>
      <c r="X13" s="21" t="n"/>
      <c r="Y13" s="21" t="n"/>
      <c r="Z13" s="21" t="n"/>
    </row>
    <row r="14">
      <c r="A14" s="22">
        <f>CONCATENATE("NAME_NATURE_", UPPER(B14))</f>
        <v/>
      </c>
      <c r="B14" s="21" t="inlineStr">
        <is>
          <t>Lax</t>
        </is>
      </c>
      <c r="C14" s="23" t="inlineStr">
        <is>
          <t>のうてんき</t>
        </is>
      </c>
      <c r="D14" s="21" t="inlineStr">
        <is>
          <t>Lâche</t>
        </is>
      </c>
      <c r="E14" s="21" t="inlineStr">
        <is>
          <t>Lasch</t>
        </is>
      </c>
      <c r="F14" s="21" t="inlineStr">
        <is>
          <t>Floja</t>
        </is>
      </c>
      <c r="G14" s="21" t="inlineStr">
        <is>
          <t>Fiacca</t>
        </is>
      </c>
      <c r="H14" s="21" t="inlineStr">
        <is>
          <t>촐랑</t>
        </is>
      </c>
      <c r="I14" s="21" t="inlineStr">
        <is>
          <t>樂天</t>
        </is>
      </c>
      <c r="J14" s="21">
        <f>IFERROR(__xludf.DUMMYFUNCTION("GOOGLETRANSLATE(I14,""zh_HANT"",""zh_HANS"")"),"乐天")</f>
        <v/>
      </c>
      <c r="K14" s="21">
        <f>F14</f>
        <v/>
      </c>
      <c r="L14" s="21" t="n"/>
      <c r="M14" s="21" t="n"/>
      <c r="N14" s="21" t="n"/>
      <c r="O14" s="21" t="n"/>
      <c r="P14" s="21" t="n"/>
      <c r="Q14" s="21" t="n"/>
      <c r="R14" s="21" t="n"/>
      <c r="S14" s="21" t="n"/>
      <c r="T14" s="21" t="n"/>
      <c r="U14" s="21" t="n"/>
      <c r="V14" s="21" t="n"/>
      <c r="W14" s="21" t="n"/>
      <c r="X14" s="21" t="n"/>
      <c r="Y14" s="21" t="n"/>
      <c r="Z14" s="21" t="n"/>
    </row>
    <row r="15">
      <c r="A15" s="22">
        <f>CONCATENATE("NAME_NATURE_", UPPER(B15))</f>
        <v/>
      </c>
      <c r="B15" s="21" t="inlineStr">
        <is>
          <t>Lonely</t>
        </is>
      </c>
      <c r="C15" s="23" t="inlineStr">
        <is>
          <t>さみしがり</t>
        </is>
      </c>
      <c r="D15" s="21" t="inlineStr">
        <is>
          <t>Solo</t>
        </is>
      </c>
      <c r="E15" s="21">
        <f>D15</f>
        <v/>
      </c>
      <c r="F15" s="21" t="inlineStr">
        <is>
          <t>Huraña</t>
        </is>
      </c>
      <c r="G15" s="21" t="inlineStr">
        <is>
          <t>Schiva</t>
        </is>
      </c>
      <c r="H15" s="21" t="inlineStr">
        <is>
          <t>외로움</t>
        </is>
      </c>
      <c r="I15" s="21" t="inlineStr">
        <is>
          <t>怕寂寞</t>
        </is>
      </c>
      <c r="J15" s="21">
        <f>I15</f>
        <v/>
      </c>
      <c r="K15" s="21">
        <f>F15</f>
        <v/>
      </c>
      <c r="L15" s="21" t="n"/>
      <c r="M15" s="21" t="n"/>
      <c r="N15" s="21" t="n"/>
      <c r="O15" s="21" t="n"/>
      <c r="P15" s="21" t="n"/>
      <c r="Q15" s="21" t="n"/>
      <c r="R15" s="21" t="n"/>
      <c r="S15" s="21" t="n"/>
      <c r="T15" s="21" t="n"/>
      <c r="U15" s="21" t="n"/>
      <c r="V15" s="21" t="n"/>
      <c r="W15" s="21" t="n"/>
      <c r="X15" s="21" t="n"/>
      <c r="Y15" s="21" t="n"/>
      <c r="Z15" s="21" t="n"/>
    </row>
    <row r="16">
      <c r="A16" s="22">
        <f>CONCATENATE("NAME_NATURE_", UPPER(B16))</f>
        <v/>
      </c>
      <c r="B16" s="21" t="inlineStr">
        <is>
          <t>Mild</t>
        </is>
      </c>
      <c r="C16" s="23" t="inlineStr">
        <is>
          <t>おっとり</t>
        </is>
      </c>
      <c r="D16" s="21" t="inlineStr">
        <is>
          <t>Doux</t>
        </is>
      </c>
      <c r="E16" s="21">
        <f>B16</f>
        <v/>
      </c>
      <c r="F16" s="21" t="inlineStr">
        <is>
          <t>Afable</t>
        </is>
      </c>
      <c r="G16" s="21" t="inlineStr">
        <is>
          <t>Mite</t>
        </is>
      </c>
      <c r="H16" s="21" t="inlineStr">
        <is>
          <t>의젓</t>
        </is>
      </c>
      <c r="I16" s="21" t="inlineStr">
        <is>
          <t>慢吞吞</t>
        </is>
      </c>
      <c r="J16" s="21">
        <f>I16</f>
        <v/>
      </c>
      <c r="K16" s="21">
        <f>F16</f>
        <v/>
      </c>
      <c r="L16" s="21" t="n"/>
      <c r="M16" s="21" t="n"/>
      <c r="N16" s="21" t="n"/>
      <c r="O16" s="21" t="n"/>
      <c r="P16" s="21" t="n"/>
      <c r="Q16" s="21" t="n"/>
      <c r="R16" s="21" t="n"/>
      <c r="S16" s="21" t="n"/>
      <c r="T16" s="21" t="n"/>
      <c r="U16" s="21" t="n"/>
      <c r="V16" s="21" t="n"/>
      <c r="W16" s="21" t="n"/>
      <c r="X16" s="21" t="n"/>
      <c r="Y16" s="21" t="n"/>
      <c r="Z16" s="21" t="n"/>
    </row>
    <row r="17">
      <c r="A17" s="22">
        <f>CONCATENATE("NAME_NATURE_", UPPER(B17))</f>
        <v/>
      </c>
      <c r="B17" s="21" t="inlineStr">
        <is>
          <t>Modest</t>
        </is>
      </c>
      <c r="C17" s="23" t="inlineStr">
        <is>
          <t>ひかえめ</t>
        </is>
      </c>
      <c r="D17" s="21" t="inlineStr">
        <is>
          <t>Modeste</t>
        </is>
      </c>
      <c r="E17" s="21" t="inlineStr">
        <is>
          <t>Mäßig</t>
        </is>
      </c>
      <c r="F17" s="21" t="inlineStr">
        <is>
          <t>Modesta</t>
        </is>
      </c>
      <c r="G17" s="21" t="inlineStr">
        <is>
          <t>Modesta</t>
        </is>
      </c>
      <c r="H17" s="21" t="inlineStr">
        <is>
          <t>조심</t>
        </is>
      </c>
      <c r="I17" s="21" t="inlineStr">
        <is>
          <t>內斂</t>
        </is>
      </c>
      <c r="J17" s="21">
        <f>IFERROR(__xludf.DUMMYFUNCTION("GOOGLETRANSLATE(I17,""zh_HANT"",""zh_HANS"")"),"内敛")</f>
        <v/>
      </c>
      <c r="K17" s="21">
        <f>F17</f>
        <v/>
      </c>
      <c r="L17" s="21" t="n"/>
      <c r="M17" s="21" t="n"/>
      <c r="N17" s="21" t="n"/>
      <c r="O17" s="21" t="n"/>
      <c r="P17" s="21" t="n"/>
      <c r="Q17" s="21" t="n"/>
      <c r="R17" s="21" t="n"/>
      <c r="S17" s="21" t="n"/>
      <c r="T17" s="21" t="n"/>
      <c r="U17" s="21" t="n"/>
      <c r="V17" s="21" t="n"/>
      <c r="W17" s="21" t="n"/>
      <c r="X17" s="21" t="n"/>
      <c r="Y17" s="21" t="n"/>
      <c r="Z17" s="21" t="n"/>
    </row>
    <row r="18">
      <c r="A18" s="22">
        <f>CONCATENATE("NAME_NATURE_", UPPER(B18))</f>
        <v/>
      </c>
      <c r="B18" s="21" t="inlineStr">
        <is>
          <t>Naive</t>
        </is>
      </c>
      <c r="C18" s="23" t="inlineStr">
        <is>
          <t>むじゃき</t>
        </is>
      </c>
      <c r="D18" s="21" t="inlineStr">
        <is>
          <t>Naïf</t>
        </is>
      </c>
      <c r="E18" s="21" t="inlineStr">
        <is>
          <t>Naiv</t>
        </is>
      </c>
      <c r="F18" s="21" t="inlineStr">
        <is>
          <t>Ingenua</t>
        </is>
      </c>
      <c r="G18" s="21" t="inlineStr">
        <is>
          <t>Ingenua</t>
        </is>
      </c>
      <c r="H18" s="21" t="inlineStr">
        <is>
          <t>천진난만</t>
        </is>
      </c>
      <c r="I18" s="21" t="inlineStr">
        <is>
          <t>天真</t>
        </is>
      </c>
      <c r="J18" s="21">
        <f>I18</f>
        <v/>
      </c>
      <c r="K18" s="21">
        <f>F18</f>
        <v/>
      </c>
      <c r="L18" s="21" t="n"/>
      <c r="M18" s="21" t="n"/>
      <c r="N18" s="21" t="n"/>
      <c r="O18" s="21" t="n"/>
      <c r="P18" s="21" t="n"/>
      <c r="Q18" s="21" t="n"/>
      <c r="R18" s="21" t="n"/>
      <c r="S18" s="21" t="n"/>
      <c r="T18" s="21" t="n"/>
      <c r="U18" s="21" t="n"/>
      <c r="V18" s="21" t="n"/>
      <c r="W18" s="21" t="n"/>
      <c r="X18" s="21" t="n"/>
      <c r="Y18" s="21" t="n"/>
      <c r="Z18" s="21" t="n"/>
    </row>
    <row r="19">
      <c r="A19" s="22">
        <f>CONCATENATE("NAME_NATURE_", UPPER(B19))</f>
        <v/>
      </c>
      <c r="B19" s="21" t="inlineStr">
        <is>
          <t>Naughty</t>
        </is>
      </c>
      <c r="C19" s="23" t="inlineStr">
        <is>
          <t>やんちゃ</t>
        </is>
      </c>
      <c r="D19" s="21" t="inlineStr">
        <is>
          <t>Mauvais</t>
        </is>
      </c>
      <c r="E19" s="21" t="inlineStr">
        <is>
          <t>Frech</t>
        </is>
      </c>
      <c r="F19" s="21" t="inlineStr">
        <is>
          <t>Pícara</t>
        </is>
      </c>
      <c r="G19" s="21" t="inlineStr">
        <is>
          <t>Birbona</t>
        </is>
      </c>
      <c r="H19" s="21" t="inlineStr">
        <is>
          <t>개구쟁이</t>
        </is>
      </c>
      <c r="I19" s="21" t="inlineStr">
        <is>
          <t>頑皮</t>
        </is>
      </c>
      <c r="J19" s="21">
        <f>IFERROR(__xludf.DUMMYFUNCTION("GOOGLETRANSLATE(I19,""zh_HANT"",""zh_HANS"")"),"顽皮")</f>
        <v/>
      </c>
      <c r="K19" s="21">
        <f>F19</f>
        <v/>
      </c>
      <c r="L19" s="21" t="n"/>
      <c r="M19" s="21" t="n"/>
      <c r="N19" s="21" t="n"/>
      <c r="O19" s="21" t="n"/>
      <c r="P19" s="21" t="n"/>
      <c r="Q19" s="21" t="n"/>
      <c r="R19" s="21" t="n"/>
      <c r="S19" s="21" t="n"/>
      <c r="T19" s="21" t="n"/>
      <c r="U19" s="21" t="n"/>
      <c r="V19" s="21" t="n"/>
      <c r="W19" s="21" t="n"/>
      <c r="X19" s="21" t="n"/>
      <c r="Y19" s="21" t="n"/>
      <c r="Z19" s="21" t="n"/>
    </row>
    <row r="20">
      <c r="A20" s="22">
        <f>CONCATENATE("NAME_NATURE_", UPPER(B20))</f>
        <v/>
      </c>
      <c r="B20" s="21" t="inlineStr">
        <is>
          <t>Quiet</t>
        </is>
      </c>
      <c r="C20" s="23" t="inlineStr">
        <is>
          <t>れいせい</t>
        </is>
      </c>
      <c r="D20" s="21" t="inlineStr">
        <is>
          <t>Discret</t>
        </is>
      </c>
      <c r="E20" s="21" t="inlineStr">
        <is>
          <t>Ruhig</t>
        </is>
      </c>
      <c r="F20" s="21" t="inlineStr">
        <is>
          <t>Mansa</t>
        </is>
      </c>
      <c r="G20" s="21" t="inlineStr">
        <is>
          <t>Quieta</t>
        </is>
      </c>
      <c r="H20" s="21" t="inlineStr">
        <is>
          <t>냉정</t>
        </is>
      </c>
      <c r="I20" s="21" t="inlineStr">
        <is>
          <t>冷靜</t>
        </is>
      </c>
      <c r="J20" s="21">
        <f>IFERROR(__xludf.DUMMYFUNCTION("GOOGLETRANSLATE(I20,""zh_HANT"",""zh_HANS"")"),"冷静")</f>
        <v/>
      </c>
      <c r="K20" s="21">
        <f>F20</f>
        <v/>
      </c>
      <c r="L20" s="21" t="n"/>
      <c r="M20" s="21" t="n"/>
      <c r="N20" s="21" t="n"/>
      <c r="O20" s="21" t="n"/>
      <c r="P20" s="21" t="n"/>
      <c r="Q20" s="21" t="n"/>
      <c r="R20" s="21" t="n"/>
      <c r="S20" s="21" t="n"/>
      <c r="T20" s="21" t="n"/>
      <c r="U20" s="21" t="n"/>
      <c r="V20" s="21" t="n"/>
      <c r="W20" s="21" t="n"/>
      <c r="X20" s="21" t="n"/>
      <c r="Y20" s="21" t="n"/>
      <c r="Z20" s="21" t="n"/>
    </row>
    <row r="21">
      <c r="A21" s="22">
        <f>CONCATENATE("NAME_NATURE_", UPPER(B21))</f>
        <v/>
      </c>
      <c r="B21" s="21" t="inlineStr">
        <is>
          <t>Quirky</t>
        </is>
      </c>
      <c r="C21" s="23" t="inlineStr">
        <is>
          <t>きまぐれ</t>
        </is>
      </c>
      <c r="D21" s="21" t="inlineStr">
        <is>
          <t>Bizarre</t>
        </is>
      </c>
      <c r="E21" s="21" t="inlineStr">
        <is>
          <t>Kauzig</t>
        </is>
      </c>
      <c r="F21" s="21" t="inlineStr">
        <is>
          <t>Rara</t>
        </is>
      </c>
      <c r="G21" s="21" t="inlineStr">
        <is>
          <t>Furba</t>
        </is>
      </c>
      <c r="H21" s="21" t="inlineStr">
        <is>
          <t>변덕</t>
        </is>
      </c>
      <c r="I21" s="21" t="inlineStr">
        <is>
          <t>浮躁</t>
        </is>
      </c>
      <c r="J21" s="21">
        <f>I21</f>
        <v/>
      </c>
      <c r="K21" s="21">
        <f>F21</f>
        <v/>
      </c>
      <c r="L21" s="21" t="n"/>
      <c r="M21" s="21" t="n"/>
      <c r="N21" s="21" t="n"/>
      <c r="O21" s="21" t="n"/>
      <c r="P21" s="21" t="n"/>
      <c r="Q21" s="21" t="n"/>
      <c r="R21" s="21" t="n"/>
      <c r="S21" s="21" t="n"/>
      <c r="T21" s="21" t="n"/>
      <c r="U21" s="21" t="n"/>
      <c r="V21" s="21" t="n"/>
      <c r="W21" s="21" t="n"/>
      <c r="X21" s="21" t="n"/>
      <c r="Y21" s="21" t="n"/>
      <c r="Z21" s="21" t="n"/>
    </row>
    <row r="22">
      <c r="A22" s="22">
        <f>CONCATENATE("NAME_NATURE_", UPPER(B22))</f>
        <v/>
      </c>
      <c r="B22" s="21" t="inlineStr">
        <is>
          <t>Rash</t>
        </is>
      </c>
      <c r="C22" s="23" t="inlineStr">
        <is>
          <t>うっかりや</t>
        </is>
      </c>
      <c r="D22" s="21" t="inlineStr">
        <is>
          <t>Foufou</t>
        </is>
      </c>
      <c r="E22" s="21" t="inlineStr">
        <is>
          <t>Hitzig</t>
        </is>
      </c>
      <c r="F22" s="21" t="inlineStr">
        <is>
          <t>Alocada</t>
        </is>
      </c>
      <c r="G22" s="21" t="inlineStr">
        <is>
          <t>Ardente</t>
        </is>
      </c>
      <c r="H22" s="21" t="inlineStr">
        <is>
          <t>덜렁</t>
        </is>
      </c>
      <c r="I22" s="21" t="inlineStr">
        <is>
          <t>馬虎</t>
        </is>
      </c>
      <c r="J22" s="21">
        <f>IFERROR(__xludf.DUMMYFUNCTION("GOOGLETRANSLATE(I22,""zh_HANT"",""zh_HANS"")"),"马虎")</f>
        <v/>
      </c>
      <c r="K22" s="21">
        <f>F22</f>
        <v/>
      </c>
      <c r="L22" s="21" t="n"/>
      <c r="M22" s="21" t="n"/>
      <c r="N22" s="21" t="n"/>
      <c r="O22" s="21" t="n"/>
      <c r="P22" s="21" t="n"/>
      <c r="Q22" s="21" t="n"/>
      <c r="R22" s="21" t="n"/>
      <c r="S22" s="21" t="n"/>
      <c r="T22" s="21" t="n"/>
      <c r="U22" s="21" t="n"/>
      <c r="V22" s="21" t="n"/>
      <c r="W22" s="21" t="n"/>
      <c r="X22" s="21" t="n"/>
      <c r="Y22" s="21" t="n"/>
      <c r="Z22" s="21" t="n"/>
    </row>
    <row r="23">
      <c r="A23" s="22">
        <f>CONCATENATE("NAME_NATURE_", UPPER(B23))</f>
        <v/>
      </c>
      <c r="B23" s="21" t="inlineStr">
        <is>
          <t>Relaxed</t>
        </is>
      </c>
      <c r="C23" s="23" t="inlineStr">
        <is>
          <t>のんき</t>
        </is>
      </c>
      <c r="D23" s="21" t="inlineStr">
        <is>
          <t>Relax</t>
        </is>
      </c>
      <c r="E23" s="21" t="inlineStr">
        <is>
          <t>Locker</t>
        </is>
      </c>
      <c r="F23" s="21" t="inlineStr">
        <is>
          <t>Plácida</t>
        </is>
      </c>
      <c r="G23" s="21" t="inlineStr">
        <is>
          <t>Placida</t>
        </is>
      </c>
      <c r="H23" s="21" t="inlineStr">
        <is>
          <t>무사태평</t>
        </is>
      </c>
      <c r="I23" s="21" t="inlineStr">
        <is>
          <t>悠閒</t>
        </is>
      </c>
      <c r="J23" s="21">
        <f>IFERROR(__xludf.DUMMYFUNCTION("GOOGLETRANSLATE(I23,""zh_HANT"",""zh_HANS"")"),"悠闲")</f>
        <v/>
      </c>
      <c r="K23" s="21">
        <f>F23</f>
        <v/>
      </c>
      <c r="L23" s="21" t="n"/>
      <c r="M23" s="21" t="n"/>
      <c r="N23" s="21" t="n"/>
      <c r="O23" s="21" t="n"/>
      <c r="P23" s="21" t="n"/>
      <c r="Q23" s="21" t="n"/>
      <c r="R23" s="21" t="n"/>
      <c r="S23" s="21" t="n"/>
      <c r="T23" s="21" t="n"/>
      <c r="U23" s="21" t="n"/>
      <c r="V23" s="21" t="n"/>
      <c r="W23" s="21" t="n"/>
      <c r="X23" s="21" t="n"/>
      <c r="Y23" s="21" t="n"/>
      <c r="Z23" s="21" t="n"/>
    </row>
    <row r="24">
      <c r="A24" s="22">
        <f>CONCATENATE("NAME_NATURE_", UPPER(B24))</f>
        <v/>
      </c>
      <c r="B24" s="21" t="inlineStr">
        <is>
          <t>Sassy</t>
        </is>
      </c>
      <c r="C24" s="23" t="inlineStr">
        <is>
          <t>なまいき</t>
        </is>
      </c>
      <c r="D24" s="21" t="inlineStr">
        <is>
          <t>Malpoli</t>
        </is>
      </c>
      <c r="E24" s="21" t="inlineStr">
        <is>
          <t>Forsch</t>
        </is>
      </c>
      <c r="F24" s="21" t="inlineStr">
        <is>
          <t>Grosera</t>
        </is>
      </c>
      <c r="G24" s="21" t="inlineStr">
        <is>
          <t>Vivace</t>
        </is>
      </c>
      <c r="H24" s="21" t="inlineStr">
        <is>
          <t>건방</t>
        </is>
      </c>
      <c r="I24" s="21" t="inlineStr">
        <is>
          <t>自大</t>
        </is>
      </c>
      <c r="J24" s="21">
        <f>I24</f>
        <v/>
      </c>
      <c r="K24" s="21">
        <f>F24</f>
        <v/>
      </c>
      <c r="L24" s="21" t="n"/>
      <c r="M24" s="21" t="n"/>
      <c r="N24" s="21" t="n"/>
      <c r="O24" s="21" t="n"/>
      <c r="P24" s="21" t="n"/>
      <c r="Q24" s="21" t="n"/>
      <c r="R24" s="21" t="n"/>
      <c r="S24" s="21" t="n"/>
      <c r="T24" s="21" t="n"/>
      <c r="U24" s="21" t="n"/>
      <c r="V24" s="21" t="n"/>
      <c r="W24" s="21" t="n"/>
      <c r="X24" s="21" t="n"/>
      <c r="Y24" s="21" t="n"/>
      <c r="Z24" s="21" t="n"/>
    </row>
    <row r="25">
      <c r="A25" s="22">
        <f>CONCATENATE("NAME_NATURE_", UPPER(B25))</f>
        <v/>
      </c>
      <c r="B25" s="21" t="inlineStr">
        <is>
          <t>Serious</t>
        </is>
      </c>
      <c r="C25" s="23" t="inlineStr">
        <is>
          <t>まじめ</t>
        </is>
      </c>
      <c r="D25" s="21" t="inlineStr">
        <is>
          <t>Sérieux</t>
        </is>
      </c>
      <c r="E25" s="21" t="inlineStr">
        <is>
          <t>Ernst</t>
        </is>
      </c>
      <c r="F25" s="21" t="inlineStr">
        <is>
          <t>Seria</t>
        </is>
      </c>
      <c r="G25" s="21" t="inlineStr">
        <is>
          <t>Seria</t>
        </is>
      </c>
      <c r="H25" s="21" t="inlineStr">
        <is>
          <t>성실</t>
        </is>
      </c>
      <c r="I25" s="21" t="inlineStr">
        <is>
          <t>認真</t>
        </is>
      </c>
      <c r="J25" s="21">
        <f>IFERROR(__xludf.DUMMYFUNCTION("GOOGLETRANSLATE(I25,""zh_HANT"",""zh_HANS"")"),"认真")</f>
        <v/>
      </c>
      <c r="K25" s="21">
        <f>F25</f>
        <v/>
      </c>
      <c r="L25" s="21" t="n"/>
      <c r="M25" s="21" t="n"/>
      <c r="N25" s="21" t="n"/>
      <c r="O25" s="21" t="n"/>
      <c r="P25" s="21" t="n"/>
      <c r="Q25" s="21" t="n"/>
      <c r="R25" s="21" t="n"/>
      <c r="S25" s="21" t="n"/>
      <c r="T25" s="21" t="n"/>
      <c r="U25" s="21" t="n"/>
      <c r="V25" s="21" t="n"/>
      <c r="W25" s="21" t="n"/>
      <c r="X25" s="21" t="n"/>
      <c r="Y25" s="21" t="n"/>
      <c r="Z25" s="21" t="n"/>
    </row>
    <row r="26">
      <c r="A26" s="22">
        <f>CONCATENATE("NAME_NATURE_", UPPER(B26))</f>
        <v/>
      </c>
      <c r="B26" s="21" t="inlineStr">
        <is>
          <t>Timid</t>
        </is>
      </c>
      <c r="C26" s="23" t="inlineStr">
        <is>
          <t>おくびょう</t>
        </is>
      </c>
      <c r="D26" s="21" t="inlineStr">
        <is>
          <t>Timide</t>
        </is>
      </c>
      <c r="E26" s="21" t="inlineStr">
        <is>
          <t>Scheu</t>
        </is>
      </c>
      <c r="F26" s="21" t="inlineStr">
        <is>
          <t>Miedosa</t>
        </is>
      </c>
      <c r="G26" s="21" t="inlineStr">
        <is>
          <t>Timida</t>
        </is>
      </c>
      <c r="H26" s="21" t="inlineStr">
        <is>
          <t>겁쟁이</t>
        </is>
      </c>
      <c r="I26" s="21" t="inlineStr">
        <is>
          <t>膽小</t>
        </is>
      </c>
      <c r="J26" s="21">
        <f>IFERROR(__xludf.DUMMYFUNCTION("GOOGLETRANSLATE(I26,""zh_HANT"",""zh_HANS"")"),"胆小")</f>
        <v/>
      </c>
      <c r="K26" s="21">
        <f>F26</f>
        <v/>
      </c>
      <c r="L26" s="21" t="n"/>
      <c r="M26" s="21" t="n"/>
      <c r="N26" s="21" t="n"/>
      <c r="O26" s="21" t="n"/>
      <c r="P26" s="21" t="n"/>
      <c r="Q26" s="21" t="n"/>
      <c r="R26" s="21" t="n"/>
      <c r="S26" s="21" t="n"/>
      <c r="T26" s="21" t="n"/>
      <c r="U26" s="21" t="n"/>
      <c r="V26" s="21" t="n"/>
      <c r="W26" s="21" t="n"/>
      <c r="X26" s="21" t="n"/>
      <c r="Y26" s="21" t="n"/>
      <c r="Z26" s="21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0" summaryRight="0"/>
    <pageSetUpPr/>
  </sheetPr>
  <dimension ref="A1:Z31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baseColWidth="8" defaultColWidth="12.63" defaultRowHeight="15.75" customHeight="1"/>
  <cols>
    <col width="21.5" customWidth="1" style="31" min="1" max="1"/>
    <col width="17.25" customWidth="1" style="31" min="2" max="2"/>
    <col width="16.63" customWidth="1" style="31" min="3" max="3"/>
    <col width="19.63" customWidth="1" style="31" min="7" max="7"/>
  </cols>
  <sheetData>
    <row r="1">
      <c r="A1" s="2">
        <f>Pokemon!A1</f>
        <v/>
      </c>
      <c r="B1" s="2">
        <f>Pokemon!B1</f>
        <v/>
      </c>
      <c r="C1" s="2">
        <f>Pokemon!C1</f>
        <v/>
      </c>
      <c r="D1" s="2">
        <f>Pokemon!D1</f>
        <v/>
      </c>
      <c r="E1" s="2">
        <f>Pokemon!E1</f>
        <v/>
      </c>
      <c r="F1" s="2">
        <f>Pokemon!F1</f>
        <v/>
      </c>
      <c r="G1" s="2">
        <f>Pokemon!G1</f>
        <v/>
      </c>
      <c r="H1" s="2">
        <f>Pokemon!H1</f>
        <v/>
      </c>
      <c r="I1" s="2">
        <f>Pokemon!I1</f>
        <v/>
      </c>
      <c r="J1" s="2">
        <f>Pokemon!J1</f>
        <v/>
      </c>
      <c r="K1" s="2">
        <f>Pokemon!K1</f>
        <v/>
      </c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</row>
    <row r="2">
      <c r="A2" s="26" t="inlineStr">
        <is>
          <t>CHARACTERISTIC_HP-0</t>
        </is>
      </c>
      <c r="B2" s="26" t="inlineStr">
        <is>
          <t>Loves to eat</t>
        </is>
      </c>
      <c r="C2" s="26" t="inlineStr">
        <is>
          <t>食べるのが　大好き</t>
        </is>
      </c>
      <c r="D2" s="26" t="inlineStr">
        <is>
          <t>Adore manger</t>
        </is>
      </c>
      <c r="E2" s="26" t="inlineStr">
        <is>
          <t>Liebt es zu essen</t>
        </is>
      </c>
      <c r="F2" s="26" t="inlineStr">
        <is>
          <t>Le encanta comer</t>
        </is>
      </c>
      <c r="G2" s="26" t="inlineStr">
        <is>
          <t>Adora mangiare</t>
        </is>
      </c>
      <c r="H2" s="26" t="inlineStr">
        <is>
          <t>먹는 것을 제일 좋아함</t>
        </is>
      </c>
      <c r="I2" s="26" t="inlineStr">
        <is>
          <t>非常喜歡吃東西</t>
        </is>
      </c>
      <c r="J2" s="26">
        <f>IFERROR(__xludf.DUMMYFUNCTION("GOOGLETRANSLATE(I2,""zh_HANT"",""zh_HANS"")"),"非常喜欢吃东西")</f>
        <v/>
      </c>
      <c r="K2" s="26">
        <f>F2</f>
        <v/>
      </c>
      <c r="L2" s="26" t="n"/>
      <c r="M2" s="26" t="n"/>
      <c r="N2" s="26" t="n"/>
      <c r="O2" s="26" t="n"/>
      <c r="P2" s="26" t="n"/>
      <c r="Q2" s="26" t="n"/>
      <c r="R2" s="26" t="n"/>
      <c r="S2" s="26" t="n"/>
      <c r="T2" s="26" t="n"/>
      <c r="U2" s="26" t="n"/>
      <c r="V2" s="26" t="n"/>
      <c r="W2" s="26" t="n"/>
      <c r="X2" s="26" t="n"/>
      <c r="Y2" s="26" t="n"/>
      <c r="Z2" s="26" t="n"/>
    </row>
    <row r="3">
      <c r="A3" s="26" t="inlineStr">
        <is>
          <t>CHARACTERISTIC_HP-1</t>
        </is>
      </c>
      <c r="B3" s="26" t="inlineStr">
        <is>
          <t>Takes plenty of siestas</t>
        </is>
      </c>
      <c r="C3" s="26" t="inlineStr">
        <is>
          <t>昼寝を　よくする</t>
        </is>
      </c>
      <c r="D3" s="26" t="inlineStr">
        <is>
          <t>S'assoupit souvent</t>
        </is>
      </c>
      <c r="E3" s="26" t="inlineStr">
        <is>
          <t>Nickt oft ein</t>
        </is>
      </c>
      <c r="F3" s="26" t="inlineStr">
        <is>
          <t>A menudo se duerme</t>
        </is>
      </c>
      <c r="G3" s="26" t="inlineStr">
        <is>
          <t>Si addormenta spesso</t>
        </is>
      </c>
      <c r="H3" s="26" t="inlineStr">
        <is>
          <t>낮잠을 잘 잠</t>
        </is>
      </c>
      <c r="I3" s="26" t="inlineStr">
        <is>
          <t>經常睡午覺</t>
        </is>
      </c>
      <c r="J3" s="26">
        <f>IFERROR(__xludf.DUMMYFUNCTION("GOOGLETRANSLATE(I3,""zh_HANT"",""zh_HANS"")"),"经常睡午觉")</f>
        <v/>
      </c>
      <c r="K3" s="26" t="inlineStr">
        <is>
          <t>Le encanta dormir la siesta.</t>
        </is>
      </c>
      <c r="L3" s="26" t="n"/>
      <c r="M3" s="26" t="n"/>
      <c r="N3" s="26" t="n"/>
      <c r="O3" s="26" t="n"/>
      <c r="P3" s="26" t="n"/>
      <c r="Q3" s="26" t="n"/>
      <c r="R3" s="26" t="n"/>
      <c r="S3" s="26" t="n"/>
      <c r="T3" s="26" t="n"/>
      <c r="U3" s="26" t="n"/>
      <c r="V3" s="26" t="n"/>
      <c r="W3" s="26" t="n"/>
      <c r="X3" s="26" t="n"/>
      <c r="Y3" s="26" t="n"/>
      <c r="Z3" s="26" t="n"/>
    </row>
    <row r="4">
      <c r="A4" s="26" t="inlineStr">
        <is>
          <t>CHARACTERISTIC_HP-2</t>
        </is>
      </c>
      <c r="B4" s="26" t="inlineStr">
        <is>
          <t>Nods off a lot</t>
        </is>
      </c>
      <c r="C4" s="26" t="inlineStr">
        <is>
          <t>居眠りが　多い</t>
        </is>
      </c>
      <c r="D4" s="26" t="inlineStr">
        <is>
          <t>Dort beaucoup</t>
        </is>
      </c>
      <c r="E4" s="26" t="inlineStr">
        <is>
          <t>Schläft gern</t>
        </is>
      </c>
      <c r="F4" s="26" t="inlineStr">
        <is>
          <t>Duerme mucho</t>
        </is>
      </c>
      <c r="G4" s="26" t="inlineStr">
        <is>
          <t>Dorme a lungo</t>
        </is>
      </c>
      <c r="H4" s="26" t="inlineStr">
        <is>
          <t>말뚝잠이 많음</t>
        </is>
      </c>
      <c r="I4" s="26" t="inlineStr">
        <is>
          <t>常常打瞌睡</t>
        </is>
      </c>
      <c r="J4" s="26">
        <f>I4</f>
        <v/>
      </c>
      <c r="K4" s="26">
        <f>F4</f>
        <v/>
      </c>
      <c r="L4" s="26" t="n"/>
      <c r="M4" s="26" t="n"/>
      <c r="N4" s="26" t="n"/>
      <c r="O4" s="26" t="n"/>
      <c r="P4" s="26" t="n"/>
      <c r="Q4" s="26" t="n"/>
      <c r="R4" s="26" t="n"/>
      <c r="S4" s="26" t="n"/>
      <c r="T4" s="26" t="n"/>
      <c r="U4" s="26" t="n"/>
      <c r="V4" s="26" t="n"/>
      <c r="W4" s="26" t="n"/>
      <c r="X4" s="26" t="n"/>
      <c r="Y4" s="26" t="n"/>
      <c r="Z4" s="26" t="n"/>
    </row>
    <row r="5">
      <c r="A5" s="26" t="inlineStr">
        <is>
          <t>CHARACTERISTIC_HP-3</t>
        </is>
      </c>
      <c r="B5" s="26" t="inlineStr">
        <is>
          <t>Scatter things often</t>
        </is>
      </c>
      <c r="C5" s="26" t="inlineStr">
        <is>
          <t>ものを　よく　散らかす</t>
        </is>
      </c>
      <c r="D5" s="26" t="inlineStr">
        <is>
          <t>Éparpille des choses</t>
        </is>
      </c>
      <c r="E5" s="26" t="inlineStr">
        <is>
          <t>Macht oft Unordnung</t>
        </is>
      </c>
      <c r="F5" s="26" t="inlineStr">
        <is>
          <t>Suele desordenar cosas</t>
        </is>
      </c>
      <c r="G5" s="26" t="inlineStr">
        <is>
          <t>Lascia cose in giro</t>
        </is>
      </c>
      <c r="H5" s="26" t="inlineStr">
        <is>
          <t>물건을 잘 어지름</t>
        </is>
      </c>
      <c r="I5" s="26" t="inlineStr">
        <is>
          <t>經常亂扔東西</t>
        </is>
      </c>
      <c r="J5" s="26">
        <f>IFERROR(__xludf.DUMMYFUNCTION("GOOGLETRANSLATE(I5,""zh_HANT"",""zh_HANS"")"),"经常乱扔东西")</f>
        <v/>
      </c>
      <c r="K5" s="26">
        <f>F5</f>
        <v/>
      </c>
      <c r="L5" s="26" t="n"/>
      <c r="M5" s="26" t="n"/>
      <c r="N5" s="26" t="n"/>
      <c r="O5" s="26" t="n"/>
      <c r="P5" s="26" t="n"/>
      <c r="Q5" s="26" t="n"/>
      <c r="R5" s="26" t="n"/>
      <c r="S5" s="26" t="n"/>
      <c r="T5" s="26" t="n"/>
      <c r="U5" s="26" t="n"/>
      <c r="V5" s="26" t="n"/>
      <c r="W5" s="26" t="n"/>
      <c r="X5" s="26" t="n"/>
      <c r="Y5" s="26" t="n"/>
      <c r="Z5" s="26" t="n"/>
    </row>
    <row r="6">
      <c r="A6" s="26" t="inlineStr">
        <is>
          <t>CHARACTERISTIC_HP-4</t>
        </is>
      </c>
      <c r="B6" s="26" t="inlineStr">
        <is>
          <t>Likes to relax</t>
        </is>
      </c>
      <c r="C6" s="26" t="inlineStr">
        <is>
          <t>のんびりするのが　好き</t>
        </is>
      </c>
      <c r="D6" s="26" t="inlineStr">
        <is>
          <t>Aime se détendre</t>
        </is>
      </c>
      <c r="E6" s="26" t="inlineStr">
        <is>
          <t>Mag es, sich zu entspannen</t>
        </is>
      </c>
      <c r="F6" s="26" t="inlineStr">
        <is>
          <t>Le gusta relajarse</t>
        </is>
      </c>
      <c r="G6" s="26" t="inlineStr">
        <is>
          <t>Adora rilassarsi</t>
        </is>
      </c>
      <c r="H6" s="26" t="inlineStr">
        <is>
          <t>유유자적함을 좋아함</t>
        </is>
      </c>
      <c r="I6" s="26" t="inlineStr">
        <is>
          <t>喜歡悠然自在</t>
        </is>
      </c>
      <c r="J6" s="26">
        <f>IFERROR(__xludf.DUMMYFUNCTION("GOOGLETRANSLATE(I6,""zh_HANT"",""zh_HANS"")"),"喜欢悠然自在")</f>
        <v/>
      </c>
      <c r="K6" s="26">
        <f>F6</f>
        <v/>
      </c>
      <c r="L6" s="26" t="n"/>
      <c r="M6" s="26" t="n"/>
      <c r="N6" s="26" t="n"/>
      <c r="O6" s="26" t="n"/>
      <c r="P6" s="26" t="n"/>
      <c r="Q6" s="26" t="n"/>
      <c r="R6" s="26" t="n"/>
      <c r="S6" s="26" t="n"/>
      <c r="T6" s="26" t="n"/>
      <c r="U6" s="26" t="n"/>
      <c r="V6" s="26" t="n"/>
      <c r="W6" s="26" t="n"/>
      <c r="X6" s="26" t="n"/>
      <c r="Y6" s="26" t="n"/>
      <c r="Z6" s="26" t="n"/>
    </row>
    <row r="7">
      <c r="A7" s="26" t="inlineStr">
        <is>
          <t>CHARACTERISTIC_ATK-0</t>
        </is>
      </c>
      <c r="B7" s="26" t="inlineStr">
        <is>
          <t>Proud of its power</t>
        </is>
      </c>
      <c r="C7" s="26" t="inlineStr">
        <is>
          <t>力が　自慢</t>
        </is>
      </c>
      <c r="D7" s="26" t="inlineStr">
        <is>
          <t>Est fier de sa puissance</t>
        </is>
      </c>
      <c r="E7" s="26" t="inlineStr">
        <is>
          <t>Ist stolz auf seine Stärke</t>
        </is>
      </c>
      <c r="F7" s="26" t="inlineStr">
        <is>
          <t>Orgulloso de su fuerza</t>
        </is>
      </c>
      <c r="G7" s="26" t="inlineStr">
        <is>
          <t>La forza è il suo vanto</t>
        </is>
      </c>
      <c r="H7" s="26" t="inlineStr">
        <is>
          <t>힘자랑이 특기임</t>
        </is>
      </c>
      <c r="I7" s="26" t="inlineStr">
        <is>
          <t>以力氣大為傲</t>
        </is>
      </c>
      <c r="J7" s="26">
        <f>IFERROR(__xludf.DUMMYFUNCTION("GOOGLETRANSLATE(I7,""zh_HANT"",""zh_HANS"")"),"以力气大为傲")</f>
        <v/>
      </c>
      <c r="K7" s="26">
        <f>F7</f>
        <v/>
      </c>
      <c r="L7" s="26" t="n"/>
      <c r="M7" s="26" t="n"/>
      <c r="N7" s="26" t="n"/>
      <c r="O7" s="26" t="n"/>
      <c r="P7" s="26" t="n"/>
      <c r="Q7" s="26" t="n"/>
      <c r="R7" s="26" t="n"/>
      <c r="S7" s="26" t="n"/>
      <c r="T7" s="26" t="n"/>
      <c r="U7" s="26" t="n"/>
      <c r="V7" s="26" t="n"/>
      <c r="W7" s="26" t="n"/>
      <c r="X7" s="26" t="n"/>
      <c r="Y7" s="26" t="n"/>
      <c r="Z7" s="26" t="n"/>
    </row>
    <row r="8">
      <c r="A8" s="26" t="inlineStr">
        <is>
          <t>CHARACTERISTIC_ATK-1</t>
        </is>
      </c>
      <c r="B8" s="26" t="inlineStr">
        <is>
          <t>Likes to thrash about</t>
        </is>
      </c>
      <c r="C8" s="26" t="inlineStr">
        <is>
          <t>暴れることが　好き</t>
        </is>
      </c>
      <c r="D8" s="26" t="inlineStr">
        <is>
          <t>Aime se démener</t>
        </is>
      </c>
      <c r="E8" s="26" t="inlineStr">
        <is>
          <t>Prügelt sich gern</t>
        </is>
      </c>
      <c r="F8" s="26" t="inlineStr">
        <is>
          <t>Le gusta revolverse</t>
        </is>
      </c>
      <c r="G8" s="26" t="inlineStr">
        <is>
          <t>Adora dimenarsi</t>
        </is>
      </c>
      <c r="H8" s="26" t="inlineStr">
        <is>
          <t>난동부리기를 좋아함</t>
        </is>
      </c>
      <c r="I8" s="26" t="inlineStr">
        <is>
          <t>喜歡胡鬧</t>
        </is>
      </c>
      <c r="J8" s="26">
        <f>IFERROR(__xludf.DUMMYFUNCTION("GOOGLETRANSLATE(I8,""zh_HANT"",""zh_HANS"")"),"喜欢胡闹")</f>
        <v/>
      </c>
      <c r="K8" s="26" t="inlineStr">
        <is>
          <t>Le gusta revolcarse.</t>
        </is>
      </c>
      <c r="L8" s="26" t="n"/>
      <c r="M8" s="26" t="n"/>
      <c r="N8" s="26" t="n"/>
      <c r="O8" s="26" t="n"/>
      <c r="P8" s="26" t="n"/>
      <c r="Q8" s="26" t="n"/>
      <c r="R8" s="26" t="n"/>
      <c r="S8" s="26" t="n"/>
      <c r="T8" s="26" t="n"/>
      <c r="U8" s="26" t="n"/>
      <c r="V8" s="26" t="n"/>
      <c r="W8" s="26" t="n"/>
      <c r="X8" s="26" t="n"/>
      <c r="Y8" s="26" t="n"/>
      <c r="Z8" s="26" t="n"/>
    </row>
    <row r="9">
      <c r="A9" s="26" t="inlineStr">
        <is>
          <t>CHARACTERISTIC_ATK-2</t>
        </is>
      </c>
      <c r="B9" s="26" t="inlineStr">
        <is>
          <t>A little quick tempered</t>
        </is>
      </c>
      <c r="C9" s="26" t="inlineStr">
        <is>
          <t>ちょっと　怒りっぽい</t>
        </is>
      </c>
      <c r="D9" s="26" t="inlineStr">
        <is>
          <t>Un peu coléreux</t>
        </is>
      </c>
      <c r="E9" s="26" t="inlineStr">
        <is>
          <t>Besitzt Temperament</t>
        </is>
      </c>
      <c r="F9" s="26" t="inlineStr">
        <is>
          <t>A veces se enfada</t>
        </is>
      </c>
      <c r="G9" s="26" t="inlineStr">
        <is>
          <t>Si arrabbia facilmente</t>
        </is>
      </c>
      <c r="H9" s="26" t="inlineStr">
        <is>
          <t>약간 화를 잘 내는 성미임</t>
        </is>
      </c>
      <c r="I9" s="26" t="inlineStr">
        <is>
          <t>有點容易生氣</t>
        </is>
      </c>
      <c r="J9" s="26">
        <f>IFERROR(__xludf.DUMMYFUNCTION("GOOGLETRANSLATE(I9,""zh_HANT"",""zh_HANS"")"),"有点容易生气")</f>
        <v/>
      </c>
      <c r="K9" s="26" t="inlineStr">
        <is>
          <t>A veces se enoja.</t>
        </is>
      </c>
      <c r="L9" s="26" t="n"/>
      <c r="M9" s="26" t="n"/>
      <c r="N9" s="26" t="n"/>
      <c r="O9" s="26" t="n"/>
      <c r="P9" s="26" t="n"/>
      <c r="Q9" s="26" t="n"/>
      <c r="R9" s="26" t="n"/>
      <c r="S9" s="26" t="n"/>
      <c r="T9" s="26" t="n"/>
      <c r="U9" s="26" t="n"/>
      <c r="V9" s="26" t="n"/>
      <c r="W9" s="26" t="n"/>
      <c r="X9" s="26" t="n"/>
      <c r="Y9" s="26" t="n"/>
      <c r="Z9" s="26" t="n"/>
    </row>
    <row r="10">
      <c r="A10" s="26" t="inlineStr">
        <is>
          <t>CHARACTERISTIC_ATK-3</t>
        </is>
      </c>
      <c r="B10" s="26" t="inlineStr">
        <is>
          <t>Likes to fight</t>
        </is>
      </c>
      <c r="C10" s="26" t="inlineStr">
        <is>
          <t>ケンカを　するのが　好き</t>
        </is>
      </c>
      <c r="D10" s="26" t="inlineStr">
        <is>
          <t>Aime combattre</t>
        </is>
      </c>
      <c r="E10" s="26" t="inlineStr">
        <is>
          <t>Liebt Kämpfe</t>
        </is>
      </c>
      <c r="F10" s="26" t="inlineStr">
        <is>
          <t>Le gusta luchar</t>
        </is>
      </c>
      <c r="G10" s="26" t="inlineStr">
        <is>
          <t>Adora combattere</t>
        </is>
      </c>
      <c r="H10" s="26" t="inlineStr">
        <is>
          <t>싸움을 좋아함</t>
        </is>
      </c>
      <c r="I10" s="26" t="inlineStr">
        <is>
          <t>喜歡打架</t>
        </is>
      </c>
      <c r="J10" s="26">
        <f>IFERROR(__xludf.DUMMYFUNCTION("GOOGLETRANSLATE(I10,""zh_HANT"",""zh_HANS"")"),"喜欢打架")</f>
        <v/>
      </c>
      <c r="K10" s="26" t="inlineStr">
        <is>
          <t>Le gusta pelear.</t>
        </is>
      </c>
      <c r="L10" s="26" t="n"/>
      <c r="M10" s="26" t="n"/>
      <c r="N10" s="26" t="n"/>
      <c r="O10" s="26" t="n"/>
      <c r="P10" s="26" t="n"/>
      <c r="Q10" s="26" t="n"/>
      <c r="R10" s="26" t="n"/>
      <c r="S10" s="26" t="n"/>
      <c r="T10" s="26" t="n"/>
      <c r="U10" s="26" t="n"/>
      <c r="V10" s="26" t="n"/>
      <c r="W10" s="26" t="n"/>
      <c r="X10" s="26" t="n"/>
      <c r="Y10" s="26" t="n"/>
      <c r="Z10" s="26" t="n"/>
    </row>
    <row r="11">
      <c r="A11" s="26" t="inlineStr">
        <is>
          <t>CHARACTERISTIC_ATK-4</t>
        </is>
      </c>
      <c r="B11" s="26" t="inlineStr">
        <is>
          <t>Quick tempered</t>
        </is>
      </c>
      <c r="C11" s="26" t="inlineStr">
        <is>
          <t>血の気が　多い</t>
        </is>
      </c>
      <c r="D11" s="26" t="inlineStr">
        <is>
          <t>S'emporte facilement</t>
        </is>
      </c>
      <c r="E11" s="26" t="inlineStr">
        <is>
          <t>Ist impulsiv</t>
        </is>
      </c>
      <c r="F11" s="26" t="inlineStr">
        <is>
          <t>Tiene mal genio</t>
        </is>
      </c>
      <c r="G11" s="26" t="inlineStr">
        <is>
          <t>È facilmente irritabile</t>
        </is>
      </c>
      <c r="H11" s="26" t="inlineStr">
        <is>
          <t>혈기가 왕성함</t>
        </is>
      </c>
      <c r="I11" s="26" t="inlineStr">
        <is>
          <t>血氣方剛</t>
        </is>
      </c>
      <c r="J11" s="26">
        <f>IFERROR(__xludf.DUMMYFUNCTION("GOOGLETRANSLATE(I11,""zh_HANT"",""zh_HANS"")"),"血气方刚")</f>
        <v/>
      </c>
      <c r="K11" s="26" t="inlineStr">
        <is>
          <t>Tiene mal carácter.</t>
        </is>
      </c>
      <c r="L11" s="26" t="n"/>
      <c r="M11" s="26" t="n"/>
      <c r="N11" s="26" t="n"/>
      <c r="O11" s="26" t="n"/>
      <c r="P11" s="26" t="n"/>
      <c r="Q11" s="26" t="n"/>
      <c r="R11" s="26" t="n"/>
      <c r="S11" s="26" t="n"/>
      <c r="T11" s="26" t="n"/>
      <c r="U11" s="26" t="n"/>
      <c r="V11" s="26" t="n"/>
      <c r="W11" s="26" t="n"/>
      <c r="X11" s="26" t="n"/>
      <c r="Y11" s="26" t="n"/>
      <c r="Z11" s="26" t="n"/>
    </row>
    <row r="12">
      <c r="A12" s="26" t="inlineStr">
        <is>
          <t>CHARACTERISTIC_DEF-0</t>
        </is>
      </c>
      <c r="B12" s="26" t="inlineStr">
        <is>
          <t>Sturdy Body</t>
        </is>
      </c>
      <c r="C12" s="26" t="inlineStr">
        <is>
          <t>体が　丈夫</t>
        </is>
      </c>
      <c r="D12" s="26" t="inlineStr">
        <is>
          <t>Corps robuste</t>
        </is>
      </c>
      <c r="E12" s="26" t="inlineStr">
        <is>
          <t>Hat einen robusten Körper</t>
        </is>
      </c>
      <c r="F12" s="26" t="inlineStr">
        <is>
          <t>Cuerpo resistente</t>
        </is>
      </c>
      <c r="G12" s="26" t="inlineStr">
        <is>
          <t>Ha un corpo robusto</t>
        </is>
      </c>
      <c r="H12" s="26" t="inlineStr">
        <is>
          <t>몸이 튼튼함</t>
        </is>
      </c>
      <c r="I12" s="26" t="inlineStr">
        <is>
          <t>身體強壯</t>
        </is>
      </c>
      <c r="J12" s="26">
        <f>IFERROR(__xludf.DUMMYFUNCTION("GOOGLETRANSLATE(I12,""zh_HANT"",""zh_HANS"")"),"身体强壮")</f>
        <v/>
      </c>
      <c r="K12" s="26">
        <f>F12</f>
        <v/>
      </c>
      <c r="L12" s="26" t="n"/>
      <c r="M12" s="26" t="n"/>
      <c r="N12" s="26" t="n"/>
      <c r="O12" s="26" t="n"/>
      <c r="P12" s="26" t="n"/>
      <c r="Q12" s="26" t="n"/>
      <c r="R12" s="26" t="n"/>
      <c r="S12" s="26" t="n"/>
      <c r="T12" s="26" t="n"/>
      <c r="U12" s="26" t="n"/>
      <c r="V12" s="26" t="n"/>
      <c r="W12" s="26" t="n"/>
      <c r="X12" s="26" t="n"/>
      <c r="Y12" s="26" t="n"/>
      <c r="Z12" s="26" t="n"/>
    </row>
    <row r="13">
      <c r="A13" s="26" t="inlineStr">
        <is>
          <t>CHARACTERISTIC_DEF-1</t>
        </is>
      </c>
      <c r="B13" s="26" t="inlineStr">
        <is>
          <t>Capable of taking hits</t>
        </is>
      </c>
      <c r="C13" s="26" t="inlineStr">
        <is>
          <t>打たれ強い</t>
        </is>
      </c>
      <c r="D13" s="26" t="inlineStr">
        <is>
          <t>Sait encaisser les coups</t>
        </is>
      </c>
      <c r="E13" s="26" t="inlineStr">
        <is>
          <t>Kann Treffer gut verkraften</t>
        </is>
      </c>
      <c r="F13" s="26" t="inlineStr">
        <is>
          <t>Es buen fajador</t>
        </is>
      </c>
      <c r="G13" s="26" t="inlineStr">
        <is>
          <t>Incassa bene i colpi</t>
        </is>
      </c>
      <c r="H13" s="26" t="inlineStr">
        <is>
          <t>맷집이 강함</t>
        </is>
      </c>
      <c r="I13" s="26" t="inlineStr">
        <is>
          <t>抗打能力強</t>
        </is>
      </c>
      <c r="J13" s="26">
        <f>IFERROR(__xludf.DUMMYFUNCTION("GOOGLETRANSLATE(I13,""zh_HANT"",""zh_HANS"")"),"抗打能力强")</f>
        <v/>
      </c>
      <c r="K13" s="26" t="inlineStr">
        <is>
          <t>Resiste bien los ataques.</t>
        </is>
      </c>
      <c r="L13" s="26" t="n"/>
      <c r="M13" s="26" t="n"/>
      <c r="N13" s="26" t="n"/>
      <c r="O13" s="26" t="n"/>
      <c r="P13" s="26" t="n"/>
      <c r="Q13" s="26" t="n"/>
      <c r="R13" s="26" t="n"/>
      <c r="S13" s="26" t="n"/>
      <c r="T13" s="26" t="n"/>
      <c r="U13" s="26" t="n"/>
      <c r="V13" s="26" t="n"/>
      <c r="W13" s="26" t="n"/>
      <c r="X13" s="26" t="n"/>
      <c r="Y13" s="26" t="n"/>
      <c r="Z13" s="26" t="n"/>
    </row>
    <row r="14">
      <c r="A14" s="26" t="inlineStr">
        <is>
          <t>CHARACTERISTIC_DEF-2</t>
        </is>
      </c>
      <c r="B14" s="26" t="inlineStr">
        <is>
          <t>Highly persistent</t>
        </is>
      </c>
      <c r="C14" s="26" t="inlineStr">
        <is>
          <t>粘り強い</t>
        </is>
      </c>
      <c r="D14" s="26" t="inlineStr">
        <is>
          <t>Très obstiné</t>
        </is>
      </c>
      <c r="E14" s="26" t="inlineStr">
        <is>
          <t>Ist äußerst ausdauernd</t>
        </is>
      </c>
      <c r="F14" s="26" t="inlineStr">
        <is>
          <t>Muy persistente</t>
        </is>
      </c>
      <c r="G14" s="26" t="inlineStr">
        <is>
          <t>È molto ostinato</t>
        </is>
      </c>
      <c r="H14" s="26" t="inlineStr">
        <is>
          <t>끈질김</t>
        </is>
      </c>
      <c r="I14" s="26" t="inlineStr">
        <is>
          <t>頑強不屈</t>
        </is>
      </c>
      <c r="J14" s="26">
        <f>IFERROR(__xludf.DUMMYFUNCTION("GOOGLETRANSLATE(I14,""zh_HANT"",""zh_HANS"")"),"顽强不屈")</f>
        <v/>
      </c>
      <c r="K14" s="26">
        <f>F14</f>
        <v/>
      </c>
      <c r="L14" s="26" t="n"/>
      <c r="M14" s="26" t="n"/>
      <c r="N14" s="26" t="n"/>
      <c r="O14" s="26" t="n"/>
      <c r="P14" s="26" t="n"/>
      <c r="Q14" s="26" t="n"/>
      <c r="R14" s="26" t="n"/>
      <c r="S14" s="26" t="n"/>
      <c r="T14" s="26" t="n"/>
      <c r="U14" s="26" t="n"/>
      <c r="V14" s="26" t="n"/>
      <c r="W14" s="26" t="n"/>
      <c r="X14" s="26" t="n"/>
      <c r="Y14" s="26" t="n"/>
      <c r="Z14" s="26" t="n"/>
    </row>
    <row r="15">
      <c r="A15" s="26" t="inlineStr">
        <is>
          <t>CHARACTERISTIC_DEF-3</t>
        </is>
      </c>
      <c r="B15" s="26" t="inlineStr">
        <is>
          <t>Good endurance</t>
        </is>
      </c>
      <c r="C15" s="26" t="inlineStr">
        <is>
          <t>辛抱強い</t>
        </is>
      </c>
      <c r="D15" s="26" t="inlineStr">
        <is>
          <t>Bonne endurance</t>
        </is>
      </c>
      <c r="E15" s="26" t="inlineStr">
        <is>
          <t>Hat eine gute Ausdauer</t>
        </is>
      </c>
      <c r="F15" s="26" t="inlineStr">
        <is>
          <t>Muy resistente</t>
        </is>
      </c>
      <c r="G15" s="26" t="inlineStr">
        <is>
          <t>È molto paziente</t>
        </is>
      </c>
      <c r="H15" s="26" t="inlineStr">
        <is>
          <t>인내심이 강함</t>
        </is>
      </c>
      <c r="I15" s="26" t="inlineStr">
        <is>
          <t>能吃苦耐勞</t>
        </is>
      </c>
      <c r="J15" s="26">
        <f>IFERROR(__xludf.DUMMYFUNCTION("GOOGLETRANSLATE(I15,""zh_HANT"",""zh_HANS"")"),"能吃苦耐劳")</f>
        <v/>
      </c>
      <c r="K15" s="26">
        <f>F15</f>
        <v/>
      </c>
      <c r="L15" s="26" t="n"/>
      <c r="M15" s="26" t="n"/>
      <c r="N15" s="26" t="n"/>
      <c r="O15" s="26" t="n"/>
      <c r="P15" s="26" t="n"/>
      <c r="Q15" s="26" t="n"/>
      <c r="R15" s="26" t="n"/>
      <c r="S15" s="26" t="n"/>
      <c r="T15" s="26" t="n"/>
      <c r="U15" s="26" t="n"/>
      <c r="V15" s="26" t="n"/>
      <c r="W15" s="26" t="n"/>
      <c r="X15" s="26" t="n"/>
      <c r="Y15" s="26" t="n"/>
      <c r="Z15" s="26" t="n"/>
    </row>
    <row r="16">
      <c r="A16" s="26" t="inlineStr">
        <is>
          <t>CHARACTERISTIC_DEF-4</t>
        </is>
      </c>
      <c r="B16" s="26" t="inlineStr">
        <is>
          <t>Good perseverance</t>
        </is>
      </c>
      <c r="C16" s="26" t="inlineStr">
        <is>
          <t>我慢強い</t>
        </is>
      </c>
      <c r="D16" s="26" t="inlineStr">
        <is>
          <t>Persévérant</t>
        </is>
      </c>
      <c r="E16" s="26" t="inlineStr">
        <is>
          <t>Ist beharrlich</t>
        </is>
      </c>
      <c r="F16" s="26" t="inlineStr">
        <is>
          <t>Muy perseverante</t>
        </is>
      </c>
      <c r="G16" s="26" t="inlineStr">
        <is>
          <t>È molto tenace</t>
        </is>
      </c>
      <c r="H16" s="26" t="inlineStr">
        <is>
          <t>잘 참음</t>
        </is>
      </c>
      <c r="I16" s="26" t="inlineStr">
        <is>
          <t>善於忍耐</t>
        </is>
      </c>
      <c r="J16" s="26">
        <f>IFERROR(__xludf.DUMMYFUNCTION("GOOGLETRANSLATE(I16,""zh_HANT"",""zh_HANS"")"),"善于忍耐")</f>
        <v/>
      </c>
      <c r="K16" s="26">
        <f>F16</f>
        <v/>
      </c>
      <c r="L16" s="26" t="n"/>
      <c r="M16" s="26" t="n"/>
      <c r="N16" s="26" t="n"/>
      <c r="O16" s="26" t="n"/>
      <c r="P16" s="26" t="n"/>
      <c r="Q16" s="26" t="n"/>
      <c r="R16" s="26" t="n"/>
      <c r="S16" s="26" t="n"/>
      <c r="T16" s="26" t="n"/>
      <c r="U16" s="26" t="n"/>
      <c r="V16" s="26" t="n"/>
      <c r="W16" s="26" t="n"/>
      <c r="X16" s="26" t="n"/>
      <c r="Y16" s="26" t="n"/>
      <c r="Z16" s="26" t="n"/>
    </row>
    <row r="17">
      <c r="A17" s="26" t="inlineStr">
        <is>
          <t>CHARACTERISTIC_SPA-0</t>
        </is>
      </c>
      <c r="B17" s="26" t="inlineStr">
        <is>
          <t>Highly curious</t>
        </is>
      </c>
      <c r="C17" s="26" t="inlineStr">
        <is>
          <t>好奇心が　強い</t>
        </is>
      </c>
      <c r="D17" s="26" t="inlineStr">
        <is>
          <t>Extrêmement curieux</t>
        </is>
      </c>
      <c r="E17" s="26" t="inlineStr">
        <is>
          <t>Ist sehr neugierig</t>
        </is>
      </c>
      <c r="F17" s="26" t="inlineStr">
        <is>
          <t>Extremadamente curioso</t>
        </is>
      </c>
      <c r="G17" s="26" t="inlineStr">
        <is>
          <t>È un grande ficcanaso</t>
        </is>
      </c>
      <c r="H17" s="26" t="inlineStr">
        <is>
          <t>호기심이 강함</t>
        </is>
      </c>
      <c r="I17" s="26" t="inlineStr">
        <is>
          <t>好奇心強</t>
        </is>
      </c>
      <c r="J17" s="26">
        <f>IFERROR(__xludf.DUMMYFUNCTION("GOOGLETRANSLATE(I17,""zh_HANT"",""zh_HANS"")"),"好奇心强")</f>
        <v/>
      </c>
      <c r="K17" s="26">
        <f>F17</f>
        <v/>
      </c>
      <c r="L17" s="26" t="n"/>
      <c r="M17" s="26" t="n"/>
      <c r="N17" s="26" t="n"/>
      <c r="O17" s="26" t="n"/>
      <c r="P17" s="26" t="n"/>
      <c r="Q17" s="26" t="n"/>
      <c r="R17" s="26" t="n"/>
      <c r="S17" s="26" t="n"/>
      <c r="T17" s="26" t="n"/>
      <c r="U17" s="26" t="n"/>
      <c r="V17" s="26" t="n"/>
      <c r="W17" s="26" t="n"/>
      <c r="X17" s="26" t="n"/>
      <c r="Y17" s="26" t="n"/>
      <c r="Z17" s="26" t="n"/>
    </row>
    <row r="18">
      <c r="A18" s="26" t="inlineStr">
        <is>
          <t>CHARACTERISTIC_SPA-1</t>
        </is>
      </c>
      <c r="B18" s="26" t="inlineStr">
        <is>
          <t>Mischevious</t>
        </is>
      </c>
      <c r="C18" s="26" t="inlineStr">
        <is>
          <t>イタズラが　好き</t>
        </is>
      </c>
      <c r="D18" s="26" t="inlineStr">
        <is>
          <t>Coquin</t>
        </is>
      </c>
      <c r="E18" s="26" t="inlineStr">
        <is>
          <t>Ist hinterhältig</t>
        </is>
      </c>
      <c r="F18" s="26" t="inlineStr">
        <is>
          <t>Le gusta hacer travesuras</t>
        </is>
      </c>
      <c r="G18" s="26" t="inlineStr">
        <is>
          <t>È alquanto vivace</t>
        </is>
      </c>
      <c r="H18" s="26" t="inlineStr">
        <is>
          <t>장난을 좋아함</t>
        </is>
      </c>
      <c r="I18" s="26" t="inlineStr">
        <is>
          <t>喜歡惡作劇</t>
        </is>
      </c>
      <c r="J18" s="26">
        <f>IFERROR(__xludf.DUMMYFUNCTION("GOOGLETRANSLATE(I18,""zh_HANT"",""zh_HANS"")"),"喜欢恶作剧")</f>
        <v/>
      </c>
      <c r="K18" s="26">
        <f>F18</f>
        <v/>
      </c>
      <c r="L18" s="26" t="n"/>
      <c r="M18" s="26" t="n"/>
      <c r="N18" s="26" t="n"/>
      <c r="O18" s="26" t="n"/>
      <c r="P18" s="26" t="n"/>
      <c r="Q18" s="26" t="n"/>
      <c r="R18" s="26" t="n"/>
      <c r="S18" s="26" t="n"/>
      <c r="T18" s="26" t="n"/>
      <c r="U18" s="26" t="n"/>
      <c r="V18" s="26" t="n"/>
      <c r="W18" s="26" t="n"/>
      <c r="X18" s="26" t="n"/>
      <c r="Y18" s="26" t="n"/>
      <c r="Z18" s="26" t="n"/>
    </row>
    <row r="19">
      <c r="A19" s="26" t="inlineStr">
        <is>
          <t>CHARACTERISTIC_SPA-2</t>
        </is>
      </c>
      <c r="B19" s="26" t="inlineStr">
        <is>
          <t>Thoroughly cunning</t>
        </is>
      </c>
      <c r="C19" s="26" t="inlineStr">
        <is>
          <t>抜け目が　ない</t>
        </is>
      </c>
      <c r="D19" s="26" t="inlineStr">
        <is>
          <t>Très astucieux</t>
        </is>
      </c>
      <c r="E19" s="26" t="inlineStr">
        <is>
          <t>Ist äußerst gerissen</t>
        </is>
      </c>
      <c r="F19" s="26" t="inlineStr">
        <is>
          <t>Muy astuto</t>
        </is>
      </c>
      <c r="G19" s="26" t="inlineStr">
        <is>
          <t>È estremamente sagace</t>
        </is>
      </c>
      <c r="H19" s="26" t="inlineStr">
        <is>
          <t>빈틈이 없음</t>
        </is>
      </c>
      <c r="I19" s="26" t="inlineStr">
        <is>
          <t>做事萬無一失</t>
        </is>
      </c>
      <c r="J19" s="26">
        <f>IFERROR(__xludf.DUMMYFUNCTION("GOOGLETRANSLATE(I19,""zh_HANT"",""zh_HANS"")"),"做事万无一失")</f>
        <v/>
      </c>
      <c r="K19" s="26">
        <f>F19</f>
        <v/>
      </c>
      <c r="L19" s="26" t="n"/>
      <c r="M19" s="26" t="n"/>
      <c r="N19" s="26" t="n"/>
      <c r="O19" s="26" t="n"/>
      <c r="P19" s="26" t="n"/>
      <c r="Q19" s="26" t="n"/>
      <c r="R19" s="26" t="n"/>
      <c r="S19" s="26" t="n"/>
      <c r="T19" s="26" t="n"/>
      <c r="U19" s="26" t="n"/>
      <c r="V19" s="26" t="n"/>
      <c r="W19" s="26" t="n"/>
      <c r="X19" s="26" t="n"/>
      <c r="Y19" s="26" t="n"/>
      <c r="Z19" s="26" t="n"/>
    </row>
    <row r="20">
      <c r="A20" s="26" t="inlineStr">
        <is>
          <t>CHARACTERISTIC_SPA-3</t>
        </is>
      </c>
      <c r="B20" s="26" t="inlineStr">
        <is>
          <t>Often lost in thought</t>
        </is>
      </c>
      <c r="C20" s="26" t="inlineStr">
        <is>
          <t>考え事が　多い</t>
        </is>
      </c>
      <c r="D20" s="26" t="inlineStr">
        <is>
          <t>Souvent dans la lune</t>
        </is>
      </c>
      <c r="E20" s="26" t="inlineStr">
        <is>
          <t>Ist oft in Gedanken</t>
        </is>
      </c>
      <c r="F20" s="26" t="inlineStr">
        <is>
          <t>A menudo está en Babia</t>
        </is>
      </c>
      <c r="G20" s="26" t="inlineStr">
        <is>
          <t>Si perde nel suo mondo</t>
        </is>
      </c>
      <c r="H20" s="26" t="inlineStr">
        <is>
          <t>걱정거리가 많음</t>
        </is>
      </c>
      <c r="I20" s="26" t="inlineStr">
        <is>
          <t>經常思考</t>
        </is>
      </c>
      <c r="J20" s="26">
        <f>IFERROR(__xludf.DUMMYFUNCTION("GOOGLETRANSLATE(I20,""zh_HANT"",""zh_HANS"")"),"经常思考")</f>
        <v/>
      </c>
      <c r="K20" s="26" t="inlineStr">
        <is>
          <t>Vive en su propio mundo.</t>
        </is>
      </c>
      <c r="L20" s="26" t="n"/>
      <c r="M20" s="26" t="n"/>
      <c r="N20" s="26" t="n"/>
      <c r="O20" s="26" t="n"/>
      <c r="P20" s="26" t="n"/>
      <c r="Q20" s="26" t="n"/>
      <c r="R20" s="26" t="n"/>
      <c r="S20" s="26" t="n"/>
      <c r="T20" s="26" t="n"/>
      <c r="U20" s="26" t="n"/>
      <c r="V20" s="26" t="n"/>
      <c r="W20" s="26" t="n"/>
      <c r="X20" s="26" t="n"/>
      <c r="Y20" s="26" t="n"/>
      <c r="Z20" s="26" t="n"/>
    </row>
    <row r="21">
      <c r="A21" s="26" t="inlineStr">
        <is>
          <t>CHARACTERISTIC_SPA-4</t>
        </is>
      </c>
      <c r="B21" s="26" t="inlineStr">
        <is>
          <t>Very finicky</t>
        </is>
      </c>
      <c r="C21" s="26" t="inlineStr">
        <is>
          <t>とても　きちょうめん</t>
        </is>
      </c>
      <c r="D21" s="26" t="inlineStr">
        <is>
          <t>Très particulier</t>
        </is>
      </c>
      <c r="E21" s="26" t="inlineStr">
        <is>
          <t>Ist sehr pedantisch</t>
        </is>
      </c>
      <c r="F21" s="26" t="inlineStr">
        <is>
          <t>Muy melindroso</t>
        </is>
      </c>
      <c r="G21" s="26" t="inlineStr">
        <is>
          <t>È molto esigente</t>
        </is>
      </c>
      <c r="H21" s="26" t="inlineStr">
        <is>
          <t>매우 꼼꼼함</t>
        </is>
      </c>
      <c r="I21" s="26" t="inlineStr">
        <is>
          <t>一絲不苟</t>
        </is>
      </c>
      <c r="J21" s="26">
        <f>IFERROR(__xludf.DUMMYFUNCTION("GOOGLETRANSLATE(I21,""zh_HANT"",""zh_HANS"")"),"一丝不苟")</f>
        <v/>
      </c>
      <c r="K21" s="26" t="inlineStr">
        <is>
          <t>Es muy exigente.</t>
        </is>
      </c>
      <c r="L21" s="26" t="n"/>
      <c r="M21" s="26" t="n"/>
      <c r="N21" s="26" t="n"/>
      <c r="O21" s="26" t="n"/>
      <c r="P21" s="26" t="n"/>
      <c r="Q21" s="26" t="n"/>
      <c r="R21" s="26" t="n"/>
      <c r="S21" s="26" t="n"/>
      <c r="T21" s="26" t="n"/>
      <c r="U21" s="26" t="n"/>
      <c r="V21" s="26" t="n"/>
      <c r="W21" s="26" t="n"/>
      <c r="X21" s="26" t="n"/>
      <c r="Y21" s="26" t="n"/>
      <c r="Z21" s="26" t="n"/>
    </row>
    <row r="22">
      <c r="A22" s="26" t="inlineStr">
        <is>
          <t>CHARACTERISTIC_SPD-0</t>
        </is>
      </c>
      <c r="B22" s="26" t="inlineStr">
        <is>
          <t>Strong willed</t>
        </is>
      </c>
      <c r="C22" s="26" t="inlineStr">
        <is>
          <t>気が　強い</t>
        </is>
      </c>
      <c r="D22" s="26" t="inlineStr">
        <is>
          <t>Très volontaire</t>
        </is>
      </c>
      <c r="E22" s="26" t="inlineStr">
        <is>
          <t>Besitzt einen starken Willen</t>
        </is>
      </c>
      <c r="F22" s="26" t="inlineStr">
        <is>
          <t>Voluntarioso</t>
        </is>
      </c>
      <c r="G22" s="26" t="inlineStr">
        <is>
          <t>Sa il fatto suo</t>
        </is>
      </c>
      <c r="H22" s="26" t="inlineStr">
        <is>
          <t>기가 센 성격임</t>
        </is>
      </c>
      <c r="I22" s="26" t="inlineStr">
        <is>
          <t>性格強勢</t>
        </is>
      </c>
      <c r="J22" s="26">
        <f>IFERROR(__xludf.DUMMYFUNCTION("GOOGLETRANSLATE(I22,""zh_HANT"",""zh_HANS"")"),"性格强势")</f>
        <v/>
      </c>
      <c r="K22" s="26">
        <f>F22</f>
        <v/>
      </c>
      <c r="L22" s="26" t="n"/>
      <c r="M22" s="26" t="n"/>
      <c r="N22" s="26" t="n"/>
      <c r="O22" s="26" t="n"/>
      <c r="P22" s="26" t="n"/>
      <c r="Q22" s="26" t="n"/>
      <c r="R22" s="26" t="n"/>
      <c r="S22" s="26" t="n"/>
      <c r="T22" s="26" t="n"/>
      <c r="U22" s="26" t="n"/>
      <c r="V22" s="26" t="n"/>
      <c r="W22" s="26" t="n"/>
      <c r="X22" s="26" t="n"/>
      <c r="Y22" s="26" t="n"/>
      <c r="Z22" s="26" t="n"/>
    </row>
    <row r="23">
      <c r="A23" s="26" t="inlineStr">
        <is>
          <t>CHARACTERISTIC_SPD-1</t>
        </is>
      </c>
      <c r="B23" s="26" t="inlineStr">
        <is>
          <t>Somewhat vain</t>
        </is>
      </c>
      <c r="C23" s="26" t="inlineStr">
        <is>
          <t>ちょっぴり　みえっぱり</t>
        </is>
      </c>
      <c r="D23" s="26" t="inlineStr">
        <is>
          <t>Un peu vaniteux</t>
        </is>
      </c>
      <c r="E23" s="26" t="inlineStr">
        <is>
          <t>Ist etwas eitel</t>
        </is>
      </c>
      <c r="F23" s="26" t="inlineStr">
        <is>
          <t>Es algo orgulloso</t>
        </is>
      </c>
      <c r="G23" s="26" t="inlineStr">
        <is>
          <t>È abbastanza superficiale</t>
        </is>
      </c>
      <c r="H23" s="26" t="inlineStr">
        <is>
          <t>조금 겉치레를 좋아함</t>
        </is>
      </c>
      <c r="I23" s="26" t="inlineStr">
        <is>
          <t>有一點點愛慕虛榮</t>
        </is>
      </c>
      <c r="J23" s="26">
        <f>IFERROR(__xludf.DUMMYFUNCTION("GOOGLETRANSLATE(I23,""zh_HANT"",""zh_HANS"")"),"有一点点爱慕虚荣")</f>
        <v/>
      </c>
      <c r="K23" s="26" t="inlineStr">
        <is>
          <t>Es un poco arrogante.</t>
        </is>
      </c>
      <c r="L23" s="26" t="n"/>
      <c r="M23" s="26" t="n"/>
      <c r="N23" s="26" t="n"/>
      <c r="O23" s="26" t="n"/>
      <c r="P23" s="26" t="n"/>
      <c r="Q23" s="26" t="n"/>
      <c r="R23" s="26" t="n"/>
      <c r="S23" s="26" t="n"/>
      <c r="T23" s="26" t="n"/>
      <c r="U23" s="26" t="n"/>
      <c r="V23" s="26" t="n"/>
      <c r="W23" s="26" t="n"/>
      <c r="X23" s="26" t="n"/>
      <c r="Y23" s="26" t="n"/>
      <c r="Z23" s="26" t="n"/>
    </row>
    <row r="24">
      <c r="A24" s="26" t="inlineStr">
        <is>
          <t>CHARACTERISTIC_SPD-2</t>
        </is>
      </c>
      <c r="B24" s="26" t="inlineStr">
        <is>
          <t>Strongly defiant</t>
        </is>
      </c>
      <c r="C24" s="26" t="inlineStr">
        <is>
          <t>負けん気が　強い</t>
        </is>
      </c>
      <c r="D24" s="26" t="inlineStr">
        <is>
          <t>Esprit rebelle</t>
        </is>
      </c>
      <c r="E24" s="26" t="inlineStr">
        <is>
          <t>Ist sehr aufsässig</t>
        </is>
      </c>
      <c r="F24" s="26" t="inlineStr">
        <is>
          <t>Muy insolente</t>
        </is>
      </c>
      <c r="G24" s="26" t="inlineStr">
        <is>
          <t>È molto insolente</t>
        </is>
      </c>
      <c r="H24" s="26" t="inlineStr">
        <is>
          <t>오기가 센 성격임</t>
        </is>
      </c>
      <c r="I24" s="26" t="inlineStr">
        <is>
          <t>爭強好勝</t>
        </is>
      </c>
      <c r="J24" s="26">
        <f>IFERROR(__xludf.DUMMYFUNCTION("GOOGLETRANSLATE(I24,""zh_HANT"",""zh_HANS"")"),"争强好胜")</f>
        <v/>
      </c>
      <c r="K24" s="26">
        <f>F24</f>
        <v/>
      </c>
      <c r="L24" s="26" t="n"/>
      <c r="M24" s="26" t="n"/>
      <c r="N24" s="26" t="n"/>
      <c r="O24" s="26" t="n"/>
      <c r="P24" s="26" t="n"/>
      <c r="Q24" s="26" t="n"/>
      <c r="R24" s="26" t="n"/>
      <c r="S24" s="26" t="n"/>
      <c r="T24" s="26" t="n"/>
      <c r="U24" s="26" t="n"/>
      <c r="V24" s="26" t="n"/>
      <c r="W24" s="26" t="n"/>
      <c r="X24" s="26" t="n"/>
      <c r="Y24" s="26" t="n"/>
      <c r="Z24" s="26" t="n"/>
    </row>
    <row r="25">
      <c r="A25" s="26" t="inlineStr">
        <is>
          <t>CHARACTERISTIC_SPD-3</t>
        </is>
      </c>
      <c r="B25" s="26" t="inlineStr">
        <is>
          <t>Hates to lose</t>
        </is>
      </c>
      <c r="C25" s="26" t="inlineStr">
        <is>
          <t>負けず嫌い</t>
        </is>
      </c>
      <c r="D25" s="26" t="inlineStr">
        <is>
          <t>A horreur de perdre</t>
        </is>
      </c>
      <c r="E25" s="26" t="inlineStr">
        <is>
          <t>Hasst Niederlagen</t>
        </is>
      </c>
      <c r="F25" s="26" t="inlineStr">
        <is>
          <t>Odia perder</t>
        </is>
      </c>
      <c r="G25" s="26" t="inlineStr">
        <is>
          <t>Non sopporta perdere</t>
        </is>
      </c>
      <c r="H25" s="26" t="inlineStr">
        <is>
          <t>지기 싫어함</t>
        </is>
      </c>
      <c r="I25" s="26" t="inlineStr">
        <is>
          <t>不服輸</t>
        </is>
      </c>
      <c r="J25" s="26">
        <f>IFERROR(__xludf.DUMMYFUNCTION("GOOGLETRANSLATE(I25,""zh_HANT"",""zh_HANS"")"),"不服输")</f>
        <v/>
      </c>
      <c r="K25" s="26">
        <f>F25</f>
        <v/>
      </c>
      <c r="L25" s="26" t="n"/>
      <c r="M25" s="26" t="n"/>
      <c r="N25" s="26" t="n"/>
      <c r="O25" s="26" t="n"/>
      <c r="P25" s="26" t="n"/>
      <c r="Q25" s="26" t="n"/>
      <c r="R25" s="26" t="n"/>
      <c r="S25" s="26" t="n"/>
      <c r="T25" s="26" t="n"/>
      <c r="U25" s="26" t="n"/>
      <c r="V25" s="26" t="n"/>
      <c r="W25" s="26" t="n"/>
      <c r="X25" s="26" t="n"/>
      <c r="Y25" s="26" t="n"/>
      <c r="Z25" s="26" t="n"/>
    </row>
    <row r="26">
      <c r="A26" s="26" t="inlineStr">
        <is>
          <t>CHARACTERISTIC_SPD-4</t>
        </is>
      </c>
      <c r="B26" s="26" t="inlineStr">
        <is>
          <t>Somewhat stubborn</t>
        </is>
      </c>
      <c r="C26" s="26" t="inlineStr">
        <is>
          <t>ちょっぴり　強情</t>
        </is>
      </c>
      <c r="D26" s="26" t="inlineStr">
        <is>
          <t>Assez entêté</t>
        </is>
      </c>
      <c r="E26" s="26" t="inlineStr">
        <is>
          <t>Ist dickköpfig</t>
        </is>
      </c>
      <c r="F26" s="26" t="inlineStr">
        <is>
          <t>Un poco cabezota</t>
        </is>
      </c>
      <c r="G26" s="26" t="inlineStr">
        <is>
          <t>È un po' testardo</t>
        </is>
      </c>
      <c r="H26" s="26" t="inlineStr">
        <is>
          <t>조금 고집통이임</t>
        </is>
      </c>
      <c r="I26" s="26" t="inlineStr">
        <is>
          <t>有一點點固執</t>
        </is>
      </c>
      <c r="J26" s="26">
        <f>IFERROR(__xludf.DUMMYFUNCTION("GOOGLETRANSLATE(I26,""zh_HANT"",""zh_HANS"")"),"有一点点固执")</f>
        <v/>
      </c>
      <c r="K26" s="26" t="inlineStr">
        <is>
          <t>Es un poco cabeza dura.</t>
        </is>
      </c>
      <c r="L26" s="26" t="n"/>
      <c r="M26" s="26" t="n"/>
      <c r="N26" s="26" t="n"/>
      <c r="O26" s="26" t="n"/>
      <c r="P26" s="26" t="n"/>
      <c r="Q26" s="26" t="n"/>
      <c r="R26" s="26" t="n"/>
      <c r="S26" s="26" t="n"/>
      <c r="T26" s="26" t="n"/>
      <c r="U26" s="26" t="n"/>
      <c r="V26" s="26" t="n"/>
      <c r="W26" s="26" t="n"/>
      <c r="X26" s="26" t="n"/>
      <c r="Y26" s="26" t="n"/>
      <c r="Z26" s="26" t="n"/>
    </row>
    <row r="27">
      <c r="A27" s="26" t="inlineStr">
        <is>
          <t>CHARACTERISTIC_SPE-0</t>
        </is>
      </c>
      <c r="B27" s="26" t="inlineStr">
        <is>
          <t>Likes to run</t>
        </is>
      </c>
      <c r="C27" s="26" t="inlineStr">
        <is>
          <t>駆けっこが　好き</t>
        </is>
      </c>
      <c r="D27" s="26" t="inlineStr">
        <is>
          <t>Aime courir</t>
        </is>
      </c>
      <c r="E27" s="26" t="inlineStr">
        <is>
          <t>Liebt es zu rennen</t>
        </is>
      </c>
      <c r="F27" s="26" t="inlineStr">
        <is>
          <t>Le gusta correr</t>
        </is>
      </c>
      <c r="G27" s="26" t="inlineStr">
        <is>
          <t>Adora correre</t>
        </is>
      </c>
      <c r="H27" s="26" t="inlineStr">
        <is>
          <t>약간 우쭐쟁이임</t>
        </is>
      </c>
      <c r="I27" s="26" t="inlineStr">
        <is>
          <t>喜歡比誰跑得快</t>
        </is>
      </c>
      <c r="J27" s="26">
        <f>IFERROR(__xludf.DUMMYFUNCTION("GOOGLETRANSLATE(I27,""zh_HANT"",""zh_HANS"")"),"喜欢比谁跑得快")</f>
        <v/>
      </c>
      <c r="K27" s="26">
        <f>F27</f>
        <v/>
      </c>
      <c r="L27" s="26" t="n"/>
      <c r="M27" s="26" t="n"/>
      <c r="N27" s="26" t="n"/>
      <c r="O27" s="26" t="n"/>
      <c r="P27" s="26" t="n"/>
      <c r="Q27" s="26" t="n"/>
      <c r="R27" s="26" t="n"/>
      <c r="S27" s="26" t="n"/>
      <c r="T27" s="26" t="n"/>
      <c r="U27" s="26" t="n"/>
      <c r="V27" s="26" t="n"/>
      <c r="W27" s="26" t="n"/>
      <c r="X27" s="26" t="n"/>
      <c r="Y27" s="26" t="n"/>
      <c r="Z27" s="26" t="n"/>
    </row>
    <row r="28">
      <c r="A28" s="26" t="inlineStr">
        <is>
          <t>CHARACTERISTIC_SPE-1</t>
        </is>
      </c>
      <c r="B28" s="26" t="inlineStr">
        <is>
          <t>Alert to sounds</t>
        </is>
      </c>
      <c r="C28" s="26" t="inlineStr">
        <is>
          <t>物音に　敏感</t>
        </is>
      </c>
      <c r="D28" s="26" t="inlineStr">
        <is>
          <t>Attentif aux sons</t>
        </is>
      </c>
      <c r="E28" s="26" t="inlineStr">
        <is>
          <t>Achtet auf Geräusche</t>
        </is>
      </c>
      <c r="F28" s="26" t="inlineStr">
        <is>
          <t>Siempre tiene el oído alerta</t>
        </is>
      </c>
      <c r="G28" s="26" t="inlineStr">
        <is>
          <t>Fa attenzione ai suoni</t>
        </is>
      </c>
      <c r="H28" s="26" t="inlineStr">
        <is>
          <t>주위 소리에 민감함</t>
        </is>
      </c>
      <c r="I28" s="26" t="inlineStr">
        <is>
          <t>對聲音敏感</t>
        </is>
      </c>
      <c r="J28" s="26">
        <f>IFERROR(__xludf.DUMMYFUNCTION("GOOGLETRANSLATE(I28,""zh_HANT"",""zh_HANS"")"),"对声音敏感")</f>
        <v/>
      </c>
      <c r="K28" s="26">
        <f>F28</f>
        <v/>
      </c>
      <c r="L28" s="26" t="n"/>
      <c r="M28" s="26" t="n"/>
      <c r="N28" s="26" t="n"/>
      <c r="O28" s="26" t="n"/>
      <c r="P28" s="26" t="n"/>
      <c r="Q28" s="26" t="n"/>
      <c r="R28" s="26" t="n"/>
      <c r="S28" s="26" t="n"/>
      <c r="T28" s="26" t="n"/>
      <c r="U28" s="26" t="n"/>
      <c r="V28" s="26" t="n"/>
      <c r="W28" s="26" t="n"/>
      <c r="X28" s="26" t="n"/>
      <c r="Y28" s="26" t="n"/>
      <c r="Z28" s="26" t="n"/>
    </row>
    <row r="29">
      <c r="A29" s="26" t="inlineStr">
        <is>
          <t>CHARACTERISTIC_SPE-2</t>
        </is>
      </c>
      <c r="B29" s="26" t="inlineStr">
        <is>
          <t>Impetuous and silly</t>
        </is>
      </c>
      <c r="C29" s="26" t="inlineStr">
        <is>
          <t>おっちょこちょい</t>
        </is>
      </c>
      <c r="D29" s="26" t="inlineStr">
        <is>
          <t>Bête et impulsif</t>
        </is>
      </c>
      <c r="E29" s="26" t="inlineStr">
        <is>
          <t>Ist ungestüm und einfältig</t>
        </is>
      </c>
      <c r="F29" s="26" t="inlineStr">
        <is>
          <t>Impetuoso y bobo</t>
        </is>
      </c>
      <c r="G29" s="26" t="inlineStr">
        <is>
          <t>È irruente e semplice</t>
        </is>
      </c>
      <c r="H29" s="26" t="inlineStr">
        <is>
          <t>촐랑대는 성격임</t>
        </is>
      </c>
      <c r="I29" s="26" t="inlineStr">
        <is>
          <t>冒冒失失</t>
        </is>
      </c>
      <c r="J29" s="26">
        <f>I29</f>
        <v/>
      </c>
      <c r="K29" s="26">
        <f>F29</f>
        <v/>
      </c>
      <c r="L29" s="26" t="n"/>
      <c r="M29" s="26" t="n"/>
      <c r="N29" s="26" t="n"/>
      <c r="O29" s="26" t="n"/>
      <c r="P29" s="26" t="n"/>
      <c r="Q29" s="26" t="n"/>
      <c r="R29" s="26" t="n"/>
      <c r="S29" s="26" t="n"/>
      <c r="T29" s="26" t="n"/>
      <c r="U29" s="26" t="n"/>
      <c r="V29" s="26" t="n"/>
      <c r="W29" s="26" t="n"/>
      <c r="X29" s="26" t="n"/>
      <c r="Y29" s="26" t="n"/>
      <c r="Z29" s="26" t="n"/>
    </row>
    <row r="30">
      <c r="A30" s="26" t="inlineStr">
        <is>
          <t>CHARACTERISTIC_SPE-3</t>
        </is>
      </c>
      <c r="B30" s="26" t="inlineStr">
        <is>
          <t>Somewhat of a clown</t>
        </is>
      </c>
      <c r="C30" s="26" t="inlineStr">
        <is>
          <t>すこし　おっ調子者</t>
        </is>
      </c>
      <c r="D30" s="26" t="inlineStr">
        <is>
          <t>Aime faire le pitre</t>
        </is>
      </c>
      <c r="E30" s="26" t="inlineStr">
        <is>
          <t>Ist ein bisschen albern</t>
        </is>
      </c>
      <c r="F30" s="26" t="inlineStr">
        <is>
          <t>Es un poco payaso</t>
        </is>
      </c>
      <c r="G30" s="26" t="inlineStr">
        <is>
          <t>È una specie di buffone</t>
        </is>
      </c>
      <c r="H30" s="26" t="inlineStr">
        <is>
          <t>약간 우쭐쟁이임</t>
        </is>
      </c>
      <c r="I30" s="26" t="inlineStr">
        <is>
          <t>有點容易得意忘形</t>
        </is>
      </c>
      <c r="J30" s="26">
        <f>IFERROR(__xludf.DUMMYFUNCTION("GOOGLETRANSLATE(I30,""zh_HANT"",""zh_HANS"")"),"有点容易得意忘形")</f>
        <v/>
      </c>
      <c r="K30" s="26">
        <f>F30</f>
        <v/>
      </c>
      <c r="L30" s="26" t="n"/>
      <c r="M30" s="26" t="n"/>
      <c r="N30" s="26" t="n"/>
      <c r="O30" s="26" t="n"/>
      <c r="P30" s="26" t="n"/>
      <c r="Q30" s="26" t="n"/>
      <c r="R30" s="26" t="n"/>
      <c r="S30" s="26" t="n"/>
      <c r="T30" s="26" t="n"/>
      <c r="U30" s="26" t="n"/>
      <c r="V30" s="26" t="n"/>
      <c r="W30" s="26" t="n"/>
      <c r="X30" s="26" t="n"/>
      <c r="Y30" s="26" t="n"/>
      <c r="Z30" s="26" t="n"/>
    </row>
    <row r="31">
      <c r="A31" s="26" t="inlineStr">
        <is>
          <t>CHARACTERISTIC_SPE-4</t>
        </is>
      </c>
      <c r="B31" s="26" t="inlineStr">
        <is>
          <t>Quick to flee</t>
        </is>
      </c>
      <c r="C31" s="26" t="inlineStr">
        <is>
          <t>逃げるのが　はやい</t>
        </is>
      </c>
      <c r="D31" s="26" t="inlineStr">
        <is>
          <t>Fuit rapidement</t>
        </is>
      </c>
      <c r="E31" s="26" t="inlineStr">
        <is>
          <t>Flüchtet schnell</t>
        </is>
      </c>
      <c r="F31" s="26" t="inlineStr">
        <is>
          <t>Huye rápido</t>
        </is>
      </c>
      <c r="G31" s="26" t="inlineStr">
        <is>
          <t>Sa fuggire velocemente</t>
        </is>
      </c>
      <c r="H31" s="26" t="inlineStr">
        <is>
          <t>도망에는 선수임</t>
        </is>
      </c>
      <c r="I31" s="26" t="inlineStr">
        <is>
          <t>逃得快</t>
        </is>
      </c>
      <c r="J31" s="26">
        <f>I31</f>
        <v/>
      </c>
      <c r="K31" s="26">
        <f>F31</f>
        <v/>
      </c>
      <c r="L31" s="26" t="n"/>
      <c r="M31" s="26" t="n"/>
      <c r="N31" s="26" t="n"/>
      <c r="O31" s="26" t="n"/>
      <c r="P31" s="26" t="n"/>
      <c r="Q31" s="26" t="n"/>
      <c r="R31" s="26" t="n"/>
      <c r="S31" s="26" t="n"/>
      <c r="T31" s="26" t="n"/>
      <c r="U31" s="26" t="n"/>
      <c r="V31" s="26" t="n"/>
      <c r="W31" s="26" t="n"/>
      <c r="X31" s="26" t="n"/>
      <c r="Y31" s="26" t="n"/>
      <c r="Z31" s="26" t="n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0" summaryRight="0"/>
    <pageSetUpPr/>
  </sheetPr>
  <dimension ref="A1:Z671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C2" sqref="C2"/>
    </sheetView>
  </sheetViews>
  <sheetFormatPr baseColWidth="8" defaultColWidth="12.63" defaultRowHeight="15.75" customHeight="1"/>
  <cols>
    <col width="32.5" customWidth="1" style="31" min="1" max="1"/>
    <col width="17.88" customWidth="1" style="31" min="2" max="2"/>
    <col width="16.13" customWidth="1" style="31" min="3" max="3"/>
    <col width="17.5" customWidth="1" style="31" min="4" max="4"/>
    <col width="16.38" customWidth="1" style="31" min="5" max="5"/>
    <col width="16.63" customWidth="1" style="31" min="6" max="6"/>
    <col width="16.25" customWidth="1" style="31" min="7" max="7"/>
    <col width="14.63" customWidth="1" style="31" min="8" max="10"/>
  </cols>
  <sheetData>
    <row r="1">
      <c r="A1" s="2">
        <f>Pokemon!A1</f>
        <v/>
      </c>
      <c r="B1" s="2">
        <f>Pokemon!B1</f>
        <v/>
      </c>
      <c r="C1" s="2">
        <f>Pokemon!C1</f>
        <v/>
      </c>
      <c r="D1" s="2">
        <f>Pokemon!D1</f>
        <v/>
      </c>
      <c r="E1" s="2">
        <f>Pokemon!E1</f>
        <v/>
      </c>
      <c r="F1" s="2">
        <f>Pokemon!F1</f>
        <v/>
      </c>
      <c r="G1" s="2">
        <f>Pokemon!G1</f>
        <v/>
      </c>
      <c r="H1" s="2">
        <f>Pokemon!H1</f>
        <v/>
      </c>
      <c r="I1" s="2">
        <f>Pokemon!I1</f>
        <v/>
      </c>
      <c r="J1" s="2">
        <f>Pokemon!J1</f>
        <v/>
      </c>
      <c r="K1" s="2">
        <f>Pokemon!K1</f>
        <v/>
      </c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</row>
    <row r="2">
      <c r="A2" s="29">
        <f>CONCATENATE("NAME_ITEM_", SUBSTITUTE(UPPER(B2), " ", ""))</f>
        <v/>
      </c>
      <c r="B2" s="29" t="inlineStr">
        <is>
          <t>Potion</t>
        </is>
      </c>
      <c r="C2" s="29" t="inlineStr">
        <is>
          <t>キズぐすり</t>
        </is>
      </c>
      <c r="D2" s="29">
        <f>B2</f>
        <v/>
      </c>
      <c r="E2" s="29" t="inlineStr">
        <is>
          <t>Trank</t>
        </is>
      </c>
      <c r="F2" s="29" t="inlineStr">
        <is>
          <t>Poción</t>
        </is>
      </c>
      <c r="G2" s="29" t="inlineStr">
        <is>
          <t>Pozione</t>
        </is>
      </c>
      <c r="H2" s="29" t="inlineStr">
        <is>
          <t>상처약</t>
        </is>
      </c>
      <c r="I2" s="29" t="inlineStr">
        <is>
          <t>傷藥</t>
        </is>
      </c>
      <c r="J2" s="29">
        <f>IFERROR(__xludf.DUMMYFUNCTION("GOOGLETRANSLATE(I2,""zh_HANT"",""zh_HANS"")"),"伤药")</f>
        <v/>
      </c>
      <c r="K2" s="29">
        <f>F2</f>
        <v/>
      </c>
    </row>
    <row r="3">
      <c r="A3" s="29">
        <f>CONCATENATE("NAME_ITEM_", SUBSTITUTE(UPPER(B3), " ", ""))</f>
        <v/>
      </c>
      <c r="B3" s="29" t="inlineStr">
        <is>
          <t>Antidote</t>
        </is>
      </c>
      <c r="C3" s="29" t="inlineStr">
        <is>
          <t>どくけし</t>
        </is>
      </c>
      <c r="D3" s="29">
        <f>B3</f>
        <v/>
      </c>
      <c r="E3" s="29" t="inlineStr">
        <is>
          <t>Gegengift</t>
        </is>
      </c>
      <c r="F3" s="29" t="inlineStr">
        <is>
          <t>Antídoto</t>
        </is>
      </c>
      <c r="G3" s="29" t="inlineStr">
        <is>
          <t>Antidoto</t>
        </is>
      </c>
      <c r="H3" s="29" t="inlineStr">
        <is>
          <t>해독제</t>
        </is>
      </c>
      <c r="I3" s="29" t="inlineStr">
        <is>
          <t>解毒藥</t>
        </is>
      </c>
      <c r="J3" s="29">
        <f>IFERROR(__xludf.DUMMYFUNCTION("GOOGLETRANSLATE(I3,""zh_HANT"",""zh_HANS"")"),"解毒药")</f>
        <v/>
      </c>
      <c r="K3" s="29">
        <f>F3</f>
        <v/>
      </c>
    </row>
    <row r="4">
      <c r="A4" s="29">
        <f>CONCATENATE("NAME_ITEM_", SUBSTITUTE(UPPER(B4), " ", ""))</f>
        <v/>
      </c>
      <c r="B4" s="29" t="inlineStr">
        <is>
          <t>Burn Heal</t>
        </is>
      </c>
      <c r="C4" s="29" t="inlineStr">
        <is>
          <t>やけどなおし</t>
        </is>
      </c>
      <c r="D4" s="29" t="inlineStr">
        <is>
          <t>Anti-Brûle</t>
        </is>
      </c>
      <c r="E4" s="29" t="inlineStr">
        <is>
          <t>Feuerheiler</t>
        </is>
      </c>
      <c r="F4" s="29" t="inlineStr">
        <is>
          <t>Antiquemar</t>
        </is>
      </c>
      <c r="G4" s="29" t="inlineStr">
        <is>
          <t>Antiscottatura</t>
        </is>
      </c>
      <c r="H4" s="29" t="inlineStr">
        <is>
          <t>화상치료제</t>
        </is>
      </c>
      <c r="I4" s="29" t="inlineStr">
        <is>
          <t>灼傷藥</t>
        </is>
      </c>
      <c r="J4" s="29">
        <f>IFERROR(__xludf.DUMMYFUNCTION("GOOGLETRANSLATE(I4,""zh_HANT"",""zh_HANS"")"),"灼伤药")</f>
        <v/>
      </c>
      <c r="K4" s="29">
        <f>F4</f>
        <v/>
      </c>
    </row>
    <row r="5">
      <c r="A5" s="29">
        <f>CONCATENATE("NAME_ITEM_", SUBSTITUTE(UPPER(B5), " ", ""))</f>
        <v/>
      </c>
      <c r="B5" s="29" t="inlineStr">
        <is>
          <t>Ice Heal</t>
        </is>
      </c>
      <c r="C5" s="29" t="inlineStr">
        <is>
          <t>こおりなおし</t>
        </is>
      </c>
      <c r="D5" s="29" t="inlineStr">
        <is>
          <t>Anti-Gel</t>
        </is>
      </c>
      <c r="E5" s="29" t="inlineStr">
        <is>
          <t>Eisheiler</t>
        </is>
      </c>
      <c r="F5" s="29" t="inlineStr">
        <is>
          <t>Antihielo</t>
        </is>
      </c>
      <c r="G5" s="29" t="inlineStr">
        <is>
          <t>Antigelo</t>
        </is>
      </c>
      <c r="H5" s="29" t="inlineStr">
        <is>
          <t>얼음상태치료제</t>
        </is>
      </c>
      <c r="I5" s="29" t="inlineStr">
        <is>
          <t>解凍藥</t>
        </is>
      </c>
      <c r="J5" s="29">
        <f>IFERROR(__xludf.DUMMYFUNCTION("GOOGLETRANSLATE(I5,""zh_HANT"",""zh_HANS"")"),"解冻药")</f>
        <v/>
      </c>
      <c r="K5" s="29">
        <f>F5</f>
        <v/>
      </c>
    </row>
    <row r="6">
      <c r="A6" s="29">
        <f>CONCATENATE("NAME_ITEM_", SUBSTITUTE(UPPER(B6), " ", ""))</f>
        <v/>
      </c>
      <c r="B6" s="29" t="inlineStr">
        <is>
          <t>Awakening</t>
        </is>
      </c>
      <c r="C6" s="29" t="inlineStr">
        <is>
          <t>ねむけざまし</t>
        </is>
      </c>
      <c r="D6" s="29" t="inlineStr">
        <is>
          <t>Réveil</t>
        </is>
      </c>
      <c r="E6" s="29" t="inlineStr">
        <is>
          <t>Aufwecker</t>
        </is>
      </c>
      <c r="F6" s="29" t="inlineStr">
        <is>
          <t>Despertar</t>
        </is>
      </c>
      <c r="G6" s="29" t="inlineStr">
        <is>
          <t>Sveglia</t>
        </is>
      </c>
      <c r="H6" s="29" t="inlineStr">
        <is>
          <t>잠깨는약</t>
        </is>
      </c>
      <c r="I6" s="29" t="inlineStr">
        <is>
          <t>解眠藥</t>
        </is>
      </c>
      <c r="J6" s="29">
        <f>IFERROR(__xludf.DUMMYFUNCTION("GOOGLETRANSLATE(I6,""zh_HANT"",""zh_HANS"")"),"解眠药")</f>
        <v/>
      </c>
      <c r="K6" s="29">
        <f>F6</f>
        <v/>
      </c>
    </row>
    <row r="7">
      <c r="A7" s="29">
        <f>CONCATENATE("NAME_ITEM_", SUBSTITUTE(UPPER(B7), " ", ""))</f>
        <v/>
      </c>
      <c r="B7" s="29" t="inlineStr">
        <is>
          <t>Paralyze Heal</t>
        </is>
      </c>
      <c r="C7" s="29" t="inlineStr">
        <is>
          <t>まひなおし</t>
        </is>
      </c>
      <c r="D7" s="29" t="inlineStr">
        <is>
          <t>Anti-Para</t>
        </is>
      </c>
      <c r="E7" s="29" t="inlineStr">
        <is>
          <t>Para-Heiler</t>
        </is>
      </c>
      <c r="F7" s="29" t="inlineStr">
        <is>
          <t>Antiparalizador</t>
        </is>
      </c>
      <c r="G7" s="29" t="inlineStr">
        <is>
          <t>Antiparalisi</t>
        </is>
      </c>
      <c r="H7" s="29" t="inlineStr">
        <is>
          <t>마비치료제</t>
        </is>
      </c>
      <c r="I7" s="29" t="inlineStr">
        <is>
          <t>解麻藥</t>
        </is>
      </c>
      <c r="J7" s="29">
        <f>IFERROR(__xludf.DUMMYFUNCTION("GOOGLETRANSLATE(I7,""zh_HANT"",""zh_HANS"")"),"解麻药")</f>
        <v/>
      </c>
      <c r="K7" s="29">
        <f>F7</f>
        <v/>
      </c>
    </row>
    <row r="8">
      <c r="A8" s="29">
        <f>CONCATENATE("NAME_ITEM_", SUBSTITUTE(UPPER(B8), " ", ""))</f>
        <v/>
      </c>
      <c r="B8" s="29" t="inlineStr">
        <is>
          <t>Full Restore</t>
        </is>
      </c>
      <c r="C8" s="29" t="inlineStr">
        <is>
          <t>かいふくのくすり</t>
        </is>
      </c>
      <c r="D8" s="29" t="inlineStr">
        <is>
          <t>Guérison</t>
        </is>
      </c>
      <c r="E8" s="29" t="inlineStr">
        <is>
          <t>Top-Genesung</t>
        </is>
      </c>
      <c r="F8" s="29" t="inlineStr">
        <is>
          <t>Restaurar Todo</t>
        </is>
      </c>
      <c r="G8" s="29" t="inlineStr">
        <is>
          <t>Ricarica totale</t>
        </is>
      </c>
      <c r="H8" s="29" t="inlineStr">
        <is>
          <t>회복약</t>
        </is>
      </c>
      <c r="I8" s="29" t="inlineStr">
        <is>
          <t>全復藥</t>
        </is>
      </c>
      <c r="J8" s="29">
        <f>IFERROR(__xludf.DUMMYFUNCTION("GOOGLETRANSLATE(I8,""zh_HANT"",""zh_HANS"")"),"全复药")</f>
        <v/>
      </c>
      <c r="K8" s="29">
        <f>F8</f>
        <v/>
      </c>
    </row>
    <row r="9">
      <c r="A9" s="29">
        <f>CONCATENATE("NAME_ITEM_", SUBSTITUTE(UPPER(B9), " ", ""))</f>
        <v/>
      </c>
      <c r="B9" s="29" t="inlineStr">
        <is>
          <t>Max Potion</t>
        </is>
      </c>
      <c r="C9" s="29" t="inlineStr">
        <is>
          <t>まんたんのくすり</t>
        </is>
      </c>
      <c r="D9" s="29" t="inlineStr">
        <is>
          <t>Potion Max</t>
        </is>
      </c>
      <c r="E9" s="29" t="inlineStr">
        <is>
          <t>Top-Trank</t>
        </is>
      </c>
      <c r="F9" s="29" t="inlineStr">
        <is>
          <t>Poción Máxima</t>
        </is>
      </c>
      <c r="G9" s="29">
        <f>CONCATENATE(G2," Max")</f>
        <v/>
      </c>
      <c r="H9" s="29" t="inlineStr">
        <is>
          <t>풀회복약</t>
        </is>
      </c>
      <c r="I9" s="29" t="inlineStr">
        <is>
          <t>全滿藥</t>
        </is>
      </c>
      <c r="J9" s="29">
        <f>IFERROR(__xludf.DUMMYFUNCTION("GOOGLETRANSLATE(I9,""zh_HANT"",""zh_HANS"")"),"全满药")</f>
        <v/>
      </c>
      <c r="K9" s="29">
        <f>F9</f>
        <v/>
      </c>
    </row>
    <row r="10">
      <c r="A10" s="29">
        <f>CONCATENATE("NAME_ITEM_", SUBSTITUTE(UPPER(B10), " ", ""))</f>
        <v/>
      </c>
      <c r="B10" s="29" t="inlineStr">
        <is>
          <t>Hyper Potion</t>
        </is>
      </c>
      <c r="C10" s="29">
        <f>CONCATENATE("すごい",C2)</f>
        <v/>
      </c>
      <c r="D10" s="29">
        <f>B10</f>
        <v/>
      </c>
      <c r="E10" s="29" t="inlineStr">
        <is>
          <t>Hypertrank</t>
        </is>
      </c>
      <c r="F10" s="29" t="inlineStr">
        <is>
          <t>Hiperpoción</t>
        </is>
      </c>
      <c r="G10" s="29" t="inlineStr">
        <is>
          <t>Iperpozione</t>
        </is>
      </c>
      <c r="H10" s="29" t="inlineStr">
        <is>
          <t>고급상처약</t>
        </is>
      </c>
      <c r="I10" s="29" t="inlineStr">
        <is>
          <t>厲害傷藥</t>
        </is>
      </c>
      <c r="J10" s="29">
        <f>IFERROR(__xludf.DUMMYFUNCTION("GOOGLETRANSLATE(I10,""zh_HANT"",""zh_HANS"")"),"厉害伤药")</f>
        <v/>
      </c>
      <c r="K10" s="29">
        <f>F10</f>
        <v/>
      </c>
    </row>
    <row r="11">
      <c r="A11" s="29">
        <f>CONCATENATE("NAME_ITEM_", SUBSTITUTE(UPPER(B11), " ", ""))</f>
        <v/>
      </c>
      <c r="B11" s="29" t="inlineStr">
        <is>
          <t>Super Potion</t>
        </is>
      </c>
      <c r="C11" s="29">
        <f>CONCATENATE("いい",C2)</f>
        <v/>
      </c>
      <c r="D11" s="29">
        <f>B11</f>
        <v/>
      </c>
      <c r="E11" s="29" t="inlineStr">
        <is>
          <t>Supertrank</t>
        </is>
      </c>
      <c r="F11" s="29" t="inlineStr">
        <is>
          <t>Superpoción</t>
        </is>
      </c>
      <c r="G11" s="29" t="inlineStr">
        <is>
          <t>Superpozione</t>
        </is>
      </c>
      <c r="H11" s="29" t="inlineStr">
        <is>
          <t>좋은상처약</t>
        </is>
      </c>
      <c r="I11" s="29" t="inlineStr">
        <is>
          <t>好傷藥</t>
        </is>
      </c>
      <c r="J11" s="29">
        <f>IFERROR(__xludf.DUMMYFUNCTION("GOOGLETRANSLATE(I11,""zh_HANT"",""zh_HANS"")"),"好伤药")</f>
        <v/>
      </c>
      <c r="K11" s="29">
        <f>F11</f>
        <v/>
      </c>
    </row>
    <row r="12">
      <c r="A12" s="29">
        <f>CONCATENATE("NAME_ITEM_", SUBSTITUTE(UPPER(B12), " ", ""))</f>
        <v/>
      </c>
      <c r="B12" s="29" t="inlineStr">
        <is>
          <t>Full Heal</t>
        </is>
      </c>
      <c r="C12" s="29" t="inlineStr">
        <is>
          <t>なんでもなおし</t>
        </is>
      </c>
      <c r="D12" s="29" t="inlineStr">
        <is>
          <t>Total Soin</t>
        </is>
      </c>
      <c r="E12" s="29" t="inlineStr">
        <is>
          <t>Hyperheiler</t>
        </is>
      </c>
      <c r="F12" s="29" t="inlineStr">
        <is>
          <t>Cura Total</t>
        </is>
      </c>
      <c r="G12" s="29" t="inlineStr">
        <is>
          <t>Cura totale</t>
        </is>
      </c>
      <c r="H12" s="29" t="inlineStr">
        <is>
          <t>만병통치약</t>
        </is>
      </c>
      <c r="I12" s="29" t="inlineStr">
        <is>
          <t>萬靈藥</t>
        </is>
      </c>
      <c r="J12" s="29">
        <f>IFERROR(__xludf.DUMMYFUNCTION("GOOGLETRANSLATE(I12,""zh_HANT"",""zh_HANS"")"),"万灵药")</f>
        <v/>
      </c>
      <c r="K12" s="29">
        <f>F12</f>
        <v/>
      </c>
    </row>
    <row r="13">
      <c r="A13" s="29">
        <f>CONCATENATE("NAME_ITEM_", SUBSTITUTE(UPPER(B13), " ", ""))</f>
        <v/>
      </c>
      <c r="B13" s="29" t="inlineStr">
        <is>
          <t>Revive</t>
        </is>
      </c>
      <c r="C13" s="29" t="inlineStr">
        <is>
          <t>げんきのかけら</t>
        </is>
      </c>
      <c r="D13" s="29" t="inlineStr">
        <is>
          <t>Rappel</t>
        </is>
      </c>
      <c r="E13" s="29" t="inlineStr">
        <is>
          <t>Beleber</t>
        </is>
      </c>
      <c r="F13" s="29" t="inlineStr">
        <is>
          <t>Revivir</t>
        </is>
      </c>
      <c r="G13" s="29" t="inlineStr">
        <is>
          <t>Revitalizzante</t>
        </is>
      </c>
      <c r="H13" s="29" t="inlineStr">
        <is>
          <t>기력의조각</t>
        </is>
      </c>
      <c r="I13" s="29" t="inlineStr">
        <is>
          <t>活力碎片</t>
        </is>
      </c>
      <c r="J13" s="29">
        <f>I13</f>
        <v/>
      </c>
      <c r="K13" s="29">
        <f>F13</f>
        <v/>
      </c>
    </row>
    <row r="14">
      <c r="A14" s="29">
        <f>CONCATENATE("NAME_ITEM_", SUBSTITUTE(UPPER(B14), " ", ""))</f>
        <v/>
      </c>
      <c r="B14" s="29" t="inlineStr">
        <is>
          <t>Max Revive</t>
        </is>
      </c>
      <c r="C14" s="29" t="inlineStr">
        <is>
          <t>げんきのかたまり</t>
        </is>
      </c>
      <c r="D14" s="29" t="inlineStr">
        <is>
          <t>Rappel Max</t>
        </is>
      </c>
      <c r="E14" s="29">
        <f>CONCATENATE("Top-",E13)</f>
        <v/>
      </c>
      <c r="F14" s="29" t="inlineStr">
        <is>
          <t>Revivir Máximo</t>
        </is>
      </c>
      <c r="G14" s="29" t="inlineStr">
        <is>
          <t>Revitalizz. Max</t>
        </is>
      </c>
      <c r="H14" s="29" t="inlineStr">
        <is>
          <t>기력의덩어리</t>
        </is>
      </c>
      <c r="I14" s="29" t="inlineStr">
        <is>
          <t>活力塊</t>
        </is>
      </c>
      <c r="J14" s="29">
        <f>IFERROR(__xludf.DUMMYFUNCTION("GOOGLETRANSLATE(I14,""zh_HANT"",""zh_HANS"")"),"活力块")</f>
        <v/>
      </c>
      <c r="K14" s="29">
        <f>F14</f>
        <v/>
      </c>
    </row>
    <row r="15">
      <c r="A15" s="29">
        <f>CONCATENATE("NAME_ITEM_", SUBSTITUTE(UPPER(B15), " ", ""))</f>
        <v/>
      </c>
      <c r="B15" s="29" t="inlineStr">
        <is>
          <t>Fresh Water</t>
        </is>
      </c>
      <c r="C15" s="29" t="inlineStr">
        <is>
          <t>おいしみず</t>
        </is>
      </c>
      <c r="D15" s="29" t="inlineStr">
        <is>
          <t>Eau Fraiche</t>
        </is>
      </c>
      <c r="E15" s="29" t="inlineStr">
        <is>
          <t>Tafelwasser</t>
        </is>
      </c>
      <c r="F15" s="29" t="inlineStr">
        <is>
          <t>Agua Fresca</t>
        </is>
      </c>
      <c r="G15" s="29" t="inlineStr">
        <is>
          <t>Acqua Fresca</t>
        </is>
      </c>
      <c r="H15" s="29" t="inlineStr">
        <is>
          <t>맛있는물</t>
        </is>
      </c>
      <c r="I15" s="29" t="inlineStr">
        <is>
          <t>美味之水</t>
        </is>
      </c>
      <c r="J15" s="29">
        <f>I15</f>
        <v/>
      </c>
      <c r="K15" s="29">
        <f>F15</f>
        <v/>
      </c>
    </row>
    <row r="16">
      <c r="A16" s="29">
        <f>CONCATENATE("NAME_ITEM_", SUBSTITUTE(UPPER(B16), " ", ""))</f>
        <v/>
      </c>
      <c r="B16" s="29" t="inlineStr">
        <is>
          <t>Soda Pop</t>
        </is>
      </c>
      <c r="C16" s="29" t="inlineStr">
        <is>
          <t>サイコソーダ</t>
        </is>
      </c>
      <c r="D16" s="29" t="inlineStr">
        <is>
          <t>Soda Cool</t>
        </is>
      </c>
      <c r="E16" s="29" t="inlineStr">
        <is>
          <t>Sprudel</t>
        </is>
      </c>
      <c r="F16" s="29" t="inlineStr">
        <is>
          <t>Refresco</t>
        </is>
      </c>
      <c r="G16" s="29" t="inlineStr">
        <is>
          <t>Gassora</t>
        </is>
      </c>
      <c r="H16" s="29" t="inlineStr">
        <is>
          <t>미네랄사이다</t>
        </is>
      </c>
      <c r="I16" s="29" t="inlineStr">
        <is>
          <t>勁爽汽水</t>
        </is>
      </c>
      <c r="J16" s="29">
        <f>IFERROR(__xludf.DUMMYFUNCTION("GOOGLETRANSLATE(I16,""zh_HANT"",""zh_HANS"")"),"劲爽汽水")</f>
        <v/>
      </c>
      <c r="K16" s="29">
        <f>F16</f>
        <v/>
      </c>
    </row>
    <row r="17">
      <c r="A17" s="29">
        <f>CONCATENATE("NAME_ITEM_", SUBSTITUTE(UPPER(B17), " ", ""))</f>
        <v/>
      </c>
      <c r="B17" s="29" t="inlineStr">
        <is>
          <t>Lemonade</t>
        </is>
      </c>
      <c r="C17" s="29" t="inlineStr">
        <is>
          <t>ミックスオレ</t>
        </is>
      </c>
      <c r="D17" s="29" t="inlineStr">
        <is>
          <t>Limonade</t>
        </is>
      </c>
      <c r="E17" s="29">
        <f>D17</f>
        <v/>
      </c>
      <c r="F17" s="29" t="inlineStr">
        <is>
          <t>Limonada</t>
        </is>
      </c>
      <c r="G17" s="29" t="inlineStr">
        <is>
          <t>Lemonsucco</t>
        </is>
      </c>
      <c r="H17" s="29" t="inlineStr">
        <is>
          <t>후르츠밀크</t>
        </is>
      </c>
      <c r="I17" s="29" t="inlineStr">
        <is>
          <t>果汁牛奶</t>
        </is>
      </c>
      <c r="J17" s="29">
        <f>I17</f>
        <v/>
      </c>
      <c r="K17" s="29">
        <f>F17</f>
        <v/>
      </c>
    </row>
    <row r="18">
      <c r="A18" s="29">
        <f>CONCATENATE("NAME_ITEM_", SUBSTITUTE(UPPER(B18), " ", ""))</f>
        <v/>
      </c>
      <c r="B18" s="29" t="inlineStr">
        <is>
          <t>Ether</t>
        </is>
      </c>
      <c r="C18" s="29" t="inlineStr">
        <is>
          <t>ピーピーエイド</t>
        </is>
      </c>
      <c r="D18" s="29" t="inlineStr">
        <is>
          <t>Huile</t>
        </is>
      </c>
      <c r="E18" s="29" t="inlineStr">
        <is>
          <t>Äther</t>
        </is>
      </c>
      <c r="F18" s="29" t="inlineStr">
        <is>
          <t>Éter</t>
        </is>
      </c>
      <c r="G18" s="29" t="inlineStr">
        <is>
          <t>Etere</t>
        </is>
      </c>
      <c r="H18" s="29" t="inlineStr">
        <is>
          <t>ＰＰ에이드</t>
        </is>
      </c>
      <c r="I18" s="29" t="inlineStr">
        <is>
          <t>ＰＰ單項小補劑</t>
        </is>
      </c>
      <c r="J18" s="29">
        <f>IFERROR(__xludf.DUMMYFUNCTION("GOOGLETRANSLATE(I18,""zh_HANT"",""zh_HANS"")"),"ＰＰ单项小补剂")</f>
        <v/>
      </c>
      <c r="K18" s="29">
        <f>F18</f>
        <v/>
      </c>
    </row>
    <row r="19">
      <c r="A19" s="29">
        <f>CONCATENATE("NAME_ITEM_", SUBSTITUTE(UPPER(B19), " ", ""))</f>
        <v/>
      </c>
      <c r="B19" s="29" t="inlineStr">
        <is>
          <t>Max Ether</t>
        </is>
      </c>
      <c r="C19" s="29" t="inlineStr">
        <is>
          <t>ピーピーリカバー</t>
        </is>
      </c>
      <c r="D19" s="29" t="inlineStr">
        <is>
          <t>Huile Max</t>
        </is>
      </c>
      <c r="E19" s="29">
        <f>CONCATENATE("Top-",E18)</f>
        <v/>
      </c>
      <c r="F19" s="29" t="inlineStr">
        <is>
          <t>Éter Máximo</t>
        </is>
      </c>
      <c r="G19" s="29">
        <f>CONCATENATE(G18," Max")</f>
        <v/>
      </c>
      <c r="H19" s="29" t="inlineStr">
        <is>
          <t>ＰＰ회복</t>
        </is>
      </c>
      <c r="I19" s="29" t="inlineStr">
        <is>
          <t>ＰＰ單項全補劑</t>
        </is>
      </c>
      <c r="J19" s="29">
        <f>IFERROR(__xludf.DUMMYFUNCTION("GOOGLETRANSLATE(I19,""zh_HANT"",""zh_HANS"")"),"ＰＰ单项全补剂")</f>
        <v/>
      </c>
      <c r="K19" s="29">
        <f>F19</f>
        <v/>
      </c>
    </row>
    <row r="20">
      <c r="A20" s="29">
        <f>CONCATENATE("NAME_ITEM_", SUBSTITUTE(UPPER(B20), " ", ""))</f>
        <v/>
      </c>
      <c r="B20" s="29" t="inlineStr">
        <is>
          <t>Elixir</t>
        </is>
      </c>
      <c r="C20" s="29" t="inlineStr">
        <is>
          <t>ピーピーエイダー</t>
        </is>
      </c>
      <c r="D20" s="29" t="inlineStr">
        <is>
          <t>Élixir</t>
        </is>
      </c>
      <c r="E20" s="29" t="inlineStr">
        <is>
          <t>Elixier</t>
        </is>
      </c>
      <c r="F20" s="29" t="inlineStr">
        <is>
          <t>Elixir</t>
        </is>
      </c>
      <c r="G20" s="29" t="inlineStr">
        <is>
          <t>Elisir</t>
        </is>
      </c>
      <c r="H20" s="29" t="inlineStr">
        <is>
          <t>ＰＰ에이더</t>
        </is>
      </c>
      <c r="I20" s="29" t="inlineStr">
        <is>
          <t>ＰＰ多項小補劑</t>
        </is>
      </c>
      <c r="J20" s="29">
        <f>IFERROR(__xludf.DUMMYFUNCTION("GOOGLETRANSLATE(I20,""zh_HANT"",""zh_HANS"")"),"ＰＰ多项小补剂")</f>
        <v/>
      </c>
      <c r="K20" s="29">
        <f>F20</f>
        <v/>
      </c>
    </row>
    <row r="21">
      <c r="A21" s="29">
        <f>CONCATENATE("NAME_ITEM_", SUBSTITUTE(UPPER(B21), " ", ""))</f>
        <v/>
      </c>
      <c r="B21" s="29" t="inlineStr">
        <is>
          <t>Max Elixir</t>
        </is>
      </c>
      <c r="C21" s="29" t="inlineStr">
        <is>
          <t>ピーピーマックス</t>
        </is>
      </c>
      <c r="D21" s="29">
        <f>CONCATENATE(D20," Max")</f>
        <v/>
      </c>
      <c r="E21" s="29">
        <f>CONCATENATE("Top-",E20)</f>
        <v/>
      </c>
      <c r="F21" s="29" t="inlineStr">
        <is>
          <t>Elixir Máximo</t>
        </is>
      </c>
      <c r="G21" s="29">
        <f>CONCATENATE(G20," Max")</f>
        <v/>
      </c>
      <c r="H21" s="29" t="inlineStr">
        <is>
          <t>ＰＰ맥스</t>
        </is>
      </c>
      <c r="I21" s="29" t="inlineStr">
        <is>
          <t>ＰＰ多項全補劑</t>
        </is>
      </c>
      <c r="J21" s="29">
        <f>IFERROR(__xludf.DUMMYFUNCTION("GOOGLETRANSLATE(I21,""zh_HANT"",""zh_HANS"")"),"ＰＰ多项全补剂")</f>
        <v/>
      </c>
      <c r="K21" s="29">
        <f>F21</f>
        <v/>
      </c>
    </row>
    <row r="22">
      <c r="A22" s="29">
        <f>CONCATENATE("NAME_ITEM_", SUBSTITUTE(UPPER(B22), " ", ""))</f>
        <v/>
      </c>
      <c r="B22" s="29" t="inlineStr">
        <is>
          <t>HP Up</t>
        </is>
      </c>
      <c r="C22" s="29" t="inlineStr">
        <is>
          <t>マックスアップ</t>
        </is>
      </c>
      <c r="D22" s="29" t="inlineStr">
        <is>
          <t>PV Plus</t>
        </is>
      </c>
      <c r="E22" s="29" t="inlineStr">
        <is>
          <t>KP-Plus</t>
        </is>
      </c>
      <c r="F22" s="29" t="inlineStr">
        <is>
          <t>Más PS</t>
        </is>
      </c>
      <c r="G22" s="29" t="inlineStr">
        <is>
          <t>PS-Su</t>
        </is>
      </c>
      <c r="H22" s="29" t="inlineStr">
        <is>
          <t>맥스업</t>
        </is>
      </c>
      <c r="I22" s="29" t="inlineStr">
        <is>
          <t>ＨＰ增強劑</t>
        </is>
      </c>
      <c r="J22" s="29">
        <f>IFERROR(__xludf.DUMMYFUNCTION("GOOGLETRANSLATE(I22,""zh_HANT"",""zh_HANS"")"),"ＨＰ增强剂")</f>
        <v/>
      </c>
      <c r="K22" s="29">
        <f>F22</f>
        <v/>
      </c>
    </row>
    <row r="23">
      <c r="A23" s="29">
        <f>CONCATENATE("NAME_ITEM_", SUBSTITUTE(UPPER(B23), " ", ""))</f>
        <v/>
      </c>
      <c r="B23" s="29" t="inlineStr">
        <is>
          <t>Protein</t>
        </is>
      </c>
      <c r="C23" s="29" t="inlineStr">
        <is>
          <t>タウリン</t>
        </is>
      </c>
      <c r="D23" s="29" t="inlineStr">
        <is>
          <t>Protéine</t>
        </is>
      </c>
      <c r="E23" s="29">
        <f>B23</f>
        <v/>
      </c>
      <c r="F23" s="29" t="inlineStr">
        <is>
          <t>Proteína</t>
        </is>
      </c>
      <c r="G23" s="29" t="inlineStr">
        <is>
          <t>Proteina</t>
        </is>
      </c>
      <c r="H23" s="29" t="inlineStr">
        <is>
          <t>타우린</t>
        </is>
      </c>
      <c r="I23" s="29" t="inlineStr">
        <is>
          <t>攻擊增強劑</t>
        </is>
      </c>
      <c r="J23" s="29">
        <f>IFERROR(__xludf.DUMMYFUNCTION("GOOGLETRANSLATE(I23,""zh_HANT"",""zh_HANS"")"),"攻击增强剂")</f>
        <v/>
      </c>
      <c r="K23" s="29">
        <f>F23</f>
        <v/>
      </c>
    </row>
    <row r="24">
      <c r="A24" s="29">
        <f>CONCATENATE("NAME_ITEM_", SUBSTITUTE(UPPER(B24), " ", ""))</f>
        <v/>
      </c>
      <c r="B24" s="29" t="inlineStr">
        <is>
          <t>Iron</t>
        </is>
      </c>
      <c r="C24" s="29" t="inlineStr">
        <is>
          <t>ブロムヘキシン</t>
        </is>
      </c>
      <c r="D24" s="29" t="inlineStr">
        <is>
          <t>Fer</t>
        </is>
      </c>
      <c r="E24" s="29" t="inlineStr">
        <is>
          <t>Eisen</t>
        </is>
      </c>
      <c r="F24" s="29" t="inlineStr">
        <is>
          <t>Hierro</t>
        </is>
      </c>
      <c r="G24" s="29" t="inlineStr">
        <is>
          <t>Ferro</t>
        </is>
      </c>
      <c r="H24" s="29" t="inlineStr">
        <is>
          <t>사포닌</t>
        </is>
      </c>
      <c r="I24" s="29" t="inlineStr">
        <is>
          <t>防禦增強劑</t>
        </is>
      </c>
      <c r="J24" s="29">
        <f>IFERROR(__xludf.DUMMYFUNCTION("GOOGLETRANSLATE(I24,""zh_HANT"",""zh_HANS"")"),"防御增强剂")</f>
        <v/>
      </c>
      <c r="K24" s="29">
        <f>F24</f>
        <v/>
      </c>
    </row>
    <row r="25">
      <c r="A25" s="29">
        <f>CONCATENATE("NAME_ITEM_", SUBSTITUTE(UPPER(B25), " ", ""))</f>
        <v/>
      </c>
      <c r="B25" s="29" t="inlineStr">
        <is>
          <t>Carbos</t>
        </is>
      </c>
      <c r="C25" s="29" t="inlineStr">
        <is>
          <t>インドメタシン</t>
        </is>
      </c>
      <c r="D25" s="29">
        <f>CONCATENATE(E25,"e")</f>
        <v/>
      </c>
      <c r="E25" s="29" t="inlineStr">
        <is>
          <t>Carbon</t>
        </is>
      </c>
      <c r="F25" s="29" t="inlineStr">
        <is>
          <t>Carburante</t>
        </is>
      </c>
      <c r="G25" s="29">
        <f>F25</f>
        <v/>
      </c>
      <c r="H25" s="29" t="inlineStr">
        <is>
          <t>알칼로이드</t>
        </is>
      </c>
      <c r="I25" s="29" t="inlineStr">
        <is>
          <t>速度增強劑</t>
        </is>
      </c>
      <c r="J25" s="29">
        <f>IFERROR(__xludf.DUMMYFUNCTION("GOOGLETRANSLATE(I25,""zh_HANT"",""zh_HANS"")"),"速度增强剂")</f>
        <v/>
      </c>
      <c r="K25" s="29">
        <f>F25</f>
        <v/>
      </c>
    </row>
    <row r="26">
      <c r="A26" s="29">
        <f>CONCATENATE("NAME_ITEM_", SUBSTITUTE(UPPER(B26), " ", ""))</f>
        <v/>
      </c>
      <c r="B26" s="29" t="inlineStr">
        <is>
          <t>Calcium</t>
        </is>
      </c>
      <c r="C26" s="29" t="inlineStr">
        <is>
          <t>リゾチウム</t>
        </is>
      </c>
      <c r="D26" s="29">
        <f>B26</f>
        <v/>
      </c>
      <c r="E26" s="29" t="inlineStr">
        <is>
          <t>Kalzium</t>
        </is>
      </c>
      <c r="F26" s="29" t="inlineStr">
        <is>
          <t>Calcio</t>
        </is>
      </c>
      <c r="G26" s="29">
        <f>F26</f>
        <v/>
      </c>
      <c r="H26" s="29" t="inlineStr">
        <is>
          <t>리보플라빈</t>
        </is>
      </c>
      <c r="I26" s="29" t="inlineStr">
        <is>
          <t>特攻增強劑</t>
        </is>
      </c>
      <c r="J26" s="29">
        <f>IFERROR(__xludf.DUMMYFUNCTION("GOOGLETRANSLATE(I26,""zh_HANT"",""zh_HANS"")"),"特攻增强剂")</f>
        <v/>
      </c>
      <c r="K26" s="29">
        <f>F26</f>
        <v/>
      </c>
    </row>
    <row r="27">
      <c r="A27" s="29">
        <f>CONCATENATE("NAME_ITEM_", SUBSTITUTE(UPPER(B27), " ", ""))</f>
        <v/>
      </c>
      <c r="B27" s="29" t="inlineStr">
        <is>
          <t>Rare Candy</t>
        </is>
      </c>
      <c r="C27" s="29" t="inlineStr">
        <is>
          <t>ふしぎなアメ</t>
        </is>
      </c>
      <c r="D27" s="29" t="inlineStr">
        <is>
          <t>Super Bonbon</t>
        </is>
      </c>
      <c r="E27" s="29" t="inlineStr">
        <is>
          <t>Sonderbonbon</t>
        </is>
      </c>
      <c r="F27" s="29" t="inlineStr">
        <is>
          <t>Carameloraro</t>
        </is>
      </c>
      <c r="G27" s="29" t="inlineStr">
        <is>
          <t>Caramella roro</t>
        </is>
      </c>
      <c r="H27" s="29" t="inlineStr">
        <is>
          <t>이상한사탕</t>
        </is>
      </c>
      <c r="I27" s="29" t="inlineStr">
        <is>
          <t>神奇糖果</t>
        </is>
      </c>
      <c r="J27" s="29">
        <f>I27</f>
        <v/>
      </c>
      <c r="K27" s="29">
        <f>F27</f>
        <v/>
      </c>
    </row>
    <row r="28">
      <c r="A28" s="29">
        <f>CONCATENATE("NAME_ITEM_", SUBSTITUTE(UPPER(B28), " ", ""))</f>
        <v/>
      </c>
      <c r="B28" s="29" t="inlineStr">
        <is>
          <t>PP Up</t>
        </is>
      </c>
      <c r="C28" s="29" t="inlineStr">
        <is>
          <t>ポイントアップ</t>
        </is>
      </c>
      <c r="D28" s="29" t="inlineStr">
        <is>
          <t>PP Plus</t>
        </is>
      </c>
      <c r="E28" s="29" t="inlineStr">
        <is>
          <t>AP-Plus</t>
        </is>
      </c>
      <c r="F28" s="29" t="inlineStr">
        <is>
          <t>Más PP</t>
        </is>
      </c>
      <c r="G28" s="29" t="inlineStr">
        <is>
          <t>PP-Su</t>
        </is>
      </c>
      <c r="H28" s="29" t="inlineStr">
        <is>
          <t>포인트업</t>
        </is>
      </c>
      <c r="I28" s="29" t="inlineStr">
        <is>
          <t>ＰＰ提升劑</t>
        </is>
      </c>
      <c r="J28" s="29">
        <f>IFERROR(__xludf.DUMMYFUNCTION("GOOGLETRANSLATE(I28,""zh_HANT"",""zh_HANS"")"),"ＰＰ提升剂")</f>
        <v/>
      </c>
      <c r="K28" s="29">
        <f>F28</f>
        <v/>
      </c>
    </row>
    <row r="29">
      <c r="A29" s="29">
        <f>CONCATENATE("NAME_ITEM_", SUBSTITUTE(UPPER(B29), " ", ""))</f>
        <v/>
      </c>
      <c r="B29" s="29" t="inlineStr">
        <is>
          <t>Moomoo Milk</t>
        </is>
      </c>
      <c r="C29" s="29" t="inlineStr">
        <is>
          <t>モーモーミルク</t>
        </is>
      </c>
      <c r="D29" s="29" t="inlineStr">
        <is>
          <t>Lait Meumeu</t>
        </is>
      </c>
      <c r="E29" s="29" t="inlineStr">
        <is>
          <t>Kuhmuh-Milch</t>
        </is>
      </c>
      <c r="F29" s="29" t="inlineStr">
        <is>
          <t>Leche Mu-Mu</t>
        </is>
      </c>
      <c r="G29" s="29" t="inlineStr">
        <is>
          <t>Latte Mumu</t>
        </is>
      </c>
      <c r="H29" s="29" t="inlineStr">
        <is>
          <t>튼튼밀크</t>
        </is>
      </c>
      <c r="I29" s="29" t="inlineStr">
        <is>
          <t>哞哞鮮奶</t>
        </is>
      </c>
      <c r="J29" s="29">
        <f>IFERROR(__xludf.DUMMYFUNCTION("GOOGLETRANSLATE(I29,""zh_HANT"",""zh_HANS"")"),"哞哞鲜奶")</f>
        <v/>
      </c>
      <c r="K29" s="29">
        <f>F29</f>
        <v/>
      </c>
    </row>
    <row r="30">
      <c r="A30" s="29">
        <f>CONCATENATE("NAME_ITEM_", SUBSTITUTE(UPPER(B30), " ", ""))</f>
        <v/>
      </c>
      <c r="B30" s="29" t="inlineStr">
        <is>
          <t>Energy Powder</t>
        </is>
      </c>
      <c r="C30" s="29" t="inlineStr">
        <is>
          <t>ちからのこな</t>
        </is>
      </c>
      <c r="D30" s="29" t="inlineStr">
        <is>
          <t>Poudre Énergie</t>
        </is>
      </c>
      <c r="E30" s="29" t="inlineStr">
        <is>
          <t>Energiestaub</t>
        </is>
      </c>
      <c r="F30" s="29" t="inlineStr">
        <is>
          <t>Polvo Energía</t>
        </is>
      </c>
      <c r="G30" s="29" t="inlineStr">
        <is>
          <t>Polvenergia</t>
        </is>
      </c>
      <c r="H30" s="29" t="inlineStr">
        <is>
          <t>힘의가루</t>
        </is>
      </c>
      <c r="I30" s="29" t="inlineStr">
        <is>
          <t>元氣粉</t>
        </is>
      </c>
      <c r="J30" s="29">
        <f>IFERROR(__xludf.DUMMYFUNCTION("GOOGLETRANSLATE(I30,""zh_HANT"",""zh_HANS"")"),"元气粉")</f>
        <v/>
      </c>
      <c r="K30" s="29">
        <f>F30</f>
        <v/>
      </c>
    </row>
    <row r="31">
      <c r="A31" s="29">
        <f>CONCATENATE("NAME_ITEM_", SUBSTITUTE(UPPER(B31), " ", ""))</f>
        <v/>
      </c>
      <c r="B31" s="29" t="inlineStr">
        <is>
          <t>Energy Root</t>
        </is>
      </c>
      <c r="C31" s="29" t="inlineStr">
        <is>
          <t>ちからのねっこ</t>
        </is>
      </c>
      <c r="D31" s="29" t="inlineStr">
        <is>
          <t>Racine Énergie</t>
        </is>
      </c>
      <c r="E31" s="29" t="inlineStr">
        <is>
          <t>Kraftwurzel</t>
        </is>
      </c>
      <c r="F31" s="29" t="inlineStr">
        <is>
          <t>Raíz Energía</t>
        </is>
      </c>
      <c r="G31" s="29" t="inlineStr">
        <is>
          <t>Radicenergia</t>
        </is>
      </c>
      <c r="H31" s="29" t="inlineStr">
        <is>
          <t>힘의뿌리</t>
        </is>
      </c>
      <c r="I31" s="29" t="inlineStr">
        <is>
          <t>元氣根</t>
        </is>
      </c>
      <c r="J31" s="29">
        <f>IFERROR(__xludf.DUMMYFUNCTION("GOOGLETRANSLATE(I31,""zh_HANT"",""zh_HANS"")"),"元气根")</f>
        <v/>
      </c>
      <c r="K31" s="29">
        <f>F31</f>
        <v/>
      </c>
    </row>
    <row r="32">
      <c r="A32" s="29">
        <f>CONCATENATE("NAME_ITEM_", SUBSTITUTE(UPPER(B32), " ", ""))</f>
        <v/>
      </c>
      <c r="B32" s="29" t="inlineStr">
        <is>
          <t>Heal Powder</t>
        </is>
      </c>
      <c r="C32" s="29" t="inlineStr">
        <is>
          <t>ばんおうごな</t>
        </is>
      </c>
      <c r="D32" s="29" t="inlineStr">
        <is>
          <t>Poudre Soin</t>
        </is>
      </c>
      <c r="E32" s="29" t="inlineStr">
        <is>
          <t>Heilpuder</t>
        </is>
      </c>
      <c r="F32" s="29" t="inlineStr">
        <is>
          <t>Polvo Curación</t>
        </is>
      </c>
      <c r="G32" s="29" t="inlineStr">
        <is>
          <t>Polvocura</t>
        </is>
      </c>
      <c r="H32" s="29" t="inlineStr">
        <is>
          <t>만능가루</t>
        </is>
      </c>
      <c r="I32" s="29" t="inlineStr">
        <is>
          <t>萬能粉</t>
        </is>
      </c>
      <c r="J32" s="29">
        <f>IFERROR(__xludf.DUMMYFUNCTION("GOOGLETRANSLATE(I32,""zh_HANT"",""zh_HANS"")"),"万能粉")</f>
        <v/>
      </c>
      <c r="K32" s="29">
        <f>F32</f>
        <v/>
      </c>
    </row>
    <row r="33">
      <c r="A33" s="29">
        <f>CONCATENATE("NAME_ITEM_", SUBSTITUTE(UPPER(B33), " ", ""))</f>
        <v/>
      </c>
      <c r="B33" s="29" t="inlineStr">
        <is>
          <t>Revival Herb</t>
        </is>
      </c>
      <c r="C33" s="29" t="inlineStr">
        <is>
          <t>ふっかつそう</t>
        </is>
      </c>
      <c r="D33" s="29" t="inlineStr">
        <is>
          <t>Herbe Rappel</t>
        </is>
      </c>
      <c r="E33" s="29" t="inlineStr">
        <is>
          <t>Vitalkraut</t>
        </is>
      </c>
      <c r="F33" s="29" t="inlineStr">
        <is>
          <t>Hierba Revivir</t>
        </is>
      </c>
      <c r="G33" s="29" t="inlineStr">
        <is>
          <t>Vitalerba</t>
        </is>
      </c>
      <c r="H33" s="29" t="inlineStr">
        <is>
          <t>부활초</t>
        </is>
      </c>
      <c r="I33" s="29" t="inlineStr">
        <is>
          <t>復活草</t>
        </is>
      </c>
      <c r="J33" s="29">
        <f>IFERROR(__xludf.DUMMYFUNCTION("GOOGLETRANSLATE(I33,""zh_HANT"",""zh_HANS"")"),"复活草")</f>
        <v/>
      </c>
      <c r="K33" s="29">
        <f>F33</f>
        <v/>
      </c>
    </row>
    <row r="34">
      <c r="A34" s="29">
        <f>CONCATENATE("NAME_ITEM_", SUBSTITUTE(UPPER(B34), " ", ""))</f>
        <v/>
      </c>
      <c r="B34" s="29" t="inlineStr">
        <is>
          <t>Berry Juice</t>
        </is>
      </c>
      <c r="C34" s="29" t="inlineStr">
        <is>
          <t>きのみジュース</t>
        </is>
      </c>
      <c r="D34" s="29" t="inlineStr">
        <is>
          <t>Jus de Baie</t>
        </is>
      </c>
      <c r="E34" s="29" t="inlineStr">
        <is>
          <t>Beerensaft</t>
        </is>
      </c>
      <c r="F34" s="29" t="inlineStr">
        <is>
          <t>Jugo de Bayas</t>
        </is>
      </c>
      <c r="G34" s="29" t="inlineStr">
        <is>
          <t>Succodibacca</t>
        </is>
      </c>
      <c r="H34" s="29" t="inlineStr">
        <is>
          <t>나무열매쥬스</t>
        </is>
      </c>
      <c r="I34" s="29" t="inlineStr">
        <is>
          <t>樹果汁</t>
        </is>
      </c>
      <c r="J34" s="29">
        <f>IFERROR(__xludf.DUMMYFUNCTION("GOOGLETRANSLATE(I34,""zh_HANT"",""zh_HANS"")"),"树果汁")</f>
        <v/>
      </c>
      <c r="K34" s="29">
        <f>F34</f>
        <v/>
      </c>
    </row>
    <row r="35">
      <c r="A35" s="29">
        <f>CONCATENATE("NAME_ITEM_", SUBSTITUTE(UPPER(B35), " ", ""))</f>
        <v/>
      </c>
      <c r="B35" s="29" t="inlineStr">
        <is>
          <t>Sacred Ash</t>
        </is>
      </c>
      <c r="C35" s="29" t="inlineStr">
        <is>
          <t>せいなるはい</t>
        </is>
      </c>
      <c r="D35" s="29" t="inlineStr">
        <is>
          <t>Cendre Sacrée</t>
        </is>
      </c>
      <c r="E35" s="29" t="inlineStr">
        <is>
          <t>Zauberasche</t>
        </is>
      </c>
      <c r="F35" s="6" t="inlineStr">
        <is>
          <t>Ceniza Sagrada</t>
        </is>
      </c>
      <c r="G35" s="29" t="inlineStr">
        <is>
          <t>Ceneremagica</t>
        </is>
      </c>
      <c r="H35" s="29" t="inlineStr">
        <is>
          <t>성스러운분말</t>
        </is>
      </c>
      <c r="I35" s="29" t="inlineStr">
        <is>
          <t>聖灰</t>
        </is>
      </c>
      <c r="J35" s="29">
        <f>IFERROR(__xludf.DUMMYFUNCTION("GOOGLETRANSLATE(I35,""zh_HANT"",""zh_HANS"")"),"圣灰")</f>
        <v/>
      </c>
      <c r="K35" s="29">
        <f>F35</f>
        <v/>
      </c>
    </row>
    <row r="36">
      <c r="A36" s="29">
        <f>CONCATENATE("NAME_ITEM_", SUBSTITUTE(UPPER(B36), " ", ""))</f>
        <v/>
      </c>
      <c r="B36" s="29" t="inlineStr">
        <is>
          <t>Rage Candy Bar</t>
        </is>
      </c>
      <c r="C36" s="29" t="inlineStr">
        <is>
          <t>いかりまんじゅう</t>
        </is>
      </c>
      <c r="D36" s="29" t="inlineStr">
        <is>
          <t>Bonbon Rage</t>
        </is>
      </c>
      <c r="E36" s="29" t="inlineStr">
        <is>
          <t>Wutkeks</t>
        </is>
      </c>
      <c r="F36" s="29" t="inlineStr">
        <is>
          <t>Caramelo Furia</t>
        </is>
      </c>
      <c r="G36" s="29" t="inlineStr">
        <is>
          <t>Iramella</t>
        </is>
      </c>
      <c r="H36" s="29" t="inlineStr">
        <is>
          <t>분노의호두과자</t>
        </is>
      </c>
      <c r="I36" s="29" t="inlineStr">
        <is>
          <t>憤怒饅頭</t>
        </is>
      </c>
      <c r="J36" s="29">
        <f>IFERROR(__xludf.DUMMYFUNCTION("GOOGLETRANSLATE(I36,""zh_HANT"",""zh_HANS"")"),"愤怒馒头")</f>
        <v/>
      </c>
      <c r="K36" s="29">
        <f>F36</f>
        <v/>
      </c>
    </row>
    <row r="37">
      <c r="A37" s="29">
        <f>CONCATENATE("NAME_ITEM_", SUBSTITUTE(UPPER(B37), " ", ""))</f>
        <v/>
      </c>
      <c r="B37" s="29" t="inlineStr">
        <is>
          <t>Lava Cookie</t>
        </is>
      </c>
      <c r="C37" s="29" t="inlineStr">
        <is>
          <t>ふえんせんべい</t>
        </is>
      </c>
      <c r="D37" s="29">
        <f>B37</f>
        <v/>
      </c>
      <c r="E37" s="29" t="inlineStr">
        <is>
          <t>Lavakeks</t>
        </is>
      </c>
      <c r="F37" s="29" t="inlineStr">
        <is>
          <t>Galleta Lava</t>
        </is>
      </c>
      <c r="G37" s="29" t="inlineStr">
        <is>
          <t>Lavottino</t>
        </is>
      </c>
      <c r="H37" s="29" t="inlineStr">
        <is>
          <t>용암전병</t>
        </is>
      </c>
      <c r="I37" s="29" t="inlineStr">
        <is>
          <t>釜炎仙貝</t>
        </is>
      </c>
      <c r="J37" s="29">
        <f>IFERROR(__xludf.DUMMYFUNCTION("GOOGLETRANSLATE(I37,""zh_HANT"",""zh_HANS"")"),"釜炎仙贝")</f>
        <v/>
      </c>
      <c r="K37" s="29">
        <f>F37</f>
        <v/>
      </c>
    </row>
    <row r="38">
      <c r="A38" s="29">
        <f>CONCATENATE("NAME_ITEM_", SUBSTITUTE(UPPER(B38), " ", ""))</f>
        <v/>
      </c>
      <c r="B38" s="29" t="inlineStr">
        <is>
          <t>Zinc</t>
        </is>
      </c>
      <c r="C38" s="29" t="inlineStr">
        <is>
          <t>キトサン</t>
        </is>
      </c>
      <c r="D38" s="29" t="inlineStr">
        <is>
          <t>Zinc</t>
        </is>
      </c>
      <c r="E38" s="29" t="inlineStr">
        <is>
          <t>Zink</t>
        </is>
      </c>
      <c r="F38" s="29" t="inlineStr">
        <is>
          <t>Zinc</t>
        </is>
      </c>
      <c r="G38" s="29">
        <f>CONCATENATE(B38,"o")</f>
        <v/>
      </c>
      <c r="H38" s="29" t="inlineStr">
        <is>
          <t>키토산</t>
        </is>
      </c>
      <c r="I38" s="29" t="inlineStr">
        <is>
          <t>特防增強劑</t>
        </is>
      </c>
      <c r="J38" s="29">
        <f>IFERROR(__xludf.DUMMYFUNCTION("GOOGLETRANSLATE(I38,""zh_HANT"",""zh_HANS"")"),"特防增强剂")</f>
        <v/>
      </c>
      <c r="K38" s="29">
        <f>F38</f>
        <v/>
      </c>
    </row>
    <row r="39">
      <c r="A39" s="29">
        <f>CONCATENATE("NAME_ITEM_", SUBSTITUTE(UPPER(B39), " ", ""))</f>
        <v/>
      </c>
      <c r="B39" s="29" t="inlineStr">
        <is>
          <t>PP Max</t>
        </is>
      </c>
      <c r="C39" s="29" t="inlineStr">
        <is>
          <t>ポイントマックス</t>
        </is>
      </c>
      <c r="D39" s="29">
        <f>B39</f>
        <v/>
      </c>
      <c r="E39" s="29" t="inlineStr">
        <is>
          <t>AP-Top</t>
        </is>
      </c>
      <c r="F39" s="29" t="inlineStr">
        <is>
          <t>PP Máximos</t>
        </is>
      </c>
      <c r="G39" s="29" t="inlineStr">
        <is>
          <t>PP-Max</t>
        </is>
      </c>
      <c r="H39" s="29" t="inlineStr">
        <is>
          <t>포인트맥스</t>
        </is>
      </c>
      <c r="I39" s="29" t="inlineStr">
        <is>
          <t>ＰＰ極限提升劑</t>
        </is>
      </c>
      <c r="J39" s="29">
        <f>IFERROR(__xludf.DUMMYFUNCTION("GOOGLETRANSLATE(I39,""zh_HANT"",""zh_HANS"")"),"ＰＰ极限提升剂")</f>
        <v/>
      </c>
      <c r="K39" s="29">
        <f>F39</f>
        <v/>
      </c>
    </row>
    <row r="40">
      <c r="A40" s="29">
        <f>CONCATENATE("NAME_ITEM_", SUBSTITUTE(UPPER(B40), " ", ""))</f>
        <v/>
      </c>
      <c r="B40" s="29" t="inlineStr">
        <is>
          <t>Old Gateau</t>
        </is>
      </c>
      <c r="C40" s="29" t="inlineStr">
        <is>
          <t>もりのヨウカン</t>
        </is>
      </c>
      <c r="D40" s="29" t="inlineStr">
        <is>
          <t>Vieux Gâteau</t>
        </is>
      </c>
      <c r="E40" s="29" t="inlineStr">
        <is>
          <t>Spezialität</t>
        </is>
      </c>
      <c r="F40" s="29" t="inlineStr">
        <is>
          <t>Barrita Plus</t>
        </is>
      </c>
      <c r="G40" s="29" t="inlineStr">
        <is>
          <t>Dolce Gateau</t>
        </is>
      </c>
      <c r="H40" s="29" t="inlineStr">
        <is>
          <t>숲의양갱</t>
        </is>
      </c>
      <c r="I40" s="29" t="inlineStr">
        <is>
          <t>森之羊羹</t>
        </is>
      </c>
      <c r="J40" s="29">
        <f>I40</f>
        <v/>
      </c>
      <c r="K40" s="29">
        <f>F40</f>
        <v/>
      </c>
    </row>
    <row r="41">
      <c r="A41" s="29">
        <f>CONCATENATE("NAME_ITEM_", SUBSTITUTE(UPPER(B41), " ", ""))</f>
        <v/>
      </c>
      <c r="B41" s="29" t="inlineStr">
        <is>
          <t>Sweet Heart</t>
        </is>
      </c>
      <c r="C41" s="29" t="inlineStr">
        <is>
          <t>ハートスイーツ</t>
        </is>
      </c>
      <c r="D41" s="29" t="inlineStr">
        <is>
          <t>Chococœur</t>
        </is>
      </c>
      <c r="E41" s="29" t="inlineStr">
        <is>
          <t>Herzkonfekt</t>
        </is>
      </c>
      <c r="F41" s="29" t="inlineStr">
        <is>
          <t>Corazón Dulce</t>
        </is>
      </c>
      <c r="G41" s="29" t="inlineStr">
        <is>
          <t>Dolcecuore</t>
        </is>
      </c>
      <c r="H41" s="29" t="inlineStr">
        <is>
          <t>하트스위트</t>
        </is>
      </c>
      <c r="I41" s="29" t="inlineStr">
        <is>
          <t>心形甜點</t>
        </is>
      </c>
      <c r="J41" s="29">
        <f>IFERROR(__xludf.DUMMYFUNCTION("GOOGLETRANSLATE(I41,""zh_HANT"",""zh_HANS"")"),"心形甜点")</f>
        <v/>
      </c>
      <c r="K41" s="29">
        <f>F41</f>
        <v/>
      </c>
    </row>
    <row r="42">
      <c r="A42" s="29">
        <f>CONCATENATE("NAME_ITEM_", SUBSTITUTE(UPPER(B42), " ", ""))</f>
        <v/>
      </c>
      <c r="B42" s="29" t="inlineStr">
        <is>
          <t>Health Feather</t>
        </is>
      </c>
      <c r="C42" s="29" t="inlineStr">
        <is>
          <t>たいりょくのハネ</t>
        </is>
      </c>
      <c r="D42" s="29" t="inlineStr">
        <is>
          <t>Plume Santé</t>
        </is>
      </c>
      <c r="E42" s="29" t="inlineStr">
        <is>
          <t>Heilfeder</t>
        </is>
      </c>
      <c r="F42" s="29" t="inlineStr">
        <is>
          <t>Pluma Vigor</t>
        </is>
      </c>
      <c r="G42" s="29" t="inlineStr">
        <is>
          <t>Piumsalute</t>
        </is>
      </c>
      <c r="H42" s="29" t="inlineStr">
        <is>
          <t>체력날개</t>
        </is>
      </c>
      <c r="I42" s="29" t="inlineStr">
        <is>
          <t>體力之羽</t>
        </is>
      </c>
      <c r="J42" s="29">
        <f>IFERROR(__xludf.DUMMYFUNCTION("GOOGLETRANSLATE(I42,""zh_HANT"",""zh_HANS"")"),"体力之羽")</f>
        <v/>
      </c>
      <c r="K42" s="29">
        <f>F42</f>
        <v/>
      </c>
    </row>
    <row r="43">
      <c r="A43" s="29">
        <f>CONCATENATE("NAME_ITEM_", SUBSTITUTE(UPPER(B43), " ", ""))</f>
        <v/>
      </c>
      <c r="B43" s="29" t="inlineStr">
        <is>
          <t>Muscle Feather</t>
        </is>
      </c>
      <c r="C43" s="29" t="inlineStr">
        <is>
          <t>きんりょくのハネ</t>
        </is>
      </c>
      <c r="D43" s="29" t="inlineStr">
        <is>
          <t>Plume Force</t>
        </is>
      </c>
      <c r="E43" s="29" t="inlineStr">
        <is>
          <t>Kraftfeder</t>
        </is>
      </c>
      <c r="F43" s="29" t="inlineStr">
        <is>
          <t>Pluma Músculo</t>
        </is>
      </c>
      <c r="G43" s="29" t="inlineStr">
        <is>
          <t>Piumpotenza</t>
        </is>
      </c>
      <c r="H43" s="29" t="inlineStr">
        <is>
          <t>근력날개</t>
        </is>
      </c>
      <c r="I43" s="29" t="inlineStr">
        <is>
          <t>肌力之羽</t>
        </is>
      </c>
      <c r="J43" s="29">
        <f>I43</f>
        <v/>
      </c>
      <c r="K43" s="29">
        <f>F43</f>
        <v/>
      </c>
    </row>
    <row r="44">
      <c r="A44" s="29">
        <f>CONCATENATE("NAME_ITEM_", SUBSTITUTE(UPPER(B44), " ", ""))</f>
        <v/>
      </c>
      <c r="B44" s="29" t="inlineStr">
        <is>
          <t>Resist Feather</t>
        </is>
      </c>
      <c r="C44" s="29" t="inlineStr">
        <is>
          <t>ていこうのハネ</t>
        </is>
      </c>
      <c r="D44" s="29" t="inlineStr">
        <is>
          <t>Plume Armure</t>
        </is>
      </c>
      <c r="E44" s="29" t="inlineStr">
        <is>
          <t>Abwehrfeder</t>
        </is>
      </c>
      <c r="F44" s="29" t="inlineStr">
        <is>
          <t>Pluma Aguante</t>
        </is>
      </c>
      <c r="G44" s="29" t="inlineStr">
        <is>
          <t>Piumtutela</t>
        </is>
      </c>
      <c r="H44" s="29" t="inlineStr">
        <is>
          <t>저항력날개</t>
        </is>
      </c>
      <c r="I44" s="29" t="inlineStr">
        <is>
          <t>抵抗之羽</t>
        </is>
      </c>
      <c r="J44" s="29">
        <f>I44</f>
        <v/>
      </c>
      <c r="K44" s="29">
        <f>F44</f>
        <v/>
      </c>
    </row>
    <row r="45">
      <c r="A45" s="29">
        <f>CONCATENATE("NAME_ITEM_", SUBSTITUTE(UPPER(B45), " ", ""))</f>
        <v/>
      </c>
      <c r="B45" s="29" t="inlineStr">
        <is>
          <t>Genius Feather</t>
        </is>
      </c>
      <c r="C45" s="29" t="inlineStr">
        <is>
          <t>ちりょくのハネ</t>
        </is>
      </c>
      <c r="D45" s="29" t="inlineStr">
        <is>
          <t>Plume Esprit</t>
        </is>
      </c>
      <c r="E45" s="29" t="inlineStr">
        <is>
          <t>Geniefeder</t>
        </is>
      </c>
      <c r="F45" s="29" t="inlineStr">
        <is>
          <t>Pluma Intelecto</t>
        </is>
      </c>
      <c r="G45" s="29" t="inlineStr">
        <is>
          <t>Piumingegno</t>
        </is>
      </c>
      <c r="H45" s="29" t="inlineStr">
        <is>
          <t>지력날개</t>
        </is>
      </c>
      <c r="I45" s="29" t="inlineStr">
        <is>
          <t>智力之羽</t>
        </is>
      </c>
      <c r="J45" s="29">
        <f>I45</f>
        <v/>
      </c>
      <c r="K45" s="29">
        <f>F45</f>
        <v/>
      </c>
    </row>
    <row r="46">
      <c r="A46" s="29">
        <f>CONCATENATE("NAME_ITEM_", SUBSTITUTE(UPPER(B46), " ", ""))</f>
        <v/>
      </c>
      <c r="B46" s="29" t="inlineStr">
        <is>
          <t>Clever Feather</t>
        </is>
      </c>
      <c r="C46" s="29" t="inlineStr">
        <is>
          <t>せいしんのハネ</t>
        </is>
      </c>
      <c r="D46" s="29" t="inlineStr">
        <is>
          <t>Plume Mental</t>
        </is>
      </c>
      <c r="E46" s="29" t="inlineStr">
        <is>
          <t>Espritfeder</t>
        </is>
      </c>
      <c r="F46" s="29" t="inlineStr">
        <is>
          <t>Pluma Mente</t>
        </is>
      </c>
      <c r="G46" s="29" t="inlineStr">
        <is>
          <t>Piumintuito</t>
        </is>
      </c>
      <c r="H46" s="29" t="inlineStr">
        <is>
          <t>정신력날개</t>
        </is>
      </c>
      <c r="I46" s="29" t="inlineStr">
        <is>
          <t>精神之羽</t>
        </is>
      </c>
      <c r="J46" s="29">
        <f>I46</f>
        <v/>
      </c>
      <c r="K46" s="29">
        <f>F46</f>
        <v/>
      </c>
    </row>
    <row r="47">
      <c r="A47" s="29">
        <f>CONCATENATE("NAME_ITEM_", SUBSTITUTE(UPPER(B47), " ", ""))</f>
        <v/>
      </c>
      <c r="B47" s="29" t="inlineStr">
        <is>
          <t>Swift Feather</t>
        </is>
      </c>
      <c r="C47" s="29" t="inlineStr">
        <is>
          <t>しゅんぱつのハネ</t>
        </is>
      </c>
      <c r="D47" s="29" t="inlineStr">
        <is>
          <t>Plume Sprint</t>
        </is>
      </c>
      <c r="E47" s="29" t="inlineStr">
        <is>
          <t>Flinkfeder</t>
        </is>
      </c>
      <c r="F47" s="29" t="inlineStr">
        <is>
          <t>Pluma Impetu</t>
        </is>
      </c>
      <c r="G47" s="29" t="inlineStr">
        <is>
          <t>Piumreazione</t>
        </is>
      </c>
      <c r="H47" s="29" t="inlineStr">
        <is>
          <t>순발력날개</t>
        </is>
      </c>
      <c r="I47" s="29" t="inlineStr">
        <is>
          <t>瞬發之羽</t>
        </is>
      </c>
      <c r="J47" s="29">
        <f>IFERROR(__xludf.DUMMYFUNCTION("GOOGLETRANSLATE(I47,""zh_HANT"",""zh_HANS"")"),"瞬发之羽")</f>
        <v/>
      </c>
      <c r="K47" s="29">
        <f>F47</f>
        <v/>
      </c>
    </row>
    <row r="48">
      <c r="A48" s="29">
        <f>CONCATENATE("NAME_ITEM_", SUBSTITUTE(UPPER(B48), " ", ""))</f>
        <v/>
      </c>
      <c r="B48" s="29" t="inlineStr">
        <is>
          <t>Casteliacone</t>
        </is>
      </c>
      <c r="C48" s="29" t="inlineStr">
        <is>
          <t>ヒウンアイス</t>
        </is>
      </c>
      <c r="D48" s="29" t="inlineStr">
        <is>
          <t>Glace Volute</t>
        </is>
      </c>
      <c r="E48" s="29" t="inlineStr">
        <is>
          <t>Stratos-Eis</t>
        </is>
      </c>
      <c r="F48" s="29" t="inlineStr">
        <is>
          <t>Porcehelado</t>
        </is>
      </c>
      <c r="G48" s="29" t="inlineStr">
        <is>
          <t>Conostropoli</t>
        </is>
      </c>
      <c r="H48" s="29" t="inlineStr">
        <is>
          <t>구름아이스</t>
        </is>
      </c>
      <c r="I48" s="29" t="inlineStr">
        <is>
          <t>飛雲冰淇淋</t>
        </is>
      </c>
      <c r="J48" s="29">
        <f>IFERROR(__xludf.DUMMYFUNCTION("GOOGLETRANSLATE(I48,""zh_HANT"",""zh_HANS"")"),"飞云冰淇淋")</f>
        <v/>
      </c>
      <c r="K48" s="29">
        <f>F48</f>
        <v/>
      </c>
    </row>
    <row r="49">
      <c r="A49" s="29">
        <f>CONCATENATE("NAME_ITEM_", SUBSTITUTE(UPPER(B49), " ", ""))</f>
        <v/>
      </c>
      <c r="B49" s="29" t="inlineStr">
        <is>
          <t>Ability Capsule</t>
        </is>
      </c>
      <c r="C49" s="29" t="inlineStr">
        <is>
          <t>とくせいカプセル</t>
        </is>
      </c>
      <c r="D49" s="29" t="inlineStr">
        <is>
          <t>Pilule Talent</t>
        </is>
      </c>
      <c r="E49" s="29" t="inlineStr">
        <is>
          <t>Fähigk.-Kapsel</t>
        </is>
      </c>
      <c r="F49" s="29" t="inlineStr">
        <is>
          <t>Cápsula Habilidad</t>
        </is>
      </c>
      <c r="G49" s="29" t="inlineStr">
        <is>
          <t>Cáps. Habilidad</t>
        </is>
      </c>
      <c r="H49" s="29" t="inlineStr">
        <is>
          <t>특성캡슐</t>
        </is>
      </c>
      <c r="I49" s="29" t="inlineStr">
        <is>
          <t>特性膠囊</t>
        </is>
      </c>
      <c r="J49" s="29">
        <f>IFERROR(__xludf.DUMMYFUNCTION("GOOGLETRANSLATE(I49,""zh_HANT"",""zh_HANS"")"),"特性胶囊")</f>
        <v/>
      </c>
      <c r="K49" s="29">
        <f>F49</f>
        <v/>
      </c>
    </row>
    <row r="50">
      <c r="A50" s="29">
        <f>CONCATENATE("NAME_ITEM_", SUBSTITUTE(UPPER(B50), " ", ""))</f>
        <v/>
      </c>
      <c r="B50" s="29" t="inlineStr">
        <is>
          <t>Lumiose Galette</t>
        </is>
      </c>
      <c r="C50" s="29" t="inlineStr">
        <is>
          <t>ミアレガレット</t>
        </is>
      </c>
      <c r="D50" s="29" t="inlineStr">
        <is>
          <t>Galette Illumis</t>
        </is>
      </c>
      <c r="E50" s="29" t="inlineStr">
        <is>
          <t>Illumina-Galette</t>
        </is>
      </c>
      <c r="F50" s="29" t="inlineStr">
        <is>
          <t>Crêpe Luminalia</t>
        </is>
      </c>
      <c r="G50" s="29" t="inlineStr">
        <is>
          <t>Pan di Lumi</t>
        </is>
      </c>
      <c r="H50" s="29" t="inlineStr">
        <is>
          <t>미르갈레트</t>
        </is>
      </c>
      <c r="I50" s="29" t="inlineStr">
        <is>
          <t>密阿雷格雷派餅</t>
        </is>
      </c>
      <c r="J50" s="29">
        <f>IFERROR(__xludf.DUMMYFUNCTION("GOOGLETRANSLATE(I50,""zh_HANT"",""zh_HANS"")"),"密阿雷格雷派饼")</f>
        <v/>
      </c>
      <c r="K50" s="29">
        <f>F50</f>
        <v/>
      </c>
    </row>
    <row r="51">
      <c r="A51" s="29">
        <f>CONCATENATE("NAME_ITEM_", SUBSTITUTE(UPPER(B51), " ", ""))</f>
        <v/>
      </c>
      <c r="B51" s="29" t="inlineStr">
        <is>
          <t>Shalour Sable</t>
        </is>
      </c>
      <c r="C51" s="29" t="inlineStr">
        <is>
          <t>シャラセブレ</t>
        </is>
      </c>
      <c r="D51" s="29" t="inlineStr">
        <is>
          <t>Sablé Yantreizh</t>
        </is>
      </c>
      <c r="E51" s="29" t="inlineStr">
        <is>
          <t>Yantara-Sablé</t>
        </is>
      </c>
      <c r="F51" s="29" t="inlineStr">
        <is>
          <t>Galleta Yantra</t>
        </is>
      </c>
      <c r="G51" s="29" t="inlineStr">
        <is>
          <t>Yantafrollino</t>
        </is>
      </c>
      <c r="H51" s="29" t="inlineStr">
        <is>
          <t>사라사블레</t>
        </is>
      </c>
      <c r="I51" s="29" t="inlineStr">
        <is>
          <t>娑羅沙布蕾</t>
        </is>
      </c>
      <c r="J51" s="29">
        <f>IFERROR(__xludf.DUMMYFUNCTION("GOOGLETRANSLATE(I51,""zh_HANT"",""zh_HANS"")"),"娑罗沙布蕾")</f>
        <v/>
      </c>
      <c r="K51" s="29">
        <f>F51</f>
        <v/>
      </c>
    </row>
    <row r="52">
      <c r="A52" s="29">
        <f>CONCATENATE("NAME_ITEM_", SUBSTITUTE(UPPER(B52), " ", ""))</f>
        <v/>
      </c>
      <c r="B52" s="29" t="inlineStr">
        <is>
          <t>Big Malasada</t>
        </is>
      </c>
      <c r="C52" s="29" t="inlineStr">
        <is>
          <t>おおきいマラサダ</t>
        </is>
      </c>
      <c r="D52" s="29" t="inlineStr">
        <is>
          <t>Malasada Maxi</t>
        </is>
      </c>
      <c r="E52" s="29" t="inlineStr">
        <is>
          <t>Maxi-Malasada</t>
        </is>
      </c>
      <c r="F52" s="29">
        <f>D52</f>
        <v/>
      </c>
      <c r="G52" s="29">
        <f>D52</f>
        <v/>
      </c>
      <c r="H52" s="29" t="inlineStr">
        <is>
          <t>큰 말라사다</t>
        </is>
      </c>
      <c r="I52" s="29" t="inlineStr">
        <is>
          <t>大馬拉薩達</t>
        </is>
      </c>
      <c r="J52" s="29">
        <f>IFERROR(__xludf.DUMMYFUNCTION("GOOGLETRANSLATE(I52,""zh_HANT"",""zh_HANS"")"),"大马拉萨达")</f>
        <v/>
      </c>
      <c r="K52" s="29">
        <f>F52</f>
        <v/>
      </c>
    </row>
    <row r="53">
      <c r="A53" s="29">
        <f>CONCATENATE("NAME_ITEM_", SUBSTITUTE(UPPER(B53), " ", ""))</f>
        <v/>
      </c>
      <c r="B53" s="29" t="inlineStr">
        <is>
          <t>Pewter Crunchies</t>
        </is>
      </c>
      <c r="C53" s="29" t="inlineStr">
        <is>
          <t>ニビあられ</t>
        </is>
      </c>
      <c r="D53" s="29" t="inlineStr">
        <is>
          <t>Crok'Argenta</t>
        </is>
      </c>
      <c r="E53" s="29" t="inlineStr">
        <is>
          <t>Marmoria-Kräcker</t>
        </is>
      </c>
      <c r="F53" s="29" t="inlineStr">
        <is>
          <t>Rokikos</t>
        </is>
      </c>
      <c r="G53" s="29" t="inlineStr">
        <is>
          <t>Plumbeosalatini</t>
        </is>
      </c>
      <c r="H53" s="29" t="inlineStr">
        <is>
          <t>회색강정</t>
        </is>
      </c>
      <c r="I53" s="29" t="inlineStr">
        <is>
          <t>深灰米果</t>
        </is>
      </c>
      <c r="J53" s="29">
        <f>I53</f>
        <v/>
      </c>
      <c r="K53" s="29">
        <f>F53</f>
        <v/>
      </c>
    </row>
    <row r="54">
      <c r="A54" s="29">
        <f>CONCATENATE("NAME_ITEM_", SUBSTITUTE(SUBSTITUTE(UPPER(B54), " ", ""), ".", ""))</f>
        <v/>
      </c>
      <c r="B54" s="29" t="inlineStr">
        <is>
          <t>Exp. Candy XS</t>
        </is>
      </c>
      <c r="C54" s="29" t="inlineStr">
        <is>
          <t>けいかんアメＸＳ</t>
        </is>
      </c>
      <c r="D54" s="29" t="inlineStr">
        <is>
          <t>Bonbon Exp. XS</t>
        </is>
      </c>
      <c r="E54" s="29" t="inlineStr">
        <is>
          <t>EP-Bonbon XS</t>
        </is>
      </c>
      <c r="F54" s="29" t="inlineStr">
        <is>
          <t>Caramelo Exp. XS</t>
        </is>
      </c>
      <c r="G54" s="29" t="inlineStr">
        <is>
          <t>Caram. Exp. XS</t>
        </is>
      </c>
      <c r="H54" s="29" t="inlineStr">
        <is>
          <t>경험사탕ＸＳ</t>
        </is>
      </c>
      <c r="I54" s="29">
        <f>IFERROR(__xludf.DUMMYFUNCTION("GOOGLETRANSLATE(J54,""zh_HANS"",""zh_HANT"")"),"經驗糖果ＸＳ")</f>
        <v/>
      </c>
      <c r="J54" s="29" t="inlineStr">
        <is>
          <t>经验糖果ＸＳ</t>
        </is>
      </c>
      <c r="K54" s="29">
        <f>F54</f>
        <v/>
      </c>
    </row>
    <row r="55">
      <c r="A55" s="29">
        <f>CONCATENATE("NAME_ITEM_", SUBSTITUTE(SUBSTITUTE(UPPER(B55), " ", ""), ".", ""))</f>
        <v/>
      </c>
      <c r="B55" s="29" t="inlineStr">
        <is>
          <t>Exp. Candy S</t>
        </is>
      </c>
      <c r="C55" s="29" t="inlineStr">
        <is>
          <t>けいかんアメＳ</t>
        </is>
      </c>
      <c r="D55" s="29" t="inlineStr">
        <is>
          <t>Bonbon Exp. S</t>
        </is>
      </c>
      <c r="E55" s="29" t="inlineStr">
        <is>
          <t>EP-Bonbon S</t>
        </is>
      </c>
      <c r="F55" s="29" t="inlineStr">
        <is>
          <t>Caramelo Exp. S</t>
        </is>
      </c>
      <c r="G55" s="29" t="inlineStr">
        <is>
          <t>Caram. Exp. S</t>
        </is>
      </c>
      <c r="H55" s="29" t="inlineStr">
        <is>
          <t>경험사탕Ｓ</t>
        </is>
      </c>
      <c r="I55" s="29">
        <f>IFERROR(__xludf.DUMMYFUNCTION("GOOGLETRANSLATE(J55,""zh_HANS"",""zh_HANT"")"),"經驗糖果Ｓ")</f>
        <v/>
      </c>
      <c r="J55" s="29" t="inlineStr">
        <is>
          <t>经验糖果Ｓ</t>
        </is>
      </c>
      <c r="K55" s="29">
        <f>F55</f>
        <v/>
      </c>
    </row>
    <row r="56">
      <c r="A56" s="29">
        <f>CONCATENATE("NAME_ITEM_", SUBSTITUTE(SUBSTITUTE(UPPER(B56), " ", ""), ".", ""))</f>
        <v/>
      </c>
      <c r="B56" s="29" t="inlineStr">
        <is>
          <t>Exp. Candy M</t>
        </is>
      </c>
      <c r="C56" s="29" t="inlineStr">
        <is>
          <t>けいかんアメＭ</t>
        </is>
      </c>
      <c r="D56" s="29" t="inlineStr">
        <is>
          <t>Bonbon Exp. M</t>
        </is>
      </c>
      <c r="E56" s="29" t="inlineStr">
        <is>
          <t>EP-Bonbon M</t>
        </is>
      </c>
      <c r="F56" s="29" t="inlineStr">
        <is>
          <t>Caramelo Exp. M</t>
        </is>
      </c>
      <c r="G56" s="29" t="inlineStr">
        <is>
          <t>Caram. Exp. M</t>
        </is>
      </c>
      <c r="H56" s="29" t="inlineStr">
        <is>
          <t>경험사탕Ｍ</t>
        </is>
      </c>
      <c r="I56" s="29">
        <f>IFERROR(__xludf.DUMMYFUNCTION("GOOGLETRANSLATE(J56,""zh_HANS"",""zh_HANT"")"),"經驗糖果Ｍ")</f>
        <v/>
      </c>
      <c r="J56" s="29" t="inlineStr">
        <is>
          <t>经验糖果Ｍ</t>
        </is>
      </c>
      <c r="K56" s="29">
        <f>F56</f>
        <v/>
      </c>
    </row>
    <row r="57">
      <c r="A57" s="29">
        <f>CONCATENATE("NAME_ITEM_", SUBSTITUTE(SUBSTITUTE(UPPER(B57), " ", ""), ".", ""))</f>
        <v/>
      </c>
      <c r="B57" s="29" t="inlineStr">
        <is>
          <t>Exp. Candy L</t>
        </is>
      </c>
      <c r="C57" s="29" t="inlineStr">
        <is>
          <t>けいかんアメＬ</t>
        </is>
      </c>
      <c r="D57" s="29" t="inlineStr">
        <is>
          <t>Bonbon Exp. L</t>
        </is>
      </c>
      <c r="E57" s="29" t="inlineStr">
        <is>
          <t>EP-Bonbon L</t>
        </is>
      </c>
      <c r="F57" s="29" t="inlineStr">
        <is>
          <t>Caramelo Exp. L</t>
        </is>
      </c>
      <c r="G57" s="29" t="inlineStr">
        <is>
          <t>Caram. Exp. L</t>
        </is>
      </c>
      <c r="H57" s="29" t="inlineStr">
        <is>
          <t>경험사탕Ｌ</t>
        </is>
      </c>
      <c r="I57" s="29">
        <f>IFERROR(__xludf.DUMMYFUNCTION("GOOGLETRANSLATE(J57,""zh_HANS"",""zh_HANT"")"),"經驗糖果Ｌ")</f>
        <v/>
      </c>
      <c r="J57" s="29" t="inlineStr">
        <is>
          <t>经验糖果Ｌ</t>
        </is>
      </c>
      <c r="K57" s="29">
        <f>F57</f>
        <v/>
      </c>
    </row>
    <row r="58">
      <c r="A58" s="29">
        <f>CONCATENATE("NAME_ITEM_", SUBSTITUTE(SUBSTITUTE(UPPER(B58), " ", ""), ".", ""))</f>
        <v/>
      </c>
      <c r="B58" s="29" t="inlineStr">
        <is>
          <t>Exp. Candy XL</t>
        </is>
      </c>
      <c r="C58" s="29" t="inlineStr">
        <is>
          <t>けいかんアメＸＬ</t>
        </is>
      </c>
      <c r="D58" s="29" t="inlineStr">
        <is>
          <t>Bonbon Exp. XL</t>
        </is>
      </c>
      <c r="E58" s="29" t="inlineStr">
        <is>
          <t>EP-Bonbon XL</t>
        </is>
      </c>
      <c r="F58" s="29" t="inlineStr">
        <is>
          <t>Caramelo Exp. XL</t>
        </is>
      </c>
      <c r="G58" s="29" t="inlineStr">
        <is>
          <t>Caram. Exp. XL</t>
        </is>
      </c>
      <c r="H58" s="29" t="inlineStr">
        <is>
          <t>경험사탕ＸＬ</t>
        </is>
      </c>
      <c r="I58" s="29">
        <f>IFERROR(__xludf.DUMMYFUNCTION("GOOGLETRANSLATE(J58,""zh_HANS"",""zh_HANT"")"),"經驗糖果ＸＬ")</f>
        <v/>
      </c>
      <c r="J58" s="29" t="inlineStr">
        <is>
          <t>经验糖果ＸＬ</t>
        </is>
      </c>
      <c r="K58" s="29">
        <f>F58</f>
        <v/>
      </c>
    </row>
    <row r="59">
      <c r="A59" s="29">
        <f>CONCATENATE("NAME_ITEM_", SUBSTITUTE(UPPER(B59), " ", ""))</f>
        <v/>
      </c>
      <c r="B59" s="29" t="inlineStr">
        <is>
          <t>Dynamax Candy</t>
        </is>
      </c>
      <c r="C59" s="29" t="inlineStr">
        <is>
          <t>ダイマックスアメ</t>
        </is>
      </c>
      <c r="D59" s="29" t="inlineStr">
        <is>
          <t>Bonbon Dynamax</t>
        </is>
      </c>
      <c r="E59" s="29" t="inlineStr">
        <is>
          <t>Dynamax-Bonbon</t>
        </is>
      </c>
      <c r="F59" s="29" t="inlineStr">
        <is>
          <t>Caramelo Dinamax</t>
        </is>
      </c>
      <c r="G59" s="29" t="inlineStr">
        <is>
          <t>Caram. Dynamax</t>
        </is>
      </c>
      <c r="H59" s="29" t="inlineStr">
        <is>
          <t>다이맥스사탕</t>
        </is>
      </c>
      <c r="I59" s="29">
        <f>IFERROR(__xludf.DUMMYFUNCTION("GOOGLETRANSLATE(J59,""zh_HANS"",""zh_HANT"")"),"極鉅糖果")</f>
        <v/>
      </c>
      <c r="J59" s="29" t="inlineStr">
        <is>
          <t>极巨糖果</t>
        </is>
      </c>
      <c r="K59" s="29">
        <f>F59</f>
        <v/>
      </c>
    </row>
    <row r="60">
      <c r="A60" s="29">
        <f>CONCATENATE("NAME_ITEM_", SUBSTITUTE(UPPER(B60), " ", ""))</f>
        <v/>
      </c>
      <c r="B60" s="29">
        <f>CONCATENATE(Natures!B2, " Mint")</f>
        <v/>
      </c>
      <c r="C60" s="29">
        <f>CONCATENATE(Natures!C2, "ミント")</f>
        <v/>
      </c>
      <c r="D60" s="29">
        <f>CONCATENATE("Aromate ",Natures!D2)</f>
        <v/>
      </c>
      <c r="E60" s="29">
        <f>CONCATENATE(Natures!E2, "-Minze")</f>
        <v/>
      </c>
      <c r="F60" s="29">
        <f>CONCATENATE("Menta ",Natures!F2)</f>
        <v/>
      </c>
      <c r="G60" s="29">
        <f>CONCATENATE("Menta ",Natures!G2)</f>
        <v/>
      </c>
      <c r="H60" s="29">
        <f>CONCATENATE(Natures!H2, "민트")</f>
        <v/>
      </c>
      <c r="I60" s="29">
        <f>CONCATENATE(Natures!I2, "薄荷")</f>
        <v/>
      </c>
      <c r="J60" s="29">
        <f>CONCATENATE(Natures!J2, "薄荷")</f>
        <v/>
      </c>
      <c r="K60" s="29">
        <f>F60</f>
        <v/>
      </c>
    </row>
    <row r="61">
      <c r="A61" s="29">
        <f>CONCATENATE("NAME_ITEM_", SUBSTITUTE(UPPER(B61), " ", ""))</f>
        <v/>
      </c>
      <c r="B61" s="29">
        <f>CONCATENATE(Natures!B4, " Mint")</f>
        <v/>
      </c>
      <c r="C61" s="29">
        <f>CONCATENATE(Natures!C4, "ミント")</f>
        <v/>
      </c>
      <c r="D61" s="29">
        <f>CONCATENATE("Aromate ",Natures!D4)</f>
        <v/>
      </c>
      <c r="E61" s="29">
        <f>CONCATENATE(Natures!E4, "-Minze")</f>
        <v/>
      </c>
      <c r="F61" s="29">
        <f>CONCATENATE("Menta ",Natures!F4)</f>
        <v/>
      </c>
      <c r="G61" s="29">
        <f>CONCATENATE("Menta ",Natures!G3)</f>
        <v/>
      </c>
      <c r="H61" s="29">
        <f>CONCATENATE(Natures!H4, "민트")</f>
        <v/>
      </c>
      <c r="I61" s="29">
        <f>CONCATENATE(Natures!I4, "薄荷")</f>
        <v/>
      </c>
      <c r="J61" s="29">
        <f>CONCATENATE(Natures!J4, "薄荷")</f>
        <v/>
      </c>
      <c r="K61" s="29">
        <f>F61</f>
        <v/>
      </c>
    </row>
    <row r="62">
      <c r="A62" s="29">
        <f>CONCATENATE("NAME_ITEM_", SUBSTITUTE(UPPER(B62), " ", ""))</f>
        <v/>
      </c>
      <c r="B62" s="29">
        <f>CONCATENATE(Natures!B5, " Mint")</f>
        <v/>
      </c>
      <c r="C62" s="29">
        <f>CONCATENATE(Natures!C5, "ミント")</f>
        <v/>
      </c>
      <c r="D62" s="29">
        <f>CONCATENATE("Aromate ",Natures!D5)</f>
        <v/>
      </c>
      <c r="E62" s="29">
        <f>CONCATENATE(Natures!E5, "-Minze")</f>
        <v/>
      </c>
      <c r="F62" s="29">
        <f>CONCATENATE("Menta ",Natures!F5)</f>
        <v/>
      </c>
      <c r="G62" s="29">
        <f>CONCATENATE("Menta ",Natures!G4)</f>
        <v/>
      </c>
      <c r="H62" s="29">
        <f>CONCATENATE(Natures!H5, "민트")</f>
        <v/>
      </c>
      <c r="I62" s="29">
        <f>CONCATENATE(Natures!I5, "薄荷")</f>
        <v/>
      </c>
      <c r="J62" s="29">
        <f>CONCATENATE(Natures!J5, "薄荷")</f>
        <v/>
      </c>
      <c r="K62" s="29">
        <f>F62</f>
        <v/>
      </c>
    </row>
    <row r="63">
      <c r="A63" s="29">
        <f>CONCATENATE("NAME_ITEM_", SUBSTITUTE(UPPER(B63), " ", ""))</f>
        <v/>
      </c>
      <c r="B63" s="29">
        <f>CONCATENATE(Natures!B6, " Mint")</f>
        <v/>
      </c>
      <c r="C63" s="29">
        <f>CONCATENATE(Natures!C6, "ミント")</f>
        <v/>
      </c>
      <c r="D63" s="29">
        <f>CONCATENATE("Aromate ",Natures!D6)</f>
        <v/>
      </c>
      <c r="E63" s="29">
        <f>CONCATENATE(Natures!E6, "-Minze")</f>
        <v/>
      </c>
      <c r="F63" s="29">
        <f>CONCATENATE("Menta ",Natures!F6)</f>
        <v/>
      </c>
      <c r="G63" s="29">
        <f>CONCATENATE("Menta ",Natures!G5)</f>
        <v/>
      </c>
      <c r="H63" s="29">
        <f>CONCATENATE(Natures!H6, "민트")</f>
        <v/>
      </c>
      <c r="I63" s="29">
        <f>CONCATENATE(Natures!I6, "薄荷")</f>
        <v/>
      </c>
      <c r="J63" s="29">
        <f>CONCATENATE(Natures!J6, "薄荷")</f>
        <v/>
      </c>
      <c r="K63" s="29">
        <f>F63</f>
        <v/>
      </c>
    </row>
    <row r="64">
      <c r="A64" s="29">
        <f>CONCATENATE("NAME_ITEM_", SUBSTITUTE(UPPER(B64), " ", ""))</f>
        <v/>
      </c>
      <c r="B64" s="29">
        <f>CONCATENATE(Natures!B7, " Mint")</f>
        <v/>
      </c>
      <c r="C64" s="29">
        <f>CONCATENATE(Natures!C7, "ミント")</f>
        <v/>
      </c>
      <c r="D64" s="29">
        <f>CONCATENATE("Aromate ",Natures!D7)</f>
        <v/>
      </c>
      <c r="E64" s="29">
        <f>CONCATENATE(Natures!E7, "-Minze")</f>
        <v/>
      </c>
      <c r="F64" s="29">
        <f>CONCATENATE("Menta ",Natures!F7)</f>
        <v/>
      </c>
      <c r="G64" s="29">
        <f>CONCATENATE("Menta ",Natures!G6)</f>
        <v/>
      </c>
      <c r="H64" s="29">
        <f>CONCATENATE(Natures!H7, "민트")</f>
        <v/>
      </c>
      <c r="I64" s="29">
        <f>CONCATENATE(Natures!I7, "薄荷")</f>
        <v/>
      </c>
      <c r="J64" s="29">
        <f>CONCATENATE(Natures!J7, "薄荷")</f>
        <v/>
      </c>
      <c r="K64" s="29">
        <f>F64</f>
        <v/>
      </c>
    </row>
    <row r="65">
      <c r="A65" s="29">
        <f>CONCATENATE("NAME_ITEM_", SUBSTITUTE(UPPER(B65), " ", ""))</f>
        <v/>
      </c>
      <c r="B65" s="29">
        <f>CONCATENATE(Natures!B9, " Mint")</f>
        <v/>
      </c>
      <c r="C65" s="29">
        <f>CONCATENATE(Natures!C9, "ミント")</f>
        <v/>
      </c>
      <c r="D65" s="29">
        <f>CONCATENATE("Aromate ",Natures!D9)</f>
        <v/>
      </c>
      <c r="E65" s="29">
        <f>CONCATENATE(Natures!E9, "-Minze")</f>
        <v/>
      </c>
      <c r="F65" s="29">
        <f>CONCATENATE("Menta ",Natures!F9)</f>
        <v/>
      </c>
      <c r="G65" s="29">
        <f>CONCATENATE("Menta ",Natures!G8)</f>
        <v/>
      </c>
      <c r="H65" s="29">
        <f>CONCATENATE(Natures!H9, "민트")</f>
        <v/>
      </c>
      <c r="I65" s="29">
        <f>CONCATENATE(Natures!I9, "薄荷")</f>
        <v/>
      </c>
      <c r="J65" s="29">
        <f>CONCATENATE(Natures!J9, "薄荷")</f>
        <v/>
      </c>
      <c r="K65" s="29">
        <f>F65</f>
        <v/>
      </c>
    </row>
    <row r="66">
      <c r="A66" s="29">
        <f>CONCATENATE("NAME_ITEM_", SUBSTITUTE(UPPER(B66), " ", ""))</f>
        <v/>
      </c>
      <c r="B66" s="29">
        <f>CONCATENATE(Natures!B11, " Mint")</f>
        <v/>
      </c>
      <c r="C66" s="29">
        <f>CONCATENATE(Natures!C11, "ミント")</f>
        <v/>
      </c>
      <c r="D66" s="29">
        <f>CONCATENATE("Aromate ",Natures!D11)</f>
        <v/>
      </c>
      <c r="E66" s="29">
        <f>CONCATENATE(Natures!E11, "-Minze")</f>
        <v/>
      </c>
      <c r="F66" s="29">
        <f>CONCATENATE("Menta ",Natures!F11)</f>
        <v/>
      </c>
      <c r="G66" s="29">
        <f>CONCATENATE("Menta ",Natures!G10)</f>
        <v/>
      </c>
      <c r="H66" s="29">
        <f>CONCATENATE(Natures!H11, "민트")</f>
        <v/>
      </c>
      <c r="I66" s="29">
        <f>CONCATENATE(Natures!I11, "薄荷")</f>
        <v/>
      </c>
      <c r="J66" s="29">
        <f>CONCATENATE(Natures!J11, "薄荷")</f>
        <v/>
      </c>
      <c r="K66" s="29">
        <f>F66</f>
        <v/>
      </c>
    </row>
    <row r="67">
      <c r="A67" s="29">
        <f>CONCATENATE("NAME_ITEM_", SUBSTITUTE(UPPER(B67), " ", ""))</f>
        <v/>
      </c>
      <c r="B67" s="29">
        <f>CONCATENATE(Natures!B12, " Mint")</f>
        <v/>
      </c>
      <c r="C67" s="29">
        <f>CONCATENATE(Natures!C12, "ミント")</f>
        <v/>
      </c>
      <c r="D67" s="29">
        <f>CONCATENATE("Aromate ",Natures!D12)</f>
        <v/>
      </c>
      <c r="E67" s="29">
        <f>CONCATENATE(Natures!E12, "-Minze")</f>
        <v/>
      </c>
      <c r="F67" s="29">
        <f>CONCATENATE("Menta ",Natures!F12)</f>
        <v/>
      </c>
      <c r="G67" s="29">
        <f>CONCATENATE("Menta ",Natures!G11)</f>
        <v/>
      </c>
      <c r="H67" s="29">
        <f>CONCATENATE(Natures!H12, "민트")</f>
        <v/>
      </c>
      <c r="I67" s="29">
        <f>CONCATENATE(Natures!I12, "薄荷")</f>
        <v/>
      </c>
      <c r="J67" s="29">
        <f>CONCATENATE(Natures!J12, "薄荷")</f>
        <v/>
      </c>
      <c r="K67" s="29">
        <f>F67</f>
        <v/>
      </c>
    </row>
    <row r="68">
      <c r="A68" s="29">
        <f>CONCATENATE("NAME_ITEM_", SUBSTITUTE(UPPER(B68), " ", ""))</f>
        <v/>
      </c>
      <c r="B68" s="29">
        <f>CONCATENATE(Natures!B13, " Mint")</f>
        <v/>
      </c>
      <c r="C68" s="29">
        <f>CONCATENATE(Natures!C13, "ミント")</f>
        <v/>
      </c>
      <c r="D68" s="29">
        <f>CONCATENATE("Aromate ",Natures!D13)</f>
        <v/>
      </c>
      <c r="E68" s="29">
        <f>CONCATENATE(Natures!E13, "-Minze")</f>
        <v/>
      </c>
      <c r="F68" s="29">
        <f>CONCATENATE("Menta ",Natures!F13)</f>
        <v/>
      </c>
      <c r="G68" s="29">
        <f>CONCATENATE("Menta ",Natures!G12)</f>
        <v/>
      </c>
      <c r="H68" s="29">
        <f>CONCATENATE(Natures!H13, "민트")</f>
        <v/>
      </c>
      <c r="I68" s="29">
        <f>CONCATENATE(Natures!I13, "薄荷")</f>
        <v/>
      </c>
      <c r="J68" s="29">
        <f>CONCATENATE(Natures!J13, "薄荷")</f>
        <v/>
      </c>
      <c r="K68" s="29">
        <f>F68</f>
        <v/>
      </c>
    </row>
    <row r="69">
      <c r="A69" s="29">
        <f>CONCATENATE("NAME_ITEM_", SUBSTITUTE(UPPER(B69), " ", ""))</f>
        <v/>
      </c>
      <c r="B69" s="29">
        <f>CONCATENATE(Natures!B14, " Mint")</f>
        <v/>
      </c>
      <c r="C69" s="29">
        <f>CONCATENATE(Natures!C14, "ミント")</f>
        <v/>
      </c>
      <c r="D69" s="29">
        <f>CONCATENATE("Aromate ",Natures!D14)</f>
        <v/>
      </c>
      <c r="E69" s="29">
        <f>CONCATENATE(Natures!E14, "-Minze")</f>
        <v/>
      </c>
      <c r="F69" s="29">
        <f>CONCATENATE("Menta ",Natures!F14)</f>
        <v/>
      </c>
      <c r="G69" s="29">
        <f>CONCATENATE("Menta ",Natures!G13)</f>
        <v/>
      </c>
      <c r="H69" s="29">
        <f>CONCATENATE(Natures!H14, "민트")</f>
        <v/>
      </c>
      <c r="I69" s="29">
        <f>CONCATENATE(Natures!I14, "薄荷")</f>
        <v/>
      </c>
      <c r="J69" s="29">
        <f>CONCATENATE(Natures!J14, "薄荷")</f>
        <v/>
      </c>
      <c r="K69" s="29">
        <f>F69</f>
        <v/>
      </c>
    </row>
    <row r="70">
      <c r="A70" s="29">
        <f>CONCATENATE("NAME_ITEM_", SUBSTITUTE(UPPER(B70), " ", ""))</f>
        <v/>
      </c>
      <c r="B70" s="29">
        <f>CONCATENATE(Natures!B15, " Mint")</f>
        <v/>
      </c>
      <c r="C70" s="29">
        <f>CONCATENATE(Natures!C15, "ミント")</f>
        <v/>
      </c>
      <c r="D70" s="29">
        <f>CONCATENATE("Aromate ",Natures!D15)</f>
        <v/>
      </c>
      <c r="E70" s="29">
        <f>CONCATENATE(Natures!E15, "-Minze")</f>
        <v/>
      </c>
      <c r="F70" s="29">
        <f>CONCATENATE("Menta ",Natures!F15)</f>
        <v/>
      </c>
      <c r="G70" s="29">
        <f>CONCATENATE("Menta ",Natures!G14)</f>
        <v/>
      </c>
      <c r="H70" s="29">
        <f>CONCATENATE(Natures!H15, "민트")</f>
        <v/>
      </c>
      <c r="I70" s="29">
        <f>CONCATENATE(Natures!I15, "薄荷")</f>
        <v/>
      </c>
      <c r="J70" s="29">
        <f>CONCATENATE(Natures!J15, "薄荷")</f>
        <v/>
      </c>
      <c r="K70" s="29">
        <f>F70</f>
        <v/>
      </c>
    </row>
    <row r="71">
      <c r="A71" s="29">
        <f>CONCATENATE("NAME_ITEM_", SUBSTITUTE(UPPER(B71), " ", ""))</f>
        <v/>
      </c>
      <c r="B71" s="29">
        <f>CONCATENATE(Natures!B16, " Mint")</f>
        <v/>
      </c>
      <c r="C71" s="29">
        <f>CONCATENATE(Natures!C16, "ミント")</f>
        <v/>
      </c>
      <c r="D71" s="29">
        <f>CONCATENATE("Aromate ",Natures!D16)</f>
        <v/>
      </c>
      <c r="E71" s="29">
        <f>CONCATENATE(Natures!E16, "-Minze")</f>
        <v/>
      </c>
      <c r="F71" s="29">
        <f>CONCATENATE("Menta ",Natures!F16)</f>
        <v/>
      </c>
      <c r="G71" s="29">
        <f>CONCATENATE("Menta ",Natures!G15)</f>
        <v/>
      </c>
      <c r="H71" s="29">
        <f>CONCATENATE(Natures!H16, "민트")</f>
        <v/>
      </c>
      <c r="I71" s="29">
        <f>CONCATENATE(Natures!I16, "薄荷")</f>
        <v/>
      </c>
      <c r="J71" s="29">
        <f>CONCATENATE(Natures!J16, "薄荷")</f>
        <v/>
      </c>
      <c r="K71" s="29">
        <f>F71</f>
        <v/>
      </c>
    </row>
    <row r="72">
      <c r="A72" s="29">
        <f>CONCATENATE("NAME_ITEM_", SUBSTITUTE(UPPER(B72), " ", ""))</f>
        <v/>
      </c>
      <c r="B72" s="29">
        <f>CONCATENATE(Natures!B17, " Mint")</f>
        <v/>
      </c>
      <c r="C72" s="29">
        <f>CONCATENATE(Natures!C17, "ミント")</f>
        <v/>
      </c>
      <c r="D72" s="29">
        <f>CONCATENATE("Aromate ",Natures!D17)</f>
        <v/>
      </c>
      <c r="E72" s="29">
        <f>CONCATENATE(Natures!E17, "-Minze")</f>
        <v/>
      </c>
      <c r="F72" s="29">
        <f>CONCATENATE("Menta ",Natures!F17)</f>
        <v/>
      </c>
      <c r="G72" s="29">
        <f>CONCATENATE("Menta ",Natures!G16)</f>
        <v/>
      </c>
      <c r="H72" s="29">
        <f>CONCATENATE(Natures!H17, "민트")</f>
        <v/>
      </c>
      <c r="I72" s="29">
        <f>CONCATENATE(Natures!I17, "薄荷")</f>
        <v/>
      </c>
      <c r="J72" s="29">
        <f>CONCATENATE(Natures!J17, "薄荷")</f>
        <v/>
      </c>
      <c r="K72" s="29">
        <f>F72</f>
        <v/>
      </c>
    </row>
    <row r="73">
      <c r="A73" s="29">
        <f>CONCATENATE("NAME_ITEM_", SUBSTITUTE(UPPER(B73), " ", ""))</f>
        <v/>
      </c>
      <c r="B73" s="29">
        <f>CONCATENATE(Natures!B18, " Mint")</f>
        <v/>
      </c>
      <c r="C73" s="29">
        <f>CONCATENATE(Natures!C18, "ミント")</f>
        <v/>
      </c>
      <c r="D73" s="29">
        <f>CONCATENATE("Aromate ",Natures!D18)</f>
        <v/>
      </c>
      <c r="E73" s="29">
        <f>CONCATENATE(Natures!E18, "-Minze")</f>
        <v/>
      </c>
      <c r="F73" s="29">
        <f>CONCATENATE("Menta ",Natures!F18)</f>
        <v/>
      </c>
      <c r="G73" s="29">
        <f>CONCATENATE("Menta ",Natures!G17)</f>
        <v/>
      </c>
      <c r="H73" s="29">
        <f>CONCATENATE(Natures!H18, "민트")</f>
        <v/>
      </c>
      <c r="I73" s="29">
        <f>CONCATENATE(Natures!I18, "薄荷")</f>
        <v/>
      </c>
      <c r="J73" s="29">
        <f>CONCATENATE(Natures!J18, "薄荷")</f>
        <v/>
      </c>
      <c r="K73" s="29">
        <f>F73</f>
        <v/>
      </c>
    </row>
    <row r="74">
      <c r="A74" s="29">
        <f>CONCATENATE("NAME_ITEM_", SUBSTITUTE(UPPER(B74), " ", ""))</f>
        <v/>
      </c>
      <c r="B74" s="29">
        <f>CONCATENATE(Natures!B19, " Mint")</f>
        <v/>
      </c>
      <c r="C74" s="29">
        <f>CONCATENATE(Natures!C19, "ミント")</f>
        <v/>
      </c>
      <c r="D74" s="29">
        <f>CONCATENATE("Aromate ",Natures!D19)</f>
        <v/>
      </c>
      <c r="E74" s="29">
        <f>CONCATENATE(Natures!E19, "-Minze")</f>
        <v/>
      </c>
      <c r="F74" s="29">
        <f>CONCATENATE("Menta ",Natures!F19)</f>
        <v/>
      </c>
      <c r="G74" s="29">
        <f>CONCATENATE("Menta ",Natures!G18)</f>
        <v/>
      </c>
      <c r="H74" s="29">
        <f>CONCATENATE(Natures!H19, "민트")</f>
        <v/>
      </c>
      <c r="I74" s="29">
        <f>CONCATENATE(Natures!I19, "薄荷")</f>
        <v/>
      </c>
      <c r="J74" s="29">
        <f>CONCATENATE(Natures!J19, "薄荷")</f>
        <v/>
      </c>
      <c r="K74" s="29">
        <f>F74</f>
        <v/>
      </c>
    </row>
    <row r="75">
      <c r="A75" s="29">
        <f>CONCATENATE("NAME_ITEM_", SUBSTITUTE(UPPER(B75), " ", ""))</f>
        <v/>
      </c>
      <c r="B75" s="29">
        <f>CONCATENATE(Natures!B20, " Mint")</f>
        <v/>
      </c>
      <c r="C75" s="29">
        <f>CONCATENATE(Natures!C20, "ミント")</f>
        <v/>
      </c>
      <c r="D75" s="29">
        <f>CONCATENATE("Aromate ",Natures!D20)</f>
        <v/>
      </c>
      <c r="E75" s="29">
        <f>CONCATENATE(Natures!E20, "-Minze")</f>
        <v/>
      </c>
      <c r="F75" s="29">
        <f>CONCATENATE("Menta ",Natures!F20)</f>
        <v/>
      </c>
      <c r="G75" s="29">
        <f>CONCATENATE("Menta ",Natures!G19)</f>
        <v/>
      </c>
      <c r="H75" s="29">
        <f>CONCATENATE(Natures!H20, "민트")</f>
        <v/>
      </c>
      <c r="I75" s="29">
        <f>CONCATENATE(Natures!I20, "薄荷")</f>
        <v/>
      </c>
      <c r="J75" s="29">
        <f>CONCATENATE(Natures!J20, "薄荷")</f>
        <v/>
      </c>
      <c r="K75" s="29">
        <f>F75</f>
        <v/>
      </c>
    </row>
    <row r="76">
      <c r="A76" s="29">
        <f>CONCATENATE("NAME_ITEM_", SUBSTITUTE(UPPER(B76), " ", ""))</f>
        <v/>
      </c>
      <c r="B76" s="29">
        <f>CONCATENATE(Natures!B22, " Mint")</f>
        <v/>
      </c>
      <c r="C76" s="29">
        <f>CONCATENATE(Natures!C22, "ミント")</f>
        <v/>
      </c>
      <c r="D76" s="29">
        <f>CONCATENATE("Aromate ",Natures!D22)</f>
        <v/>
      </c>
      <c r="E76" s="29">
        <f>CONCATENATE(Natures!E22, "-Minze")</f>
        <v/>
      </c>
      <c r="F76" s="29">
        <f>CONCATENATE("Menta ",Natures!F22)</f>
        <v/>
      </c>
      <c r="G76" s="29">
        <f>CONCATENATE("Menta ",Natures!G21)</f>
        <v/>
      </c>
      <c r="H76" s="29">
        <f>CONCATENATE(Natures!H22, "민트")</f>
        <v/>
      </c>
      <c r="I76" s="29">
        <f>CONCATENATE(Natures!I22, "薄荷")</f>
        <v/>
      </c>
      <c r="J76" s="29">
        <f>CONCATENATE(Natures!J22, "薄荷")</f>
        <v/>
      </c>
      <c r="K76" s="29">
        <f>F76</f>
        <v/>
      </c>
    </row>
    <row r="77">
      <c r="A77" s="29">
        <f>CONCATENATE("NAME_ITEM_", SUBSTITUTE(UPPER(B77), " ", ""))</f>
        <v/>
      </c>
      <c r="B77" s="29">
        <f>CONCATENATE(Natures!B23, " Mint")</f>
        <v/>
      </c>
      <c r="C77" s="29">
        <f>CONCATENATE(Natures!C23, "ミント")</f>
        <v/>
      </c>
      <c r="D77" s="29">
        <f>CONCATENATE("Aromate ",Natures!D23)</f>
        <v/>
      </c>
      <c r="E77" s="29">
        <f>CONCATENATE(Natures!E23, "-Minze")</f>
        <v/>
      </c>
      <c r="F77" s="29">
        <f>CONCATENATE("Menta ",Natures!F23)</f>
        <v/>
      </c>
      <c r="G77" s="29">
        <f>CONCATENATE("Menta ",Natures!G22)</f>
        <v/>
      </c>
      <c r="H77" s="29">
        <f>CONCATENATE(Natures!H23, "민트")</f>
        <v/>
      </c>
      <c r="I77" s="29">
        <f>CONCATENATE(Natures!I23, "薄荷")</f>
        <v/>
      </c>
      <c r="J77" s="29">
        <f>CONCATENATE(Natures!J23, "薄荷")</f>
        <v/>
      </c>
      <c r="K77" s="29">
        <f>F77</f>
        <v/>
      </c>
    </row>
    <row r="78">
      <c r="A78" s="29">
        <f>CONCATENATE("NAME_ITEM_", SUBSTITUTE(UPPER(B78), " ", ""))</f>
        <v/>
      </c>
      <c r="B78" s="29">
        <f>CONCATENATE(Natures!B24, " Mint")</f>
        <v/>
      </c>
      <c r="C78" s="29">
        <f>CONCATENATE(Natures!C24, "ミント")</f>
        <v/>
      </c>
      <c r="D78" s="29">
        <f>CONCATENATE("Aromate ",Natures!D24)</f>
        <v/>
      </c>
      <c r="E78" s="29">
        <f>CONCATENATE(Natures!E24, "-Minze")</f>
        <v/>
      </c>
      <c r="F78" s="29">
        <f>CONCATENATE("Menta ",Natures!F24)</f>
        <v/>
      </c>
      <c r="G78" s="29">
        <f>CONCATENATE("Menta ",Natures!G23)</f>
        <v/>
      </c>
      <c r="H78" s="29">
        <f>CONCATENATE(Natures!H24, "민트")</f>
        <v/>
      </c>
      <c r="I78" s="29">
        <f>CONCATENATE(Natures!I24, "薄荷")</f>
        <v/>
      </c>
      <c r="J78" s="29">
        <f>CONCATENATE(Natures!J24, "薄荷")</f>
        <v/>
      </c>
      <c r="K78" s="29">
        <f>F78</f>
        <v/>
      </c>
    </row>
    <row r="79">
      <c r="A79" s="29">
        <f>CONCATENATE("NAME_ITEM_", SUBSTITUTE(UPPER(B79), " ", ""))</f>
        <v/>
      </c>
      <c r="B79" s="29">
        <f>CONCATENATE(Natures!B25, " Mint")</f>
        <v/>
      </c>
      <c r="C79" s="29">
        <f>CONCATENATE(Natures!C25, "ミント")</f>
        <v/>
      </c>
      <c r="D79" s="29">
        <f>CONCATENATE("Aromate ",Natures!D25)</f>
        <v/>
      </c>
      <c r="E79" s="29">
        <f>CONCATENATE(Natures!E25, "-Minze")</f>
        <v/>
      </c>
      <c r="F79" s="29">
        <f>CONCATENATE("Menta ",Natures!F25)</f>
        <v/>
      </c>
      <c r="G79" s="29">
        <f>CONCATENATE("Menta ",Natures!G24)</f>
        <v/>
      </c>
      <c r="H79" s="29">
        <f>CONCATENATE(Natures!H25, "민트")</f>
        <v/>
      </c>
      <c r="I79" s="29">
        <f>CONCATENATE(Natures!I25, "薄荷")</f>
        <v/>
      </c>
      <c r="J79" s="29">
        <f>CONCATENATE(Natures!J25, "薄荷")</f>
        <v/>
      </c>
      <c r="K79" s="29">
        <f>F79</f>
        <v/>
      </c>
    </row>
    <row r="80">
      <c r="A80" s="29">
        <f>CONCATENATE("NAME_ITEM_", SUBSTITUTE(UPPER(B80), " ", ""))</f>
        <v/>
      </c>
      <c r="B80" s="29">
        <f>CONCATENATE(Natures!B26, " Mint")</f>
        <v/>
      </c>
      <c r="C80" s="29">
        <f>CONCATENATE(Natures!C26, "ミント")</f>
        <v/>
      </c>
      <c r="D80" s="29">
        <f>CONCATENATE("Aromate ",Natures!D26)</f>
        <v/>
      </c>
      <c r="E80" s="29">
        <f>CONCATENATE(Natures!E26, "-Minze")</f>
        <v/>
      </c>
      <c r="F80" s="29">
        <f>CONCATENATE("Menta ",Natures!F26)</f>
        <v/>
      </c>
      <c r="G80" s="29">
        <f>CONCATENATE("Menta ",Natures!G25)</f>
        <v/>
      </c>
      <c r="H80" s="29">
        <f>CONCATENATE(Natures!H26, "민트")</f>
        <v/>
      </c>
      <c r="I80" s="29">
        <f>CONCATENATE(Natures!I26, "薄荷")</f>
        <v/>
      </c>
      <c r="J80" s="29">
        <f>CONCATENATE(Natures!J26, "薄荷")</f>
        <v/>
      </c>
      <c r="K80" s="29">
        <f>F80</f>
        <v/>
      </c>
    </row>
    <row r="81">
      <c r="A81" s="29">
        <f>CONCATENATE("NAME_ITEM_", SUBSTITUTE(UPPER(B81), " ", ""))</f>
        <v/>
      </c>
      <c r="B81" s="29" t="inlineStr">
        <is>
          <t>Ability Patch</t>
        </is>
      </c>
      <c r="C81" s="29" t="inlineStr">
        <is>
          <t>とくせいパッチ</t>
        </is>
      </c>
      <c r="D81" s="29" t="inlineStr">
        <is>
          <t>Patch Talent</t>
        </is>
      </c>
      <c r="E81" s="29" t="inlineStr">
        <is>
          <t>Fähigk.-Pflaster</t>
        </is>
      </c>
      <c r="F81" s="29" t="inlineStr">
        <is>
          <t>Parche Habilidad</t>
        </is>
      </c>
      <c r="G81" s="29" t="inlineStr">
        <is>
          <t>Cerotto abilità</t>
        </is>
      </c>
      <c r="H81" s="29" t="inlineStr">
        <is>
          <t>특성패치</t>
        </is>
      </c>
      <c r="I81" s="29" t="inlineStr">
        <is>
          <t>特性膏藥</t>
        </is>
      </c>
      <c r="J81" s="29">
        <f>IFERROR(__xludf.DUMMYFUNCTION("GOOGLETRANSLATE(I81,""zh_HANT"",""zh_HANS"")"),"特性膏药")</f>
        <v/>
      </c>
      <c r="K81" s="29">
        <f>F81</f>
        <v/>
      </c>
    </row>
    <row r="82">
      <c r="A82" s="29">
        <f>CONCATENATE("NAME_ITEM_", SUBSTITUTE(UPPER(B82), " ", ""))</f>
        <v/>
      </c>
      <c r="B82" s="29">
        <f>CONCATENATE(Types!B2, " Tera Shard")</f>
        <v/>
      </c>
      <c r="C82" s="29">
        <f>CONCATENATE("テラピース",Types!C2)</f>
        <v/>
      </c>
      <c r="D82" s="29">
        <f>CONCATENATE("Téra-Éclat ",Types!D2)</f>
        <v/>
      </c>
      <c r="E82" s="29">
        <f>CONCATENATE("Tera-Stück (",Types!E2, ")")</f>
        <v/>
      </c>
      <c r="F82" s="29">
        <f>CONCATENATE("Teralito ",Types!F2)</f>
        <v/>
      </c>
      <c r="G82" s="29">
        <f>CONCATENATE("Teralite ",Types!G2)</f>
        <v/>
      </c>
      <c r="H82" s="29">
        <f>CONCATENATE("테라피스 ",Types!H2)</f>
        <v/>
      </c>
      <c r="I82" s="29">
        <f>CONCATENATE(Types!I2, "太晶碎塊")</f>
        <v/>
      </c>
      <c r="J82" s="29">
        <f>CONCATENATE(Types!J2, "太晶碎块")</f>
        <v/>
      </c>
      <c r="K82" s="29">
        <f>F82</f>
        <v/>
      </c>
    </row>
    <row r="83">
      <c r="A83" s="29">
        <f>CONCATENATE("NAME_ITEM_", SUBSTITUTE(UPPER(B83), " ", ""))</f>
        <v/>
      </c>
      <c r="B83" s="29">
        <f>CONCATENATE(Types!B3, " Tera Shard")</f>
        <v/>
      </c>
      <c r="C83" s="29">
        <f>CONCATENATE("テラピース",Types!C3)</f>
        <v/>
      </c>
      <c r="D83" s="29">
        <f>CONCATENATE("Téra-Éclat ",Types!D3)</f>
        <v/>
      </c>
      <c r="E83" s="29">
        <f>CONCATENATE("Tera-Stück (",Types!E3, ")")</f>
        <v/>
      </c>
      <c r="F83" s="29">
        <f>CONCATENATE("Teralito ",Types!F3)</f>
        <v/>
      </c>
      <c r="G83" s="29">
        <f>CONCATENATE("Teralite ",Types!G3)</f>
        <v/>
      </c>
      <c r="H83" s="29">
        <f>CONCATENATE("테라피스 ",Types!H3)</f>
        <v/>
      </c>
      <c r="I83" s="29">
        <f>CONCATENATE(Types!I3, "太晶碎塊")</f>
        <v/>
      </c>
      <c r="J83" s="29">
        <f>CONCATENATE(Types!J3, "太晶碎块")</f>
        <v/>
      </c>
      <c r="K83" s="29">
        <f>F83</f>
        <v/>
      </c>
    </row>
    <row r="84">
      <c r="A84" s="29">
        <f>CONCATENATE("NAME_ITEM_", SUBSTITUTE(UPPER(B84), " ", ""))</f>
        <v/>
      </c>
      <c r="B84" s="29">
        <f>CONCATENATE(Types!B4, " Tera Shard")</f>
        <v/>
      </c>
      <c r="C84" s="29">
        <f>CONCATENATE("テラピース",Types!C4)</f>
        <v/>
      </c>
      <c r="D84" s="29">
        <f>CONCATENATE("Téra-Éclat ",Types!D4)</f>
        <v/>
      </c>
      <c r="E84" s="29">
        <f>CONCATENATE("Tera-Stück (",Types!E4, ")")</f>
        <v/>
      </c>
      <c r="F84" s="29">
        <f>CONCATENATE("Teralito ",Types!F4)</f>
        <v/>
      </c>
      <c r="G84" s="29">
        <f>CONCATENATE("Teralite ",Types!G4)</f>
        <v/>
      </c>
      <c r="H84" s="29">
        <f>CONCATENATE("테라피스 ",Types!H4)</f>
        <v/>
      </c>
      <c r="I84" s="29">
        <f>CONCATENATE(Types!I4, "太晶碎塊")</f>
        <v/>
      </c>
      <c r="J84" s="29">
        <f>CONCATENATE(Types!J4, "太晶碎块")</f>
        <v/>
      </c>
      <c r="K84" s="29">
        <f>F84</f>
        <v/>
      </c>
    </row>
    <row r="85">
      <c r="A85" s="29">
        <f>CONCATENATE("NAME_ITEM_", SUBSTITUTE(UPPER(B85), " ", ""))</f>
        <v/>
      </c>
      <c r="B85" s="29">
        <f>CONCATENATE(Types!B5, " Tera Shard")</f>
        <v/>
      </c>
      <c r="C85" s="29">
        <f>CONCATENATE("テラピース",Types!C5)</f>
        <v/>
      </c>
      <c r="D85" s="29">
        <f>CONCATENATE("Téra-Éclat ",Types!D5)</f>
        <v/>
      </c>
      <c r="E85" s="29">
        <f>CONCATENATE("Tera-Stück (",Types!E5, ")")</f>
        <v/>
      </c>
      <c r="F85" s="29">
        <f>CONCATENATE("Teralito ",Types!F5)</f>
        <v/>
      </c>
      <c r="G85" s="29">
        <f>CONCATENATE("Teralite ",Types!G5)</f>
        <v/>
      </c>
      <c r="H85" s="29">
        <f>CONCATENATE("테라피스 ",Types!H5)</f>
        <v/>
      </c>
      <c r="I85" s="29">
        <f>CONCATENATE(Types!I5, "太晶碎塊")</f>
        <v/>
      </c>
      <c r="J85" s="29">
        <f>CONCATENATE(Types!J5, "太晶碎块")</f>
        <v/>
      </c>
      <c r="K85" s="29">
        <f>F85</f>
        <v/>
      </c>
    </row>
    <row r="86">
      <c r="A86" s="29">
        <f>CONCATENATE("NAME_ITEM_", SUBSTITUTE(UPPER(B86), " ", ""))</f>
        <v/>
      </c>
      <c r="B86" s="29">
        <f>CONCATENATE(Types!B6, " Tera Shard")</f>
        <v/>
      </c>
      <c r="C86" s="29">
        <f>CONCATENATE("テラピース",Types!C6)</f>
        <v/>
      </c>
      <c r="D86" s="29">
        <f>CONCATENATE("Téra-Éclat ",Types!D6)</f>
        <v/>
      </c>
      <c r="E86" s="29">
        <f>CONCATENATE("Tera-Stück (",Types!E6, ")")</f>
        <v/>
      </c>
      <c r="F86" s="29">
        <f>CONCATENATE("Teralito ",Types!F6)</f>
        <v/>
      </c>
      <c r="G86" s="29">
        <f>CONCATENATE("Teralite ",Types!G6)</f>
        <v/>
      </c>
      <c r="H86" s="29">
        <f>CONCATENATE("테라피스 ",Types!H6)</f>
        <v/>
      </c>
      <c r="I86" s="29">
        <f>CONCATENATE(Types!I6, "太晶碎塊")</f>
        <v/>
      </c>
      <c r="J86" s="29">
        <f>CONCATENATE(Types!J6, "太晶碎块")</f>
        <v/>
      </c>
      <c r="K86" s="29">
        <f>F86</f>
        <v/>
      </c>
    </row>
    <row r="87">
      <c r="A87" s="29">
        <f>CONCATENATE("NAME_ITEM_", SUBSTITUTE(UPPER(B87), " ", ""))</f>
        <v/>
      </c>
      <c r="B87" s="29">
        <f>CONCATENATE(Types!B7, " Tera Shard")</f>
        <v/>
      </c>
      <c r="C87" s="29">
        <f>CONCATENATE("テラピース",Types!C7)</f>
        <v/>
      </c>
      <c r="D87" s="29">
        <f>CONCATENATE("Téra-Éclat ",Types!D7)</f>
        <v/>
      </c>
      <c r="E87" s="29">
        <f>CONCATENATE("Tera-Stück (",Types!E7, ")")</f>
        <v/>
      </c>
      <c r="F87" s="29">
        <f>CONCATENATE("Teralito ",Types!F7)</f>
        <v/>
      </c>
      <c r="G87" s="29">
        <f>CONCATENATE("Teralite ",Types!G7)</f>
        <v/>
      </c>
      <c r="H87" s="29">
        <f>CONCATENATE("테라피스 ",Types!H7)</f>
        <v/>
      </c>
      <c r="I87" s="29">
        <f>CONCATENATE(Types!I7, "太晶碎塊")</f>
        <v/>
      </c>
      <c r="J87" s="29">
        <f>CONCATENATE(Types!J7, "太晶碎块")</f>
        <v/>
      </c>
      <c r="K87" s="29">
        <f>F87</f>
        <v/>
      </c>
    </row>
    <row r="88">
      <c r="A88" s="29">
        <f>CONCATENATE("NAME_ITEM_", SUBSTITUTE(UPPER(B88), " ", ""))</f>
        <v/>
      </c>
      <c r="B88" s="29">
        <f>CONCATENATE(Types!B8, " Tera Shard")</f>
        <v/>
      </c>
      <c r="C88" s="29">
        <f>CONCATENATE("テラピース",Types!C8)</f>
        <v/>
      </c>
      <c r="D88" s="29">
        <f>CONCATENATE("Téra-Éclat ",Types!D8)</f>
        <v/>
      </c>
      <c r="E88" s="29">
        <f>CONCATENATE("Tera-Stück (",Types!E8, ")")</f>
        <v/>
      </c>
      <c r="F88" s="29">
        <f>CONCATENATE("Teralito ",Types!F8)</f>
        <v/>
      </c>
      <c r="G88" s="29">
        <f>CONCATENATE("Teralite ",Types!G8)</f>
        <v/>
      </c>
      <c r="H88" s="29">
        <f>CONCATENATE("테라피스 ",Types!H8)</f>
        <v/>
      </c>
      <c r="I88" s="29">
        <f>CONCATENATE(Types!I8, "太晶碎塊")</f>
        <v/>
      </c>
      <c r="J88" s="29">
        <f>CONCATENATE(Types!J8, "太晶碎块")</f>
        <v/>
      </c>
      <c r="K88" s="29">
        <f>F88</f>
        <v/>
      </c>
    </row>
    <row r="89">
      <c r="A89" s="29">
        <f>CONCATENATE("NAME_ITEM_", SUBSTITUTE(UPPER(B89), " ", ""))</f>
        <v/>
      </c>
      <c r="B89" s="29">
        <f>CONCATENATE(Types!B9, " Tera Shard")</f>
        <v/>
      </c>
      <c r="C89" s="29">
        <f>CONCATENATE("テラピース",Types!C9)</f>
        <v/>
      </c>
      <c r="D89" s="29">
        <f>CONCATENATE("Téra-Éclat ",Types!D9)</f>
        <v/>
      </c>
      <c r="E89" s="29">
        <f>CONCATENATE("Tera-Stück (",Types!E9, ")")</f>
        <v/>
      </c>
      <c r="F89" s="29">
        <f>CONCATENATE("Teralito ",Types!F9)</f>
        <v/>
      </c>
      <c r="G89" s="29">
        <f>CONCATENATE("Teralite ",Types!G9)</f>
        <v/>
      </c>
      <c r="H89" s="29">
        <f>CONCATENATE("테라피스 ",Types!H9)</f>
        <v/>
      </c>
      <c r="I89" s="29">
        <f>CONCATENATE(Types!I9, "太晶碎塊")</f>
        <v/>
      </c>
      <c r="J89" s="29">
        <f>CONCATENATE(Types!J9, "太晶碎块")</f>
        <v/>
      </c>
      <c r="K89" s="29">
        <f>F89</f>
        <v/>
      </c>
    </row>
    <row r="90">
      <c r="A90" s="29">
        <f>CONCATENATE("NAME_ITEM_", SUBSTITUTE(UPPER(B90), " ", ""))</f>
        <v/>
      </c>
      <c r="B90" s="29">
        <f>CONCATENATE(Types!B10, " Tera Shard")</f>
        <v/>
      </c>
      <c r="C90" s="29">
        <f>CONCATENATE("テラピース",Types!C10)</f>
        <v/>
      </c>
      <c r="D90" s="29">
        <f>CONCATENATE("Téra-Éclat ",Types!D10)</f>
        <v/>
      </c>
      <c r="E90" s="29">
        <f>CONCATENATE("Tera-Stück (",Types!E10, ")")</f>
        <v/>
      </c>
      <c r="F90" s="29">
        <f>CONCATENATE("Teralito ",Types!F10)</f>
        <v/>
      </c>
      <c r="G90" s="29">
        <f>CONCATENATE("Teralite ",Types!G10)</f>
        <v/>
      </c>
      <c r="H90" s="29">
        <f>CONCATENATE("테라피스 ",Types!H10)</f>
        <v/>
      </c>
      <c r="I90" s="29">
        <f>CONCATENATE(Types!I10, "太晶碎塊")</f>
        <v/>
      </c>
      <c r="J90" s="29">
        <f>CONCATENATE(Types!J10, "太晶碎块")</f>
        <v/>
      </c>
      <c r="K90" s="29">
        <f>F90</f>
        <v/>
      </c>
    </row>
    <row r="91">
      <c r="A91" s="29">
        <f>CONCATENATE("NAME_ITEM_", SUBSTITUTE(UPPER(B91), " ", ""))</f>
        <v/>
      </c>
      <c r="B91" s="29">
        <f>CONCATENATE(Types!B11, " Tera Shard")</f>
        <v/>
      </c>
      <c r="C91" s="29">
        <f>CONCATENATE("テラピース",Types!C11)</f>
        <v/>
      </c>
      <c r="D91" s="29">
        <f>CONCATENATE("Téra-Éclat ",Types!D11)</f>
        <v/>
      </c>
      <c r="E91" s="29">
        <f>CONCATENATE("Tera-Stück (",Types!E11, ")")</f>
        <v/>
      </c>
      <c r="F91" s="29">
        <f>CONCATENATE("Teralito ",Types!F11)</f>
        <v/>
      </c>
      <c r="G91" s="29">
        <f>CONCATENATE("Teralite ",Types!G11)</f>
        <v/>
      </c>
      <c r="H91" s="29">
        <f>CONCATENATE("테라피스 ",Types!H11)</f>
        <v/>
      </c>
      <c r="I91" s="29">
        <f>CONCATENATE(Types!I11, "太晶碎塊")</f>
        <v/>
      </c>
      <c r="J91" s="29">
        <f>CONCATENATE(Types!J11, "太晶碎块")</f>
        <v/>
      </c>
      <c r="K91" s="29">
        <f>F91</f>
        <v/>
      </c>
    </row>
    <row r="92">
      <c r="A92" s="29">
        <f>CONCATENATE("NAME_ITEM_", SUBSTITUTE(UPPER(B92), " ", ""))</f>
        <v/>
      </c>
      <c r="B92" s="29">
        <f>CONCATENATE(Types!B12, " Tera Shard")</f>
        <v/>
      </c>
      <c r="C92" s="29">
        <f>CONCATENATE("テラピース",Types!C12)</f>
        <v/>
      </c>
      <c r="D92" s="29">
        <f>CONCATENATE("Téra-Éclat ",Types!D12)</f>
        <v/>
      </c>
      <c r="E92" s="29">
        <f>CONCATENATE("Tera-Stück (",Types!E12, ")")</f>
        <v/>
      </c>
      <c r="F92" s="29">
        <f>CONCATENATE("Teralito ",Types!F12)</f>
        <v/>
      </c>
      <c r="G92" s="29">
        <f>CONCATENATE("Teralite ",Types!G12)</f>
        <v/>
      </c>
      <c r="H92" s="29">
        <f>CONCATENATE("테라피스 ",Types!H12)</f>
        <v/>
      </c>
      <c r="I92" s="29">
        <f>CONCATENATE(Types!I12, "太晶碎塊")</f>
        <v/>
      </c>
      <c r="J92" s="29">
        <f>CONCATENATE(Types!J12, "太晶碎块")</f>
        <v/>
      </c>
      <c r="K92" s="29">
        <f>F92</f>
        <v/>
      </c>
    </row>
    <row r="93">
      <c r="A93" s="29">
        <f>CONCATENATE("NAME_ITEM_", SUBSTITUTE(UPPER(B93), " ", ""))</f>
        <v/>
      </c>
      <c r="B93" s="29">
        <f>CONCATENATE(Types!B13, " Tera Shard")</f>
        <v/>
      </c>
      <c r="C93" s="29">
        <f>CONCATENATE("テラピース",Types!C13)</f>
        <v/>
      </c>
      <c r="D93" s="29">
        <f>CONCATENATE("Téra-Éclat ",Types!D13)</f>
        <v/>
      </c>
      <c r="E93" s="29">
        <f>CONCATENATE("Tera-Stück (",Types!E13, ")")</f>
        <v/>
      </c>
      <c r="F93" s="29">
        <f>CONCATENATE("Teralito ",Types!F13)</f>
        <v/>
      </c>
      <c r="G93" s="29">
        <f>CONCATENATE("Teralite ",Types!G13)</f>
        <v/>
      </c>
      <c r="H93" s="29">
        <f>CONCATENATE("테라피스 ",Types!H13)</f>
        <v/>
      </c>
      <c r="I93" s="29">
        <f>CONCATENATE(Types!I13, "太晶碎塊")</f>
        <v/>
      </c>
      <c r="J93" s="29">
        <f>CONCATENATE(Types!J13, "太晶碎块")</f>
        <v/>
      </c>
      <c r="K93" s="29">
        <f>F93</f>
        <v/>
      </c>
    </row>
    <row r="94">
      <c r="A94" s="29">
        <f>CONCATENATE("NAME_ITEM_", SUBSTITUTE(UPPER(B94), " ", ""))</f>
        <v/>
      </c>
      <c r="B94" s="29">
        <f>CONCATENATE(Types!B14, " Tera Shard")</f>
        <v/>
      </c>
      <c r="C94" s="29">
        <f>CONCATENATE("テラピース",Types!C14)</f>
        <v/>
      </c>
      <c r="D94" s="29">
        <f>CONCATENATE("Téra-Éclat ",Types!D14)</f>
        <v/>
      </c>
      <c r="E94" s="29">
        <f>CONCATENATE("Tera-Stück (",Types!E14, ")")</f>
        <v/>
      </c>
      <c r="F94" s="29">
        <f>CONCATENATE("Teralito ",Types!F14)</f>
        <v/>
      </c>
      <c r="G94" s="29">
        <f>CONCATENATE("Teralite ",Types!G14)</f>
        <v/>
      </c>
      <c r="H94" s="29">
        <f>CONCATENATE("테라피스 ",Types!H14)</f>
        <v/>
      </c>
      <c r="I94" s="29">
        <f>CONCATENATE(Types!I14, "太晶碎塊")</f>
        <v/>
      </c>
      <c r="J94" s="29">
        <f>CONCATENATE(Types!J14, "太晶碎块")</f>
        <v/>
      </c>
      <c r="K94" s="29">
        <f>F94</f>
        <v/>
      </c>
    </row>
    <row r="95">
      <c r="A95" s="29">
        <f>CONCATENATE("NAME_ITEM_", SUBSTITUTE(UPPER(B95), " ", ""))</f>
        <v/>
      </c>
      <c r="B95" s="29">
        <f>CONCATENATE(Types!B15, " Tera Shard")</f>
        <v/>
      </c>
      <c r="C95" s="29">
        <f>CONCATENATE("テラピース",Types!C15)</f>
        <v/>
      </c>
      <c r="D95" s="29">
        <f>CONCATENATE("Téra-Éclat ",Types!D15)</f>
        <v/>
      </c>
      <c r="E95" s="29">
        <f>CONCATENATE("Tera-Stück (",Types!E15, ")")</f>
        <v/>
      </c>
      <c r="F95" s="29">
        <f>CONCATENATE("Teralito ",Types!F15)</f>
        <v/>
      </c>
      <c r="G95" s="29">
        <f>CONCATENATE("Teralite ",Types!G15)</f>
        <v/>
      </c>
      <c r="H95" s="29">
        <f>CONCATENATE("테라피스 ",Types!H15)</f>
        <v/>
      </c>
      <c r="I95" s="29">
        <f>CONCATENATE(Types!I15, "太晶碎塊")</f>
        <v/>
      </c>
      <c r="J95" s="29">
        <f>CONCATENATE(Types!J15, "太晶碎块")</f>
        <v/>
      </c>
      <c r="K95" s="29">
        <f>F95</f>
        <v/>
      </c>
    </row>
    <row r="96">
      <c r="A96" s="29">
        <f>CONCATENATE("NAME_ITEM_", SUBSTITUTE(UPPER(B96), " ", ""))</f>
        <v/>
      </c>
      <c r="B96" s="29">
        <f>CONCATENATE(Types!B16, " Tera Shard")</f>
        <v/>
      </c>
      <c r="C96" s="29">
        <f>CONCATENATE("テラピース",Types!C16)</f>
        <v/>
      </c>
      <c r="D96" s="29">
        <f>CONCATENATE("Téra-Éclat ",Types!D16)</f>
        <v/>
      </c>
      <c r="E96" s="29">
        <f>CONCATENATE("Tera-Stück (",Types!E16, ")")</f>
        <v/>
      </c>
      <c r="F96" s="29">
        <f>CONCATENATE("Teralito ",Types!F16)</f>
        <v/>
      </c>
      <c r="G96" s="29">
        <f>CONCATENATE("Teralite ",Types!G16)</f>
        <v/>
      </c>
      <c r="H96" s="29">
        <f>CONCATENATE("테라피스 ",Types!H16)</f>
        <v/>
      </c>
      <c r="I96" s="29">
        <f>CONCATENATE(Types!I16, "太晶碎塊")</f>
        <v/>
      </c>
      <c r="J96" s="29">
        <f>CONCATENATE(Types!J16, "太晶碎块")</f>
        <v/>
      </c>
      <c r="K96" s="29">
        <f>F96</f>
        <v/>
      </c>
    </row>
    <row r="97">
      <c r="A97" s="29">
        <f>CONCATENATE("NAME_ITEM_", SUBSTITUTE(UPPER(B97), " ", ""))</f>
        <v/>
      </c>
      <c r="B97" s="29">
        <f>CONCATENATE(Types!B17, " Tera Shard")</f>
        <v/>
      </c>
      <c r="C97" s="29">
        <f>CONCATENATE("テラピース",Types!C17)</f>
        <v/>
      </c>
      <c r="D97" s="29">
        <f>CONCATENATE("Téra-Éclat ",Types!D17)</f>
        <v/>
      </c>
      <c r="E97" s="29">
        <f>CONCATENATE("Tera-Stück (",Types!E17, ")")</f>
        <v/>
      </c>
      <c r="F97" s="29">
        <f>CONCATENATE("Teralito ",Types!F17)</f>
        <v/>
      </c>
      <c r="G97" s="29">
        <f>CONCATENATE("Teralite ",Types!G17)</f>
        <v/>
      </c>
      <c r="H97" s="29">
        <f>CONCATENATE("테라피스 ",Types!H17)</f>
        <v/>
      </c>
      <c r="I97" s="29">
        <f>CONCATENATE(Types!I17, "太晶碎塊")</f>
        <v/>
      </c>
      <c r="J97" s="29">
        <f>CONCATENATE(Types!J17, "太晶碎块")</f>
        <v/>
      </c>
      <c r="K97" s="29">
        <f>F97</f>
        <v/>
      </c>
    </row>
    <row r="98">
      <c r="A98" s="29">
        <f>CONCATENATE("NAME_ITEM_", SUBSTITUTE(UPPER(B98), " ", ""))</f>
        <v/>
      </c>
      <c r="B98" s="29">
        <f>CONCATENATE(Types!B18, " Tera Shard")</f>
        <v/>
      </c>
      <c r="C98" s="29">
        <f>CONCATENATE("テラピース",Types!C18)</f>
        <v/>
      </c>
      <c r="D98" s="29">
        <f>CONCATENATE("Téra-Éclat ",Types!D18)</f>
        <v/>
      </c>
      <c r="E98" s="29">
        <f>CONCATENATE("Tera-Stück (",Types!E18, ")")</f>
        <v/>
      </c>
      <c r="F98" s="29">
        <f>CONCATENATE("Teralito ",Types!F18)</f>
        <v/>
      </c>
      <c r="G98" s="29">
        <f>CONCATENATE("Teralite ",Types!G18)</f>
        <v/>
      </c>
      <c r="H98" s="29">
        <f>CONCATENATE("테라피스 ",Types!H18)</f>
        <v/>
      </c>
      <c r="I98" s="29">
        <f>CONCATENATE(Types!I18, "太晶碎塊")</f>
        <v/>
      </c>
      <c r="J98" s="29">
        <f>CONCATENATE(Types!J18, "太晶碎块")</f>
        <v/>
      </c>
      <c r="K98" s="29">
        <f>F98</f>
        <v/>
      </c>
    </row>
    <row r="99">
      <c r="A99" s="29">
        <f>CONCATENATE("NAME_ITEM_", SUBSTITUTE(UPPER(B99), " ", ""))</f>
        <v/>
      </c>
      <c r="B99" s="29">
        <f>CONCATENATE(Types!B19, " Tera Shard")</f>
        <v/>
      </c>
      <c r="C99" s="29">
        <f>CONCATENATE("テラピース",Types!C19)</f>
        <v/>
      </c>
      <c r="D99" s="29">
        <f>CONCATENATE("Téra-Éclat ",Types!D19)</f>
        <v/>
      </c>
      <c r="E99" s="29">
        <f>CONCATENATE("Tera-Stück (",Types!E19, ")")</f>
        <v/>
      </c>
      <c r="F99" s="29">
        <f>CONCATENATE("Teralito ",Types!F19)</f>
        <v/>
      </c>
      <c r="G99" s="29">
        <f>CONCATENATE("Teralite ",Types!G19)</f>
        <v/>
      </c>
      <c r="H99" s="29">
        <f>CONCATENATE("테라피스 ",Types!H19)</f>
        <v/>
      </c>
      <c r="I99" s="29">
        <f>CONCATENATE(Types!I19, "太晶碎塊")</f>
        <v/>
      </c>
      <c r="J99" s="29">
        <f>CONCATENATE(Types!J19, "太晶碎块")</f>
        <v/>
      </c>
      <c r="K99" s="29">
        <f>F99</f>
        <v/>
      </c>
    </row>
    <row r="100">
      <c r="A100" s="29">
        <f>CONCATENATE("NAME_ITEM_", SUBSTITUTE(UPPER(B100), " ", ""))</f>
        <v/>
      </c>
      <c r="B100" s="29">
        <f>CONCATENATE(Types!B20, " Tera Shard")</f>
        <v/>
      </c>
      <c r="C100" s="29">
        <f>CONCATENATE("テラピース",Types!C20)</f>
        <v/>
      </c>
      <c r="D100" s="29">
        <f>CONCATENATE("Téra-Éclat ",Types!D20)</f>
        <v/>
      </c>
      <c r="E100" s="29">
        <f>CONCATENATE("Tera-Stück (",Types!E20, ")")</f>
        <v/>
      </c>
      <c r="F100" s="29">
        <f>CONCATENATE("Teralito ",Types!F20)</f>
        <v/>
      </c>
      <c r="G100" s="29">
        <f>CONCATENATE("Teralite ",Types!G20)</f>
        <v/>
      </c>
      <c r="H100" s="29">
        <f>CONCATENATE("테라피스 ",Types!H20)</f>
        <v/>
      </c>
      <c r="I100" s="29">
        <f>CONCATENATE(Types!I20, "太晶碎塊")</f>
        <v/>
      </c>
      <c r="J100" s="29">
        <f>CONCATENATE(Types!J20, "太晶碎块")</f>
        <v/>
      </c>
      <c r="K100" s="29">
        <f>F100</f>
        <v/>
      </c>
    </row>
    <row r="101">
      <c r="A101" s="29">
        <f>CONCATENATE("NAME_ITEM_", SUBSTITUTE(UPPER(B101), " ", ""))</f>
        <v/>
      </c>
      <c r="B101" s="29" t="inlineStr">
        <is>
          <t>Health Mochi</t>
        </is>
      </c>
      <c r="C101" s="29" t="inlineStr">
        <is>
          <t>たいりょくのもち</t>
        </is>
      </c>
      <c r="D101" s="29" t="inlineStr">
        <is>
          <t>Mochi Santé</t>
        </is>
      </c>
      <c r="E101" s="29" t="inlineStr">
        <is>
          <t>Heil-Mochi</t>
        </is>
      </c>
      <c r="F101" s="29" t="inlineStr">
        <is>
          <t>Mochi Vigor</t>
        </is>
      </c>
      <c r="G101" s="29" t="inlineStr">
        <is>
          <t>Mochi della salute</t>
        </is>
      </c>
      <c r="H101" s="29" t="inlineStr">
        <is>
          <t>체력떡</t>
        </is>
      </c>
      <c r="I101" s="29" t="inlineStr">
        <is>
          <t>體力糬</t>
        </is>
      </c>
      <c r="J101" s="29" t="inlineStr">
        <is>
          <t>体力粘糕</t>
        </is>
      </c>
      <c r="K101" s="29">
        <f>F101</f>
        <v/>
      </c>
    </row>
    <row r="102">
      <c r="A102" s="29">
        <f>CONCATENATE("NAME_ITEM_", SUBSTITUTE(UPPER(B102), " ", ""))</f>
        <v/>
      </c>
      <c r="B102" s="29" t="inlineStr">
        <is>
          <t>Muscle Mochi</t>
        </is>
      </c>
      <c r="C102" s="29" t="inlineStr">
        <is>
          <t>きんりょくのもと</t>
        </is>
      </c>
      <c r="D102" s="29" t="inlineStr">
        <is>
          <t>Mochi Force</t>
        </is>
      </c>
      <c r="E102" s="29" t="inlineStr">
        <is>
          <t>Kraft-Mochi</t>
        </is>
      </c>
      <c r="F102" s="29" t="inlineStr">
        <is>
          <t>Mochi Músculo</t>
        </is>
      </c>
      <c r="G102" s="29" t="inlineStr">
        <is>
          <t>Mochi della potenza</t>
        </is>
      </c>
      <c r="H102" s="29" t="inlineStr">
        <is>
          <t>근력떡</t>
        </is>
      </c>
      <c r="I102" s="29" t="inlineStr">
        <is>
          <t>肌力糬</t>
        </is>
      </c>
      <c r="J102" s="29" t="inlineStr">
        <is>
          <t>肌力粘糕</t>
        </is>
      </c>
      <c r="K102" s="29">
        <f>F102</f>
        <v/>
      </c>
    </row>
    <row r="103">
      <c r="A103" s="29">
        <f>CONCATENATE("NAME_ITEM_", SUBSTITUTE(UPPER(B103), " ", ""))</f>
        <v/>
      </c>
      <c r="B103" s="29" t="inlineStr">
        <is>
          <t>Resist Mochi</t>
        </is>
      </c>
      <c r="C103" s="29" t="inlineStr">
        <is>
          <t>ていこうのもと</t>
        </is>
      </c>
      <c r="D103" s="29" t="inlineStr">
        <is>
          <t>Mochi Armure</t>
        </is>
      </c>
      <c r="E103" s="29" t="inlineStr">
        <is>
          <t>Abwehr-Mochi</t>
        </is>
      </c>
      <c r="F103" s="29" t="inlineStr">
        <is>
          <t>Mochi Aguante</t>
        </is>
      </c>
      <c r="G103" s="29" t="inlineStr">
        <is>
          <t>Mochi della tutela</t>
        </is>
      </c>
      <c r="H103" s="29" t="inlineStr">
        <is>
          <t>저항력떡</t>
        </is>
      </c>
      <c r="I103" s="29" t="inlineStr">
        <is>
          <t>抵抗糬</t>
        </is>
      </c>
      <c r="J103" s="29" t="inlineStr">
        <is>
          <t>抵抗粘糕</t>
        </is>
      </c>
      <c r="K103" s="29">
        <f>F103</f>
        <v/>
      </c>
    </row>
    <row r="104">
      <c r="A104" s="29">
        <f>CONCATENATE("NAME_ITEM_", SUBSTITUTE(UPPER(B104), " ", ""))</f>
        <v/>
      </c>
      <c r="B104" s="29" t="inlineStr">
        <is>
          <t>Genius Mochi</t>
        </is>
      </c>
      <c r="C104" s="29" t="inlineStr">
        <is>
          <t>ちりょくのもち</t>
        </is>
      </c>
      <c r="D104" s="29" t="inlineStr">
        <is>
          <t>Mochi Esprite</t>
        </is>
      </c>
      <c r="E104" s="29" t="inlineStr">
        <is>
          <t>Genie-Mochi</t>
        </is>
      </c>
      <c r="F104" s="29" t="inlineStr">
        <is>
          <t>Mochi Intelecto</t>
        </is>
      </c>
      <c r="G104" s="29" t="inlineStr">
        <is>
          <t>Mochi dell’ingegno</t>
        </is>
      </c>
      <c r="H104" s="29" t="inlineStr">
        <is>
          <t>지력떡</t>
        </is>
      </c>
      <c r="I104" s="29" t="inlineStr">
        <is>
          <t>智力糬</t>
        </is>
      </c>
      <c r="J104" s="29" t="inlineStr">
        <is>
          <t>智力粘糕</t>
        </is>
      </c>
      <c r="K104" s="29">
        <f>F104</f>
        <v/>
      </c>
    </row>
    <row r="105">
      <c r="A105" s="29">
        <f>CONCATENATE("NAME_ITEM_", SUBSTITUTE(UPPER(B105), " ", ""))</f>
        <v/>
      </c>
      <c r="B105" s="29" t="inlineStr">
        <is>
          <t>Clever Mochi</t>
        </is>
      </c>
      <c r="C105" s="29" t="inlineStr">
        <is>
          <t>せいしんのもち</t>
        </is>
      </c>
      <c r="D105" s="29" t="inlineStr">
        <is>
          <t>Mochi Mental</t>
        </is>
      </c>
      <c r="E105" s="29" t="inlineStr">
        <is>
          <t>Esprit-Mochi</t>
        </is>
      </c>
      <c r="F105" s="29" t="inlineStr">
        <is>
          <t>Mochi Mente</t>
        </is>
      </c>
      <c r="G105" s="29" t="inlineStr">
        <is>
          <t>Mochi dell’intuito</t>
        </is>
      </c>
      <c r="H105" s="29" t="inlineStr">
        <is>
          <t>정신력떡</t>
        </is>
      </c>
      <c r="I105" s="29" t="inlineStr">
        <is>
          <t>精神糬</t>
        </is>
      </c>
      <c r="J105" s="29" t="inlineStr">
        <is>
          <t>精神粘糕</t>
        </is>
      </c>
      <c r="K105" s="29">
        <f>F105</f>
        <v/>
      </c>
    </row>
    <row r="106">
      <c r="A106" s="29">
        <f>CONCATENATE("NAME_ITEM_", SUBSTITUTE(UPPER(B106), " ", ""))</f>
        <v/>
      </c>
      <c r="B106" s="29" t="inlineStr">
        <is>
          <t>Swift Mochi</t>
        </is>
      </c>
      <c r="C106" s="29" t="inlineStr">
        <is>
          <t>しゅんぱつのもち</t>
        </is>
      </c>
      <c r="D106" s="29" t="inlineStr">
        <is>
          <t>Mochi Sprint</t>
        </is>
      </c>
      <c r="E106" s="29" t="inlineStr">
        <is>
          <t>Flink-Mochi</t>
        </is>
      </c>
      <c r="F106" s="29" t="inlineStr">
        <is>
          <t>Mochi Ímpetu</t>
        </is>
      </c>
      <c r="G106" s="29" t="inlineStr">
        <is>
          <t>Mochi della reazione</t>
        </is>
      </c>
      <c r="H106" s="29" t="inlineStr">
        <is>
          <t>순발력떡</t>
        </is>
      </c>
      <c r="I106" s="29" t="inlineStr">
        <is>
          <t>瞬發糬</t>
        </is>
      </c>
      <c r="J106" s="29" t="inlineStr">
        <is>
          <t>瞬发粘糕</t>
        </is>
      </c>
      <c r="K106" s="29">
        <f>F106</f>
        <v/>
      </c>
    </row>
    <row r="107">
      <c r="A107" s="29">
        <f>CONCATENATE("NAME_ITEM_", SUBSTITUTE(SUBSTITUTE(UPPER(B107), " ", ""), "-", ""))</f>
        <v/>
      </c>
      <c r="B107" s="29" t="inlineStr">
        <is>
          <t>Fresh-Start Mochi</t>
        </is>
      </c>
      <c r="C107" s="29" t="inlineStr">
        <is>
          <t>まっさらもち</t>
        </is>
      </c>
      <c r="D107" s="29" t="inlineStr">
        <is>
          <t>Mochi Renouveau</t>
        </is>
      </c>
      <c r="E107" s="29" t="inlineStr">
        <is>
          <t>Neuanfangs-Mochi</t>
        </is>
      </c>
      <c r="F107" s="29" t="inlineStr">
        <is>
          <t>Mochi Reinicio</t>
        </is>
      </c>
      <c r="G107" s="29" t="inlineStr">
        <is>
          <t>Mochi del repristino</t>
        </is>
      </c>
      <c r="H107" s="29" t="inlineStr">
        <is>
          <t>순백떡</t>
        </is>
      </c>
      <c r="I107" s="29" t="inlineStr">
        <is>
          <t>淨空糬</t>
        </is>
      </c>
      <c r="J107" s="29" t="inlineStr">
        <is>
          <t>净空粘糕</t>
        </is>
      </c>
      <c r="K107" s="29">
        <f>F107</f>
        <v/>
      </c>
    </row>
    <row r="108">
      <c r="A108" s="29">
        <f>CONCATENATE("NAME_ITEM_", SUBSTITUTE(UPPER(B108), " ", ""))</f>
        <v/>
      </c>
      <c r="B108" s="29" t="inlineStr">
        <is>
          <t>Master Ball</t>
        </is>
      </c>
      <c r="C108" s="29" t="inlineStr">
        <is>
          <t>マスダーボール</t>
        </is>
      </c>
      <c r="D108" s="29">
        <f>B108</f>
        <v/>
      </c>
      <c r="E108" s="29" t="inlineStr">
        <is>
          <t>Meisterball</t>
        </is>
      </c>
      <c r="F108" s="29" t="inlineStr">
        <is>
          <t>Master Ball</t>
        </is>
      </c>
      <c r="G108" s="29">
        <f>B108</f>
        <v/>
      </c>
      <c r="H108" s="29" t="inlineStr">
        <is>
          <t>마스터볼</t>
        </is>
      </c>
      <c r="I108" s="29" t="inlineStr">
        <is>
          <t>大師球</t>
        </is>
      </c>
      <c r="J108" s="29">
        <f>IFERROR(__xludf.DUMMYFUNCTION("GOOGLETRANSLATE(I108,""zh_HANT"",""zh_HANS"")"),"大师球")</f>
        <v/>
      </c>
      <c r="K108" s="29">
        <f>F108</f>
        <v/>
      </c>
    </row>
    <row r="109">
      <c r="A109" s="29">
        <f>CONCATENATE("NAME_ITEM_", SUBSTITUTE(UPPER(B109), " ", ""))</f>
        <v/>
      </c>
      <c r="B109" s="29" t="inlineStr">
        <is>
          <t>Ultra Ball</t>
        </is>
      </c>
      <c r="C109" s="29" t="inlineStr">
        <is>
          <t>ハイパーボール</t>
        </is>
      </c>
      <c r="D109" s="29" t="inlineStr">
        <is>
          <t>Hyper Ball</t>
        </is>
      </c>
      <c r="E109" s="29" t="inlineStr">
        <is>
          <t>Hyperball</t>
        </is>
      </c>
      <c r="F109" s="29" t="inlineStr">
        <is>
          <t>Ultra Ball</t>
        </is>
      </c>
      <c r="G109" s="29">
        <f>B109</f>
        <v/>
      </c>
      <c r="H109" s="29" t="inlineStr">
        <is>
          <t>하이퍼볼</t>
        </is>
      </c>
      <c r="I109" s="29" t="inlineStr">
        <is>
          <t>高級球</t>
        </is>
      </c>
      <c r="J109" s="29">
        <f>IFERROR(__xludf.DUMMYFUNCTION("GOOGLETRANSLATE(I109,""zh_HANT"",""zh_HANS"")"),"高级球")</f>
        <v/>
      </c>
      <c r="K109" s="29">
        <f>F109</f>
        <v/>
      </c>
    </row>
    <row r="110">
      <c r="A110" s="29">
        <f>CONCATENATE("NAME_ITEM_", SUBSTITUTE(UPPER(B110), " ", ""))</f>
        <v/>
      </c>
      <c r="B110" s="29" t="inlineStr">
        <is>
          <t>Great Ball</t>
        </is>
      </c>
      <c r="C110" s="29" t="inlineStr">
        <is>
          <t>スーパーボール</t>
        </is>
      </c>
      <c r="D110" s="29" t="inlineStr">
        <is>
          <t>Super Ball</t>
        </is>
      </c>
      <c r="E110" s="29" t="inlineStr">
        <is>
          <t>Superball</t>
        </is>
      </c>
      <c r="F110" s="29" t="inlineStr">
        <is>
          <t>Super Ball</t>
        </is>
      </c>
      <c r="G110" s="29" t="inlineStr">
        <is>
          <t>Mega Ball</t>
        </is>
      </c>
      <c r="H110" s="29" t="inlineStr">
        <is>
          <t>수퍼볼</t>
        </is>
      </c>
      <c r="I110" s="29" t="inlineStr">
        <is>
          <t>超級球</t>
        </is>
      </c>
      <c r="J110" s="29">
        <f>IFERROR(__xludf.DUMMYFUNCTION("GOOGLETRANSLATE(I110,""zh_HANT"",""zh_HANS"")"),"超级球")</f>
        <v/>
      </c>
      <c r="K110" s="29">
        <f>F110</f>
        <v/>
      </c>
    </row>
    <row r="111">
      <c r="A111" s="29" t="inlineStr">
        <is>
          <t>NAME_ITEM_POKEBALL</t>
        </is>
      </c>
      <c r="B111" s="29" t="inlineStr">
        <is>
          <t>Poké Ball</t>
        </is>
      </c>
      <c r="C111" s="29" t="inlineStr">
        <is>
          <t>モンスターボール</t>
        </is>
      </c>
      <c r="D111" s="29">
        <f>B111</f>
        <v/>
      </c>
      <c r="E111" s="29" t="inlineStr">
        <is>
          <t>Pokéball</t>
        </is>
      </c>
      <c r="F111" s="29" t="inlineStr">
        <is>
          <t>Poké Ball</t>
        </is>
      </c>
      <c r="G111" s="29">
        <f>B111</f>
        <v/>
      </c>
      <c r="H111" s="29" t="inlineStr">
        <is>
          <t>몬스터볼</t>
        </is>
      </c>
      <c r="I111" s="29" t="inlineStr">
        <is>
          <t>精靈球</t>
        </is>
      </c>
      <c r="J111" s="29">
        <f>IFERROR(__xludf.DUMMYFUNCTION("GOOGLETRANSLATE(I111,""zh_HANT"",""zh_HANS"")"),"精灵球")</f>
        <v/>
      </c>
      <c r="K111" s="29">
        <f>F111</f>
        <v/>
      </c>
    </row>
    <row r="112">
      <c r="A112" s="29">
        <f>CONCATENATE("NAME_ITEM_", SUBSTITUTE(UPPER(B112), " ", ""))</f>
        <v/>
      </c>
      <c r="B112" s="29" t="inlineStr">
        <is>
          <t>Safari Ball</t>
        </is>
      </c>
      <c r="C112" s="29" t="inlineStr">
        <is>
          <t>サファリボール</t>
        </is>
      </c>
      <c r="D112" s="29">
        <f>B112</f>
        <v/>
      </c>
      <c r="E112" s="29" t="inlineStr">
        <is>
          <t>Safariball</t>
        </is>
      </c>
      <c r="F112" s="29" t="inlineStr">
        <is>
          <t>Safari Ball</t>
        </is>
      </c>
      <c r="G112" s="29">
        <f>B112</f>
        <v/>
      </c>
      <c r="H112" s="29" t="inlineStr">
        <is>
          <t>사파리볼</t>
        </is>
      </c>
      <c r="I112" s="29" t="inlineStr">
        <is>
          <t>狩獵球</t>
        </is>
      </c>
      <c r="J112" s="29">
        <f>IFERROR(__xludf.DUMMYFUNCTION("GOOGLETRANSLATE(I112,""zh_HANT"",""zh_HANS"")"),"狩猎球")</f>
        <v/>
      </c>
      <c r="K112" s="29">
        <f>F112</f>
        <v/>
      </c>
    </row>
    <row r="113">
      <c r="A113" s="29">
        <f>CONCATENATE("NAME_ITEM_", SUBSTITUTE(UPPER(B113), " ", ""))</f>
        <v/>
      </c>
      <c r="B113" s="29" t="inlineStr">
        <is>
          <t>Fast Ball</t>
        </is>
      </c>
      <c r="C113" s="29" t="inlineStr">
        <is>
          <t>スピードボール</t>
        </is>
      </c>
      <c r="D113" s="29" t="inlineStr">
        <is>
          <t>Speed Ball</t>
        </is>
      </c>
      <c r="E113" s="29" t="inlineStr">
        <is>
          <t>Turboball</t>
        </is>
      </c>
      <c r="F113" s="29" t="inlineStr">
        <is>
          <t>Rapid Ball</t>
        </is>
      </c>
      <c r="G113" s="29">
        <f>F113</f>
        <v/>
      </c>
      <c r="H113" s="29" t="inlineStr">
        <is>
          <t>스피드볼</t>
        </is>
      </c>
      <c r="I113" s="29" t="inlineStr">
        <is>
          <t>速度球</t>
        </is>
      </c>
      <c r="J113" s="29">
        <f>I113</f>
        <v/>
      </c>
      <c r="K113" s="29">
        <f>F113</f>
        <v/>
      </c>
    </row>
    <row r="114">
      <c r="A114" s="29">
        <f>CONCATENATE("NAME_ITEM_", SUBSTITUTE(UPPER(B114), " ", ""))</f>
        <v/>
      </c>
      <c r="B114" s="29" t="inlineStr">
        <is>
          <t>Level Ball</t>
        </is>
      </c>
      <c r="C114" s="29" t="inlineStr">
        <is>
          <t>レベルボール</t>
        </is>
      </c>
      <c r="D114" s="29" t="inlineStr">
        <is>
          <t>Niveau Ball</t>
        </is>
      </c>
      <c r="E114" s="29" t="inlineStr">
        <is>
          <t>Levelball</t>
        </is>
      </c>
      <c r="F114" s="29" t="inlineStr">
        <is>
          <t>Nivel Ball</t>
        </is>
      </c>
      <c r="G114" s="29">
        <f>B114</f>
        <v/>
      </c>
      <c r="H114" s="29" t="inlineStr">
        <is>
          <t>레벨볼</t>
        </is>
      </c>
      <c r="I114" s="29" t="inlineStr">
        <is>
          <t>等級球</t>
        </is>
      </c>
      <c r="J114" s="29">
        <f>IFERROR(__xludf.DUMMYFUNCTION("GOOGLETRANSLATE(I114,""zh_HANT"",""zh_HANS"")"),"等级球")</f>
        <v/>
      </c>
      <c r="K114" s="29">
        <f>F114</f>
        <v/>
      </c>
    </row>
    <row r="115">
      <c r="A115" s="29">
        <f>CONCATENATE("NAME_ITEM_", SUBSTITUTE(UPPER(B115), " ", ""))</f>
        <v/>
      </c>
      <c r="B115" s="29" t="inlineStr">
        <is>
          <t>Lure Ball</t>
        </is>
      </c>
      <c r="C115" s="29" t="inlineStr">
        <is>
          <t>ルアーボール</t>
        </is>
      </c>
      <c r="D115" s="29" t="inlineStr">
        <is>
          <t>Appât Ball</t>
        </is>
      </c>
      <c r="E115" s="29" t="inlineStr">
        <is>
          <t>Köderball</t>
        </is>
      </c>
      <c r="F115" s="29" t="inlineStr">
        <is>
          <t>Cebo Ball</t>
        </is>
      </c>
      <c r="G115" s="29" t="inlineStr">
        <is>
          <t>Esca Ball</t>
        </is>
      </c>
      <c r="H115" s="29" t="inlineStr">
        <is>
          <t>루어볼</t>
        </is>
      </c>
      <c r="I115" s="29" t="inlineStr">
        <is>
          <t>誘餌球</t>
        </is>
      </c>
      <c r="J115" s="29">
        <f>IFERROR(__xludf.DUMMYFUNCTION("GOOGLETRANSLATE(I115,""zh_HANT"",""zh_HANS"")"),"诱饵球")</f>
        <v/>
      </c>
      <c r="K115" s="29">
        <f>F115</f>
        <v/>
      </c>
    </row>
    <row r="116">
      <c r="A116" s="29">
        <f>CONCATENATE("NAME_ITEM_", SUBSTITUTE(UPPER(B116), " ", ""))</f>
        <v/>
      </c>
      <c r="B116" s="29" t="inlineStr">
        <is>
          <t>Heavy Ball</t>
        </is>
      </c>
      <c r="C116" s="29" t="inlineStr">
        <is>
          <t>ヘビーボール</t>
        </is>
      </c>
      <c r="D116" s="29" t="inlineStr">
        <is>
          <t>Masse Ball</t>
        </is>
      </c>
      <c r="E116" s="29" t="inlineStr">
        <is>
          <t>Schwerball</t>
        </is>
      </c>
      <c r="F116" s="29" t="inlineStr">
        <is>
          <t>Peso Ball</t>
        </is>
      </c>
      <c r="G116" s="29">
        <f>F116</f>
        <v/>
      </c>
      <c r="H116" s="29" t="inlineStr">
        <is>
          <t>헤비볼</t>
        </is>
      </c>
      <c r="I116" s="29" t="inlineStr">
        <is>
          <t>沉重球</t>
        </is>
      </c>
      <c r="J116" s="29">
        <f>I116</f>
        <v/>
      </c>
      <c r="K116" s="29">
        <f>F116</f>
        <v/>
      </c>
    </row>
    <row r="117">
      <c r="A117" s="29">
        <f>CONCATENATE("NAME_ITEM_", SUBSTITUTE(UPPER(B117), " ", ""))</f>
        <v/>
      </c>
      <c r="B117" s="29" t="inlineStr">
        <is>
          <t>Love Ball</t>
        </is>
      </c>
      <c r="C117" s="29" t="inlineStr">
        <is>
          <t>ラブラブボール</t>
        </is>
      </c>
      <c r="D117" s="29">
        <f>B117</f>
        <v/>
      </c>
      <c r="E117" s="29" t="inlineStr">
        <is>
          <t>Sympaball</t>
        </is>
      </c>
      <c r="F117" s="29" t="inlineStr">
        <is>
          <t>Amor Ball</t>
        </is>
      </c>
      <c r="G117" s="29">
        <f>B117</f>
        <v/>
      </c>
      <c r="H117" s="29" t="inlineStr">
        <is>
          <t>러브러브볼</t>
        </is>
      </c>
      <c r="I117" s="29" t="inlineStr">
        <is>
          <t>甜蜜球</t>
        </is>
      </c>
      <c r="J117" s="29">
        <f>I117</f>
        <v/>
      </c>
      <c r="K117" s="29">
        <f>F117</f>
        <v/>
      </c>
    </row>
    <row r="118">
      <c r="A118" s="29">
        <f>CONCATENATE("NAME_ITEM_", SUBSTITUTE(UPPER(B118), " ", ""))</f>
        <v/>
      </c>
      <c r="B118" s="29" t="inlineStr">
        <is>
          <t>Friend Ball</t>
        </is>
      </c>
      <c r="C118" s="29" t="inlineStr">
        <is>
          <t>フレンドボール</t>
        </is>
      </c>
      <c r="D118" s="29" t="inlineStr">
        <is>
          <t>Copain Ball</t>
        </is>
      </c>
      <c r="E118" s="29" t="inlineStr">
        <is>
          <t>Freundesball</t>
        </is>
      </c>
      <c r="F118" s="29" t="inlineStr">
        <is>
          <t>Amigo Ball</t>
        </is>
      </c>
      <c r="G118" s="29">
        <f>B118</f>
        <v/>
      </c>
      <c r="H118" s="29" t="inlineStr">
        <is>
          <t>프랜드볼</t>
        </is>
      </c>
      <c r="I118" s="29" t="inlineStr">
        <is>
          <t>友友球</t>
        </is>
      </c>
      <c r="J118" s="29">
        <f>I118</f>
        <v/>
      </c>
      <c r="K118" s="29">
        <f>F118</f>
        <v/>
      </c>
    </row>
    <row r="119">
      <c r="A119" s="29">
        <f>CONCATENATE("NAME_ITEM_", SUBSTITUTE(UPPER(B119), " ", ""))</f>
        <v/>
      </c>
      <c r="B119" s="29" t="inlineStr">
        <is>
          <t>Moon Ball</t>
        </is>
      </c>
      <c r="C119" s="29" t="inlineStr">
        <is>
          <t>ムーンボール</t>
        </is>
      </c>
      <c r="D119" s="29" t="inlineStr">
        <is>
          <t>Lune Ball</t>
        </is>
      </c>
      <c r="E119" s="29" t="inlineStr">
        <is>
          <t>Mondball</t>
        </is>
      </c>
      <c r="F119" s="29" t="inlineStr">
        <is>
          <t>Luna Ball</t>
        </is>
      </c>
      <c r="G119" s="29">
        <f>F119</f>
        <v/>
      </c>
      <c r="H119" s="29" t="inlineStr">
        <is>
          <t>문볼</t>
        </is>
      </c>
      <c r="I119" s="29" t="inlineStr">
        <is>
          <t>月亮球</t>
        </is>
      </c>
      <c r="J119" s="29">
        <f>I119</f>
        <v/>
      </c>
      <c r="K119" s="29">
        <f>F119</f>
        <v/>
      </c>
    </row>
    <row r="120">
      <c r="A120" s="29">
        <f>CONCATENATE("NAME_ITEM_", SUBSTITUTE(UPPER(B120), " ", ""))</f>
        <v/>
      </c>
      <c r="B120" s="29" t="inlineStr">
        <is>
          <t>Sport Ball</t>
        </is>
      </c>
      <c r="C120" s="29" t="inlineStr">
        <is>
          <t>コンペボール</t>
        </is>
      </c>
      <c r="D120" s="29" t="inlineStr">
        <is>
          <t>Compét'Ball</t>
        </is>
      </c>
      <c r="E120" s="29" t="inlineStr">
        <is>
          <t>Turnierball</t>
        </is>
      </c>
      <c r="F120" s="29" t="inlineStr">
        <is>
          <t>Competi Ball</t>
        </is>
      </c>
      <c r="G120" s="29" t="inlineStr">
        <is>
          <t>Gara Ball</t>
        </is>
      </c>
      <c r="H120" s="29" t="inlineStr">
        <is>
          <t>콤페볼</t>
        </is>
      </c>
      <c r="I120" s="29" t="inlineStr">
        <is>
          <t>競賽球</t>
        </is>
      </c>
      <c r="J120" s="29">
        <f>IFERROR(__xludf.DUMMYFUNCTION("GOOGLETRANSLATE(I120,""zh_HANT"",""zh_HANS"")"),"竞赛球")</f>
        <v/>
      </c>
      <c r="K120" s="29">
        <f>F120</f>
        <v/>
      </c>
    </row>
    <row r="121">
      <c r="A121" s="29">
        <f>CONCATENATE("NAME_ITEM_", SUBSTITUTE(UPPER(B121), " ", ""))</f>
        <v/>
      </c>
      <c r="B121" s="29" t="inlineStr">
        <is>
          <t>Net Ball</t>
        </is>
      </c>
      <c r="C121" s="29" t="inlineStr">
        <is>
          <t>ネットボール</t>
        </is>
      </c>
      <c r="D121" s="29" t="inlineStr">
        <is>
          <t>Filet Ball</t>
        </is>
      </c>
      <c r="E121" s="29" t="inlineStr">
        <is>
          <t>Netzball</t>
        </is>
      </c>
      <c r="F121" s="29" t="inlineStr">
        <is>
          <t>Malla Ball</t>
        </is>
      </c>
      <c r="G121" s="29" t="inlineStr">
        <is>
          <t>Rete Ball</t>
        </is>
      </c>
      <c r="H121" s="29" t="inlineStr">
        <is>
          <t>넷트볼</t>
        </is>
      </c>
      <c r="I121" s="29" t="inlineStr">
        <is>
          <t>捕網球</t>
        </is>
      </c>
      <c r="J121" s="29">
        <f>IFERROR(__xludf.DUMMYFUNCTION("GOOGLETRANSLATE(I121,""zh_HANT"",""zh_HANS"")"),"捕网球")</f>
        <v/>
      </c>
      <c r="K121" s="29">
        <f>F121</f>
        <v/>
      </c>
    </row>
    <row r="122">
      <c r="A122" s="29">
        <f>CONCATENATE("NAME_ITEM_", SUBSTITUTE(UPPER(B122), " ", ""))</f>
        <v/>
      </c>
      <c r="B122" s="29" t="inlineStr">
        <is>
          <t>Dive Ball</t>
        </is>
      </c>
      <c r="C122" s="29" t="inlineStr">
        <is>
          <t>ダイブボール</t>
        </is>
      </c>
      <c r="D122" s="29" t="inlineStr">
        <is>
          <t>Scuba Ball</t>
        </is>
      </c>
      <c r="E122" s="29" t="inlineStr">
        <is>
          <t>Tauchball</t>
        </is>
      </c>
      <c r="F122" s="29" t="inlineStr">
        <is>
          <t>Buceo Ball</t>
        </is>
      </c>
      <c r="G122" s="29" t="inlineStr">
        <is>
          <t>Sub Ball</t>
        </is>
      </c>
      <c r="H122" s="29" t="inlineStr">
        <is>
          <t>다이브볼</t>
        </is>
      </c>
      <c r="I122" s="29" t="inlineStr">
        <is>
          <t>潛水球</t>
        </is>
      </c>
      <c r="J122" s="29">
        <f>IFERROR(__xludf.DUMMYFUNCTION("GOOGLETRANSLATE(I122,""zh_HANT"",""zh_HANS"")"),"潜水球")</f>
        <v/>
      </c>
      <c r="K122" s="29">
        <f>F122</f>
        <v/>
      </c>
    </row>
    <row r="123">
      <c r="A123" s="29">
        <f>CONCATENATE("NAME_ITEM_", SUBSTITUTE(UPPER(B123), " ", ""))</f>
        <v/>
      </c>
      <c r="B123" s="29" t="inlineStr">
        <is>
          <t>Nest Ball</t>
        </is>
      </c>
      <c r="C123" s="29" t="inlineStr">
        <is>
          <t>ネストボール</t>
        </is>
      </c>
      <c r="D123" s="29" t="inlineStr">
        <is>
          <t>Faiblo Ball</t>
        </is>
      </c>
      <c r="E123" s="29" t="inlineStr">
        <is>
          <t>Nestball</t>
        </is>
      </c>
      <c r="F123" s="29" t="inlineStr">
        <is>
          <t>Nido Ball</t>
        </is>
      </c>
      <c r="G123" s="29" t="inlineStr">
        <is>
          <t>Minor Ball</t>
        </is>
      </c>
      <c r="H123" s="29" t="inlineStr">
        <is>
          <t>네스트볼</t>
        </is>
      </c>
      <c r="I123" s="29" t="inlineStr">
        <is>
          <t>巢穴球</t>
        </is>
      </c>
      <c r="J123" s="29">
        <f>I123</f>
        <v/>
      </c>
      <c r="K123" s="29">
        <f>F123</f>
        <v/>
      </c>
    </row>
    <row r="124">
      <c r="A124" s="29">
        <f>CONCATENATE("NAME_ITEM_", SUBSTITUTE(UPPER(B124), " ", ""))</f>
        <v/>
      </c>
      <c r="B124" s="29" t="inlineStr">
        <is>
          <t>Repeat Ball</t>
        </is>
      </c>
      <c r="C124" s="29" t="inlineStr">
        <is>
          <t>リピートボール</t>
        </is>
      </c>
      <c r="D124" s="29" t="inlineStr">
        <is>
          <t>Bis Ball</t>
        </is>
      </c>
      <c r="E124" s="29" t="inlineStr">
        <is>
          <t>Wiederball</t>
        </is>
      </c>
      <c r="F124" s="29" t="inlineStr">
        <is>
          <t>Acopio Ball</t>
        </is>
      </c>
      <c r="G124" s="29" t="inlineStr">
        <is>
          <t>Bis Ball</t>
        </is>
      </c>
      <c r="H124" s="29" t="inlineStr">
        <is>
          <t>리피트볼</t>
        </is>
      </c>
      <c r="I124" s="29" t="inlineStr">
        <is>
          <t>重複球</t>
        </is>
      </c>
      <c r="J124" s="29">
        <f>IFERROR(__xludf.DUMMYFUNCTION("GOOGLETRANSLATE(I124,""zh_HANT"",""zh_HANS"")"),"重复球")</f>
        <v/>
      </c>
      <c r="K124" s="29">
        <f>F124</f>
        <v/>
      </c>
    </row>
    <row r="125">
      <c r="A125" s="29">
        <f>CONCATENATE("NAME_ITEM_", SUBSTITUTE(UPPER(B125), " ", ""))</f>
        <v/>
      </c>
      <c r="B125" s="29" t="inlineStr">
        <is>
          <t>Timer Ball</t>
        </is>
      </c>
      <c r="C125" s="29" t="inlineStr">
        <is>
          <t>タイマーボール</t>
        </is>
      </c>
      <c r="D125" s="29" t="inlineStr">
        <is>
          <t>Chrono Ball</t>
        </is>
      </c>
      <c r="E125" s="29" t="inlineStr">
        <is>
          <t>Timerball</t>
        </is>
      </c>
      <c r="F125" s="29" t="inlineStr">
        <is>
          <t>Turno Ball</t>
        </is>
      </c>
      <c r="G125" s="29">
        <f>B125</f>
        <v/>
      </c>
      <c r="H125" s="29" t="inlineStr">
        <is>
          <t>타이마볼</t>
        </is>
      </c>
      <c r="I125" s="29" t="inlineStr">
        <is>
          <t>計時球</t>
        </is>
      </c>
      <c r="J125" s="29">
        <f>IFERROR(__xludf.DUMMYFUNCTION("GOOGLETRANSLATE(I125,""zh_HANT"",""zh_HANS"")"),"计时球")</f>
        <v/>
      </c>
      <c r="K125" s="29">
        <f>F125</f>
        <v/>
      </c>
    </row>
    <row r="126">
      <c r="A126" s="29">
        <f>CONCATENATE("NAME_ITEM_", SUBSTITUTE(UPPER(B126), " ", ""))</f>
        <v/>
      </c>
      <c r="B126" s="29" t="inlineStr">
        <is>
          <t>Luxury Ball</t>
        </is>
      </c>
      <c r="C126" s="29" t="inlineStr">
        <is>
          <t>ゴージャスボール</t>
        </is>
      </c>
      <c r="D126" s="29" t="inlineStr">
        <is>
          <t>Luxe Ball</t>
        </is>
      </c>
      <c r="E126" s="29" t="inlineStr">
        <is>
          <t>Luxusball</t>
        </is>
      </c>
      <c r="F126" s="29" t="inlineStr">
        <is>
          <t>Lujo Ball</t>
        </is>
      </c>
      <c r="G126" s="29" t="inlineStr">
        <is>
          <t>Chic Ball</t>
        </is>
      </c>
      <c r="H126" s="29" t="inlineStr">
        <is>
          <t>럭셔리볼</t>
        </is>
      </c>
      <c r="I126" s="29" t="inlineStr">
        <is>
          <t>豪華球</t>
        </is>
      </c>
      <c r="J126" s="29">
        <f>IFERROR(__xludf.DUMMYFUNCTION("GOOGLETRANSLATE(I126,""zh_HANT"",""zh_HANS"")"),"豪华球")</f>
        <v/>
      </c>
      <c r="K126" s="29">
        <f>F126</f>
        <v/>
      </c>
    </row>
    <row r="127">
      <c r="A127" s="29">
        <f>CONCATENATE("NAME_ITEM_", SUBSTITUTE(UPPER(B127), " ", ""))</f>
        <v/>
      </c>
      <c r="B127" s="29" t="inlineStr">
        <is>
          <t>Premier Ball</t>
        </is>
      </c>
      <c r="C127" s="29" t="inlineStr">
        <is>
          <t>プレミアボール</t>
        </is>
      </c>
      <c r="D127" s="29" t="inlineStr">
        <is>
          <t>Honor Ball</t>
        </is>
      </c>
      <c r="E127" s="29" t="inlineStr">
        <is>
          <t>Premierball</t>
        </is>
      </c>
      <c r="F127" s="29" t="inlineStr">
        <is>
          <t>Honor Ball</t>
        </is>
      </c>
      <c r="G127" s="29">
        <f>B127</f>
        <v/>
      </c>
      <c r="H127" s="29" t="inlineStr">
        <is>
          <t>프레미어볼</t>
        </is>
      </c>
      <c r="I127" s="29" t="inlineStr">
        <is>
          <t>紀念球</t>
        </is>
      </c>
      <c r="J127" s="29">
        <f>IFERROR(__xludf.DUMMYFUNCTION("GOOGLETRANSLATE(I127,""zh_HANT"",""zh_HANS"")"),"纪念球")</f>
        <v/>
      </c>
      <c r="K127" s="29">
        <f>F127</f>
        <v/>
      </c>
    </row>
    <row r="128">
      <c r="A128" s="29">
        <f>CONCATENATE("NAME_ITEM_", SUBSTITUTE(UPPER(B128), " ", ""))</f>
        <v/>
      </c>
      <c r="B128" s="29" t="inlineStr">
        <is>
          <t>Dusk Ball</t>
        </is>
      </c>
      <c r="C128" s="29" t="inlineStr">
        <is>
          <t>ダークボール</t>
        </is>
      </c>
      <c r="D128" s="29" t="inlineStr">
        <is>
          <t>Sombre Ball</t>
        </is>
      </c>
      <c r="E128" s="29" t="inlineStr">
        <is>
          <t>Finsterball</t>
        </is>
      </c>
      <c r="F128" s="29" t="inlineStr">
        <is>
          <t>Ocaso Ball</t>
        </is>
      </c>
      <c r="G128" s="29" t="inlineStr">
        <is>
          <t>Scuro Ball</t>
        </is>
      </c>
      <c r="H128" s="29" t="inlineStr">
        <is>
          <t>다크볼</t>
        </is>
      </c>
      <c r="I128" s="29" t="inlineStr">
        <is>
          <t>黑暗球</t>
        </is>
      </c>
      <c r="J128" s="29">
        <f>I128</f>
        <v/>
      </c>
      <c r="K128" s="29">
        <f>F128</f>
        <v/>
      </c>
    </row>
    <row r="129">
      <c r="A129" s="29">
        <f>CONCATENATE("NAME_ITEM_", SUBSTITUTE(UPPER(B129), " ", ""))</f>
        <v/>
      </c>
      <c r="B129" s="29" t="inlineStr">
        <is>
          <t>Heal Ball</t>
        </is>
      </c>
      <c r="C129" s="29" t="inlineStr">
        <is>
          <t>ヒールボール</t>
        </is>
      </c>
      <c r="D129" s="29" t="inlineStr">
        <is>
          <t>Soin Ball</t>
        </is>
      </c>
      <c r="E129" s="29" t="inlineStr">
        <is>
          <t>Heilball</t>
        </is>
      </c>
      <c r="F129" s="29" t="inlineStr">
        <is>
          <t>Sana Ball</t>
        </is>
      </c>
      <c r="G129" s="29" t="inlineStr">
        <is>
          <t>Cura Ball</t>
        </is>
      </c>
      <c r="H129" s="29" t="inlineStr">
        <is>
          <t>힐볼</t>
        </is>
      </c>
      <c r="I129" s="29" t="inlineStr">
        <is>
          <t>治癒球</t>
        </is>
      </c>
      <c r="J129" s="29">
        <f>IFERROR(__xludf.DUMMYFUNCTION("GOOGLETRANSLATE(I129,""zh_HANT"",""zh_HANS"")"),"治愈球")</f>
        <v/>
      </c>
      <c r="K129" s="29">
        <f>F129</f>
        <v/>
      </c>
    </row>
    <row r="130">
      <c r="A130" s="29">
        <f>CONCATENATE("NAME_ITEM_", SUBSTITUTE(UPPER(B130), " ", ""))</f>
        <v/>
      </c>
      <c r="B130" s="29" t="inlineStr">
        <is>
          <t>Quick Ball</t>
        </is>
      </c>
      <c r="C130" s="29" t="inlineStr">
        <is>
          <t>クイックボール</t>
        </is>
      </c>
      <c r="D130" s="29" t="inlineStr">
        <is>
          <t>Rapide Ball</t>
        </is>
      </c>
      <c r="E130" s="29" t="inlineStr">
        <is>
          <t>Flottbal</t>
        </is>
      </c>
      <c r="F130" s="29" t="inlineStr">
        <is>
          <t>Veloz Ball</t>
        </is>
      </c>
      <c r="G130" s="29" t="inlineStr">
        <is>
          <t>Velox Ball</t>
        </is>
      </c>
      <c r="H130" s="29" t="inlineStr">
        <is>
          <t>퀵볼</t>
        </is>
      </c>
      <c r="I130" s="29" t="inlineStr">
        <is>
          <t>先機球</t>
        </is>
      </c>
      <c r="J130" s="29">
        <f>IFERROR(__xludf.DUMMYFUNCTION("GOOGLETRANSLATE(I130,""zh_HANT"",""zh_HANS"")"),"先机球")</f>
        <v/>
      </c>
      <c r="K130" s="29">
        <f>F130</f>
        <v/>
      </c>
    </row>
    <row r="131">
      <c r="A131" s="29">
        <f>CONCATENATE("NAME_ITEM_", SUBSTITUTE(UPPER(B131), " ", ""))</f>
        <v/>
      </c>
      <c r="B131" s="29" t="inlineStr">
        <is>
          <t>Cherish Ball</t>
        </is>
      </c>
      <c r="C131" s="29" t="inlineStr">
        <is>
          <t>プレシャスボール</t>
        </is>
      </c>
      <c r="D131" s="29" t="inlineStr">
        <is>
          <t>Mémoire Ball</t>
        </is>
      </c>
      <c r="E131" s="29" t="inlineStr">
        <is>
          <t>Jubelball</t>
        </is>
      </c>
      <c r="F131" s="29" t="inlineStr">
        <is>
          <t>Gloria Ball</t>
        </is>
      </c>
      <c r="G131" s="29" t="inlineStr">
        <is>
          <t>Pregio Ball</t>
        </is>
      </c>
      <c r="H131" s="29" t="inlineStr">
        <is>
          <t>프레셔스볼</t>
        </is>
      </c>
      <c r="I131" s="29" t="inlineStr">
        <is>
          <t>貴重球</t>
        </is>
      </c>
      <c r="J131" s="29">
        <f>IFERROR(__xludf.DUMMYFUNCTION("GOOGLETRANSLATE(I131,""zh_HANT"",""zh_HANS"")"),"贵重球")</f>
        <v/>
      </c>
      <c r="K131" s="29">
        <f>F131</f>
        <v/>
      </c>
    </row>
    <row r="132">
      <c r="A132" s="29">
        <f>CONCATENATE("NAME_ITEM_", SUBSTITUTE(UPPER(B132), " ", ""))</f>
        <v/>
      </c>
      <c r="B132" s="29" t="inlineStr">
        <is>
          <t>Park Ball</t>
        </is>
      </c>
      <c r="C132" s="29" t="inlineStr">
        <is>
          <t>パークボール</t>
        </is>
      </c>
      <c r="D132" s="29" t="inlineStr">
        <is>
          <t>Parc Ball</t>
        </is>
      </c>
      <c r="E132" s="29" t="inlineStr">
        <is>
          <t>Parkball</t>
        </is>
      </c>
      <c r="F132" s="29" t="inlineStr">
        <is>
          <t>Parque Ball</t>
        </is>
      </c>
      <c r="G132" s="29" t="inlineStr">
        <is>
          <t>Parco Ball</t>
        </is>
      </c>
      <c r="H132" s="29" t="inlineStr">
        <is>
          <t>파크볼</t>
        </is>
      </c>
      <c r="I132" s="29" t="inlineStr">
        <is>
          <t>公園球</t>
        </is>
      </c>
      <c r="J132" s="29">
        <f>IFERROR(__xludf.DUMMYFUNCTION("GOOGLETRANSLATE(I132,""zh_HANT"",""zh_HANS"")"),"公园球")</f>
        <v/>
      </c>
      <c r="K132" s="29">
        <f>F132</f>
        <v/>
      </c>
    </row>
    <row r="133">
      <c r="A133" s="29">
        <f>CONCATENATE("NAME_ITEM_", SUBSTITUTE(UPPER(B133), " ", ""))</f>
        <v/>
      </c>
      <c r="B133" s="29" t="inlineStr">
        <is>
          <t>Dream Ball</t>
        </is>
      </c>
      <c r="C133" s="29" t="inlineStr">
        <is>
          <t>ドリームボール</t>
        </is>
      </c>
      <c r="D133" s="29" t="inlineStr">
        <is>
          <t>Rêve Ball</t>
        </is>
      </c>
      <c r="E133" s="29" t="inlineStr">
        <is>
          <t>Traumball</t>
        </is>
      </c>
      <c r="F133" s="29" t="inlineStr">
        <is>
          <t>Ensueño Ball</t>
        </is>
      </c>
      <c r="G133" s="29">
        <f>B133</f>
        <v/>
      </c>
      <c r="H133" s="29" t="inlineStr">
        <is>
          <t>드림볼</t>
        </is>
      </c>
      <c r="I133" s="29" t="inlineStr">
        <is>
          <t>夢境球</t>
        </is>
      </c>
      <c r="J133" s="29">
        <f>IFERROR(__xludf.DUMMYFUNCTION("GOOGLETRANSLATE(I133,""zh_HANT"",""zh_HANS"")"),"梦境球")</f>
        <v/>
      </c>
      <c r="K133" s="29">
        <f>F133</f>
        <v/>
      </c>
    </row>
    <row r="134">
      <c r="A134" s="29">
        <f>CONCATENATE("NAME_ITEM_", SUBSTITUTE(UPPER(B134), " ", ""))</f>
        <v/>
      </c>
      <c r="B134" s="29" t="inlineStr">
        <is>
          <t>Beast Ball</t>
        </is>
      </c>
      <c r="C134" s="29" t="inlineStr">
        <is>
          <t>ウルトラボール</t>
        </is>
      </c>
      <c r="D134" s="29" t="inlineStr">
        <is>
          <t>Ultra Ball</t>
        </is>
      </c>
      <c r="E134" s="29" t="inlineStr">
        <is>
          <t>Ultraball</t>
        </is>
      </c>
      <c r="F134" s="29" t="inlineStr">
        <is>
          <t>Ente Ball</t>
        </is>
      </c>
      <c r="G134" s="29" t="inlineStr">
        <is>
          <t>UC Ball</t>
        </is>
      </c>
      <c r="H134" s="29" t="inlineStr">
        <is>
          <t>울트라볼</t>
        </is>
      </c>
      <c r="I134" s="29" t="inlineStr">
        <is>
          <t>究極球</t>
        </is>
      </c>
      <c r="J134" s="29">
        <f>IFERROR(__xludf.DUMMYFUNCTION("GOOGLETRANSLATE(I134,""zh_HANT"",""zh_HANS"")"),"究极球")</f>
        <v/>
      </c>
      <c r="K134" s="29">
        <f>F134</f>
        <v/>
      </c>
    </row>
    <row r="135">
      <c r="A135" s="29">
        <f>CONCATENATE("NAME_ITEM_", SUBSTITUTE(SUBSTITUTE(UPPER(B135), " ", ""), ".", ""))</f>
        <v/>
      </c>
      <c r="B135" s="29" t="inlineStr">
        <is>
          <t>Guard Spec.</t>
        </is>
      </c>
      <c r="C135" s="29" t="inlineStr">
        <is>
          <t>エフェクトガード</t>
        </is>
      </c>
      <c r="D135" s="29" t="inlineStr">
        <is>
          <t>Garde-Stats</t>
        </is>
      </c>
      <c r="E135" s="29" t="inlineStr">
        <is>
          <t>Megablock</t>
        </is>
      </c>
      <c r="F135" s="29" t="inlineStr">
        <is>
          <t>Protección X</t>
        </is>
      </c>
      <c r="G135" s="29" t="inlineStr">
        <is>
          <t>Superguardia</t>
        </is>
      </c>
      <c r="H135" s="29" t="inlineStr">
        <is>
          <t>이펙트가드</t>
        </is>
      </c>
      <c r="I135" s="29" t="inlineStr">
        <is>
          <t>能力防守</t>
        </is>
      </c>
      <c r="J135" s="29">
        <f>I135</f>
        <v/>
      </c>
      <c r="K135" s="29">
        <f>F135</f>
        <v/>
      </c>
    </row>
    <row r="136">
      <c r="A136" s="29">
        <f>CONCATENATE("NAME_ITEM_", SUBSTITUTE(SUBSTITUTE(UPPER(B136), " ", ""), ".", ""))</f>
        <v/>
      </c>
      <c r="B136" s="29" t="inlineStr">
        <is>
          <t>Dire Hit</t>
        </is>
      </c>
      <c r="C136" s="29" t="inlineStr">
        <is>
          <t>クリティカット</t>
        </is>
      </c>
      <c r="D136" s="29" t="inlineStr">
        <is>
          <t>Muscle +</t>
        </is>
      </c>
      <c r="E136" s="29" t="inlineStr">
        <is>
          <t>Angriffplus</t>
        </is>
      </c>
      <c r="F136" s="29" t="inlineStr">
        <is>
          <t>Crítico X</t>
        </is>
      </c>
      <c r="G136" s="29" t="inlineStr">
        <is>
          <t>Supercolpo</t>
        </is>
      </c>
      <c r="H136" s="29" t="inlineStr">
        <is>
          <t>크리티컬커터</t>
        </is>
      </c>
      <c r="I136" s="29" t="inlineStr">
        <is>
          <t>要害攻擊</t>
        </is>
      </c>
      <c r="J136" s="29">
        <f>IFERROR(__xludf.DUMMYFUNCTION("GOOGLETRANSLATE(I136,""zh_HANT"",""zh_HANS"")"),"要害攻击")</f>
        <v/>
      </c>
      <c r="K136" s="29">
        <f>F136</f>
        <v/>
      </c>
    </row>
    <row r="137">
      <c r="A137" s="29">
        <f>CONCATENATE("NAME_ITEM_", SUBSTITUTE(SUBSTITUTE(UPPER(B137), " ", ""), ".", ""))</f>
        <v/>
      </c>
      <c r="B137" s="29" t="inlineStr">
        <is>
          <t>X Attack</t>
        </is>
      </c>
      <c r="C137" s="29" t="inlineStr">
        <is>
          <t>プラスパワー</t>
        </is>
      </c>
      <c r="D137" s="29" t="inlineStr">
        <is>
          <t>Attaque +</t>
        </is>
      </c>
      <c r="E137" s="29" t="inlineStr">
        <is>
          <t>X-Angriff</t>
        </is>
      </c>
      <c r="F137" s="29" t="inlineStr">
        <is>
          <t>Ataque X</t>
        </is>
      </c>
      <c r="G137" s="29" t="inlineStr">
        <is>
          <t>Attaco X</t>
        </is>
      </c>
      <c r="H137" s="29" t="inlineStr">
        <is>
          <t>플러스파워</t>
        </is>
      </c>
      <c r="I137" s="29" t="inlineStr">
        <is>
          <t>力量強化</t>
        </is>
      </c>
      <c r="J137" s="29">
        <f>IFERROR(__xludf.DUMMYFUNCTION("GOOGLETRANSLATE(I137,""zh_HANT"",""zh_HANS"")"),"力量强化")</f>
        <v/>
      </c>
      <c r="K137" s="29">
        <f>F137</f>
        <v/>
      </c>
    </row>
    <row r="138">
      <c r="A138" s="29">
        <f>CONCATENATE("NAME_ITEM_", SUBSTITUTE(SUBSTITUTE(UPPER(B138), " ", ""), ".", ""))</f>
        <v/>
      </c>
      <c r="B138" s="29" t="inlineStr">
        <is>
          <t>X Defence</t>
        </is>
      </c>
      <c r="C138" s="29" t="inlineStr">
        <is>
          <t>ディフェンダー</t>
        </is>
      </c>
      <c r="D138" s="29" t="inlineStr">
        <is>
          <t>Défense +</t>
        </is>
      </c>
      <c r="E138" s="29" t="inlineStr">
        <is>
          <t>X-Verteidigung</t>
        </is>
      </c>
      <c r="F138" s="29" t="inlineStr">
        <is>
          <t>Defensa X</t>
        </is>
      </c>
      <c r="G138" s="29" t="inlineStr">
        <is>
          <t>Difesa X</t>
        </is>
      </c>
      <c r="H138" s="29" t="inlineStr">
        <is>
          <t>디펜드업</t>
        </is>
      </c>
      <c r="I138" s="29" t="inlineStr">
        <is>
          <t>防禦強化</t>
        </is>
      </c>
      <c r="J138" s="29">
        <f>IFERROR(__xludf.DUMMYFUNCTION("GOOGLETRANSLATE(I138,""zh_HANT"",""zh_HANS"")"),"防御强化")</f>
        <v/>
      </c>
      <c r="K138" s="29">
        <f>F138</f>
        <v/>
      </c>
    </row>
    <row r="139">
      <c r="A139" s="29">
        <f>CONCATENATE("NAME_ITEM_", SUBSTITUTE(SUBSTITUTE(UPPER(B139), " ", ""), ".", ""))</f>
        <v/>
      </c>
      <c r="B139" s="29" t="inlineStr">
        <is>
          <t>X Speed</t>
        </is>
      </c>
      <c r="C139" s="29" t="inlineStr">
        <is>
          <t>スピーダー</t>
        </is>
      </c>
      <c r="D139" s="29" t="inlineStr">
        <is>
          <t>Vitesse +</t>
        </is>
      </c>
      <c r="E139" s="29" t="inlineStr">
        <is>
          <t>X-Initiative</t>
        </is>
      </c>
      <c r="F139" s="29" t="inlineStr">
        <is>
          <t>Velocidad X</t>
        </is>
      </c>
      <c r="G139" s="29" t="inlineStr">
        <is>
          <t>Velocità X</t>
        </is>
      </c>
      <c r="H139" s="29" t="inlineStr">
        <is>
          <t>스피드업</t>
        </is>
      </c>
      <c r="I139" s="29" t="inlineStr">
        <is>
          <t>速度強化</t>
        </is>
      </c>
      <c r="J139" s="29">
        <f>IFERROR(__xludf.DUMMYFUNCTION("GOOGLETRANSLATE(I139,""zh_HANT"",""zh_HANS"")"),"速度强化")</f>
        <v/>
      </c>
      <c r="K139" s="29">
        <f>F139</f>
        <v/>
      </c>
    </row>
    <row r="140">
      <c r="A140" s="29">
        <f>CONCATENATE("NAME_ITEM_", SUBSTITUTE(SUBSTITUTE(UPPER(B140), " ", ""), ".", ""))</f>
        <v/>
      </c>
      <c r="B140" s="29" t="inlineStr">
        <is>
          <t>X Accuracy</t>
        </is>
      </c>
      <c r="C140" s="29" t="inlineStr">
        <is>
          <t>ヨクアタール</t>
        </is>
      </c>
      <c r="D140" s="29" t="inlineStr">
        <is>
          <t>Précision +</t>
        </is>
      </c>
      <c r="E140" s="29" t="inlineStr">
        <is>
          <t>X-Genauigkeit</t>
        </is>
      </c>
      <c r="F140" s="29" t="inlineStr">
        <is>
          <t>Precisión X</t>
        </is>
      </c>
      <c r="G140" s="29" t="inlineStr">
        <is>
          <t>Precisione X</t>
        </is>
      </c>
      <c r="H140" s="29" t="inlineStr">
        <is>
          <t>잘-맞히기</t>
        </is>
      </c>
      <c r="I140" s="29" t="inlineStr">
        <is>
          <t>命中強化</t>
        </is>
      </c>
      <c r="J140" s="29">
        <f>IFERROR(__xludf.DUMMYFUNCTION("GOOGLETRANSLATE(I140,""zh_HANT"",""zh_HANS"")"),"命中强化")</f>
        <v/>
      </c>
      <c r="K140" s="29">
        <f>F140</f>
        <v/>
      </c>
    </row>
    <row r="141">
      <c r="A141" s="29">
        <f>CONCATENATE("NAME_ITEM_", SUBSTITUTE(SUBSTITUTE(UPPER(B141), " ", ""), ".", ""))</f>
        <v/>
      </c>
      <c r="B141" s="29" t="inlineStr">
        <is>
          <t>X Sp. Atk</t>
        </is>
      </c>
      <c r="C141" s="29" t="inlineStr">
        <is>
          <t>スペシャルアップ</t>
        </is>
      </c>
      <c r="D141" s="29" t="inlineStr">
        <is>
          <t>Atq. Spé. +</t>
        </is>
      </c>
      <c r="E141" s="29" t="inlineStr">
        <is>
          <t>X-Sp.-Ang.</t>
        </is>
      </c>
      <c r="F141" s="29" t="inlineStr">
        <is>
          <t>At. Especial X</t>
        </is>
      </c>
      <c r="G141" s="29" t="inlineStr">
        <is>
          <t>Att. Speciale X</t>
        </is>
      </c>
      <c r="H141" s="29" t="inlineStr">
        <is>
          <t>스페셜업</t>
        </is>
      </c>
      <c r="I141" s="29" t="inlineStr">
        <is>
          <t>特攻強化</t>
        </is>
      </c>
      <c r="J141" s="29">
        <f>IFERROR(__xludf.DUMMYFUNCTION("GOOGLETRANSLATE(I141,""zh_HANT"",""zh_HANS"")"),"特攻强化")</f>
        <v/>
      </c>
      <c r="K141" s="29">
        <f>F141</f>
        <v/>
      </c>
    </row>
    <row r="142">
      <c r="A142" s="29" t="inlineStr">
        <is>
          <t>NAME_ITEM_POKEDOLL</t>
        </is>
      </c>
      <c r="B142" s="29" t="inlineStr">
        <is>
          <t>Poké Doll</t>
        </is>
      </c>
      <c r="C142" s="29" t="inlineStr">
        <is>
          <t>ピッピにんぎょう</t>
        </is>
      </c>
      <c r="D142" s="29" t="inlineStr">
        <is>
          <t>Poké Poupée</t>
        </is>
      </c>
      <c r="E142" s="29" t="inlineStr">
        <is>
          <t>Poképuppe</t>
        </is>
      </c>
      <c r="F142" s="29" t="inlineStr">
        <is>
          <t>Poké Muñeco</t>
        </is>
      </c>
      <c r="G142" s="29" t="inlineStr">
        <is>
          <t>Poké Bambola</t>
        </is>
      </c>
      <c r="H142" s="29" t="inlineStr">
        <is>
          <t>삐삐인형</t>
        </is>
      </c>
      <c r="I142" s="29" t="inlineStr">
        <is>
          <t>皮皮玩偶</t>
        </is>
      </c>
      <c r="J142" s="29">
        <f>I142</f>
        <v/>
      </c>
      <c r="K142" s="29">
        <f>F142</f>
        <v/>
      </c>
    </row>
    <row r="143">
      <c r="A143" s="29">
        <f>CONCATENATE("NAME_ITEM_", SUBSTITUTE(SUBSTITUTE(UPPER(B143), " ", ""), ".", ""))</f>
        <v/>
      </c>
      <c r="B143" s="29" t="inlineStr">
        <is>
          <t>Blue Flute</t>
        </is>
      </c>
      <c r="C143" s="29" t="inlineStr">
        <is>
          <t>あおいビードロ</t>
        </is>
      </c>
      <c r="D143" s="29" t="inlineStr">
        <is>
          <t>Flûte Bleue</t>
        </is>
      </c>
      <c r="E143" s="29" t="inlineStr">
        <is>
          <t>Blaue Flöte</t>
        </is>
      </c>
      <c r="F143" s="29" t="inlineStr">
        <is>
          <t>Flauta Azul</t>
        </is>
      </c>
      <c r="G143" s="29" t="inlineStr">
        <is>
          <t>Flauto Blu</t>
        </is>
      </c>
      <c r="H143" s="29" t="inlineStr">
        <is>
          <t>파랑비드로</t>
        </is>
      </c>
      <c r="I143" s="29" t="inlineStr">
        <is>
          <t>藍色玻璃哨</t>
        </is>
      </c>
      <c r="J143" s="29">
        <f>IFERROR(__xludf.DUMMYFUNCTION("GOOGLETRANSLATE(I143,""zh_HANT"",""zh_HANS"")"),"蓝色玻璃哨")</f>
        <v/>
      </c>
      <c r="K143" s="29">
        <f>F143</f>
        <v/>
      </c>
    </row>
    <row r="144">
      <c r="A144" s="29">
        <f>CONCATENATE("NAME_ITEM_", SUBSTITUTE(SUBSTITUTE(UPPER(B144), " ", ""), ".", ""))</f>
        <v/>
      </c>
      <c r="B144" s="29" t="inlineStr">
        <is>
          <t>Yellow Flute</t>
        </is>
      </c>
      <c r="C144" s="29" t="inlineStr">
        <is>
          <t>きいろビードロ</t>
        </is>
      </c>
      <c r="D144" s="29" t="inlineStr">
        <is>
          <t>Flûte Jaune</t>
        </is>
      </c>
      <c r="E144" s="29" t="inlineStr">
        <is>
          <t>Gelbe Flöte</t>
        </is>
      </c>
      <c r="F144" s="29" t="inlineStr">
        <is>
          <t>Flauta Amarilla</t>
        </is>
      </c>
      <c r="G144" s="29" t="inlineStr">
        <is>
          <t>Flauto Giallo</t>
        </is>
      </c>
      <c r="H144" s="29" t="inlineStr">
        <is>
          <t>노랑비드로</t>
        </is>
      </c>
      <c r="I144" s="29" t="inlineStr">
        <is>
          <t>黃色玻璃哨</t>
        </is>
      </c>
      <c r="J144" s="29">
        <f>IFERROR(__xludf.DUMMYFUNCTION("GOOGLETRANSLATE(I144,""zh_HANT"",""zh_HANS"")"),"黄色玻璃哨")</f>
        <v/>
      </c>
      <c r="K144" s="29">
        <f>F144</f>
        <v/>
      </c>
    </row>
    <row r="145">
      <c r="A145" s="29">
        <f>CONCATENATE("NAME_ITEM_", SUBSTITUTE(SUBSTITUTE(UPPER(B145), " ", ""), ".", ""))</f>
        <v/>
      </c>
      <c r="B145" s="29" t="inlineStr">
        <is>
          <t>Red Flute</t>
        </is>
      </c>
      <c r="C145" s="29" t="inlineStr">
        <is>
          <t>あかいビードロ</t>
        </is>
      </c>
      <c r="D145" s="29" t="inlineStr">
        <is>
          <t>Flûte Rouge</t>
        </is>
      </c>
      <c r="E145" s="29" t="inlineStr">
        <is>
          <t>Rote Flöte</t>
        </is>
      </c>
      <c r="F145" s="29" t="inlineStr">
        <is>
          <t>Flauta Roja</t>
        </is>
      </c>
      <c r="G145" s="29" t="inlineStr">
        <is>
          <t>Flauto Rosso</t>
        </is>
      </c>
      <c r="H145" s="29" t="inlineStr">
        <is>
          <t>빨강비드로</t>
        </is>
      </c>
      <c r="I145" s="29" t="inlineStr">
        <is>
          <t>紅色玻璃哨</t>
        </is>
      </c>
      <c r="J145" s="29">
        <f>IFERROR(__xludf.DUMMYFUNCTION("GOOGLETRANSLATE(I145,""zh_HANT"",""zh_HANS"")"),"红色玻璃哨")</f>
        <v/>
      </c>
      <c r="K145" s="29">
        <f>F145</f>
        <v/>
      </c>
    </row>
    <row r="146">
      <c r="A146" s="29">
        <f>CONCATENATE("NAME_ITEM_", SUBSTITUTE(SUBSTITUTE(UPPER(B146), " ", ""), ".", ""))</f>
        <v/>
      </c>
      <c r="B146" s="29" t="inlineStr">
        <is>
          <t>X Sp. Def</t>
        </is>
      </c>
      <c r="C146" s="29" t="inlineStr">
        <is>
          <t>スペシャルガード</t>
        </is>
      </c>
      <c r="D146" s="29" t="inlineStr">
        <is>
          <t>Def. Spé. +</t>
        </is>
      </c>
      <c r="E146" s="29" t="inlineStr">
        <is>
          <t>X-Sp.-Vert.</t>
        </is>
      </c>
      <c r="F146" s="29" t="inlineStr">
        <is>
          <t>Def. Especial X</t>
        </is>
      </c>
      <c r="G146" s="29" t="inlineStr">
        <is>
          <t>Dif. Speciale X</t>
        </is>
      </c>
      <c r="H146" s="29" t="inlineStr">
        <is>
          <t>스페셜가드</t>
        </is>
      </c>
      <c r="I146" s="29" t="inlineStr">
        <is>
          <t>特防強化</t>
        </is>
      </c>
      <c r="J146" s="29">
        <f>IFERROR(__xludf.DUMMYFUNCTION("GOOGLETRANSLATE(I146,""zh_HANT"",""zh_HANS"")"),"特防强化")</f>
        <v/>
      </c>
      <c r="K146" s="29">
        <f>F146</f>
        <v/>
      </c>
    </row>
    <row r="147">
      <c r="A147" s="29">
        <f>CONCATENATE("NAME_ITEM_", SUBSTITUTE(SUBSTITUTE(UPPER(B147), " ", ""), ".", ""))</f>
        <v/>
      </c>
      <c r="B147" s="29" t="inlineStr">
        <is>
          <t>Fluffy Tail</t>
        </is>
      </c>
      <c r="C147" s="29" t="inlineStr">
        <is>
          <t>エネコのシッポ</t>
        </is>
      </c>
      <c r="D147" s="29" t="inlineStr">
        <is>
          <t>Queue Skitty</t>
        </is>
      </c>
      <c r="E147" s="29" t="inlineStr">
        <is>
          <t>Eneco-Rute</t>
        </is>
      </c>
      <c r="F147" s="29" t="inlineStr">
        <is>
          <t>Cola Skitty</t>
        </is>
      </c>
      <c r="G147" s="29" t="inlineStr">
        <is>
          <t>Coda Skitty</t>
        </is>
      </c>
      <c r="H147" s="29" t="inlineStr">
        <is>
          <t>에나비꼬리</t>
        </is>
      </c>
      <c r="I147" s="29" t="inlineStr">
        <is>
          <t>向尾喵的尾巴</t>
        </is>
      </c>
      <c r="J147" s="29">
        <f>I147</f>
        <v/>
      </c>
      <c r="K147" s="29">
        <f>F147</f>
        <v/>
      </c>
    </row>
    <row r="148">
      <c r="A148" s="29" t="inlineStr">
        <is>
          <t>NAME_ITEM_POKETOY</t>
        </is>
      </c>
      <c r="B148" s="29" t="inlineStr">
        <is>
          <t>Poké Toy</t>
        </is>
      </c>
      <c r="C148" s="29" t="inlineStr">
        <is>
          <t>ポケじゃらし</t>
        </is>
      </c>
      <c r="D148" s="29" t="inlineStr">
        <is>
          <t>Poké Plumet</t>
        </is>
      </c>
      <c r="E148" s="29" t="inlineStr">
        <is>
          <t>Pokéwedel</t>
        </is>
      </c>
      <c r="F148" s="29" t="inlineStr">
        <is>
          <t>Pokéseñuelo</t>
        </is>
      </c>
      <c r="G148" s="29" t="inlineStr">
        <is>
          <t>Pokégingillo</t>
        </is>
      </c>
      <c r="H148" s="29" t="inlineStr">
        <is>
          <t>포켓풀</t>
        </is>
      </c>
      <c r="I148" s="29" t="inlineStr">
        <is>
          <t>寶可尾草</t>
        </is>
      </c>
      <c r="J148" s="29">
        <f>IFERROR(__xludf.DUMMYFUNCTION("GOOGLETRANSLATE(I148,""zh_HANT"",""zh_HANS"")"),"宝可尾草")</f>
        <v/>
      </c>
      <c r="K148" s="29">
        <f>F148</f>
        <v/>
      </c>
    </row>
    <row r="149">
      <c r="A149" s="29">
        <f>CONCATENATE("NAME_ITEM_", SUBSTITUTE(SUBSTITUTE(UPPER(B149), " ", ""), ".", ""))</f>
        <v/>
      </c>
      <c r="B149" s="29" t="inlineStr">
        <is>
          <t>Cheri Berry</t>
        </is>
      </c>
      <c r="C149" s="29" t="inlineStr">
        <is>
          <t>クラボのみ</t>
        </is>
      </c>
      <c r="D149" s="29" t="inlineStr">
        <is>
          <t>Baie Ceriz</t>
        </is>
      </c>
      <c r="E149" s="29" t="inlineStr">
        <is>
          <t>Amrenabeere</t>
        </is>
      </c>
      <c r="F149" s="29" t="inlineStr">
        <is>
          <t>Baya Zreza</t>
        </is>
      </c>
      <c r="G149" s="29" t="inlineStr">
        <is>
          <t>Baccaliegia</t>
        </is>
      </c>
      <c r="H149" s="29" t="inlineStr">
        <is>
          <t>버치열매</t>
        </is>
      </c>
      <c r="I149" s="29" t="inlineStr">
        <is>
          <t>櫻子果</t>
        </is>
      </c>
      <c r="J149" s="29">
        <f>IFERROR(__xludf.DUMMYFUNCTION("GOOGLETRANSLATE(I149,""zh_HANT"",""zh_HANS"")"),"樱子果")</f>
        <v/>
      </c>
      <c r="K149" s="29">
        <f>F149</f>
        <v/>
      </c>
    </row>
    <row r="150">
      <c r="A150" s="29">
        <f>CONCATENATE("NAME_ITEM_", SUBSTITUTE(SUBSTITUTE(UPPER(B150), " ", ""), ".", ""))</f>
        <v/>
      </c>
      <c r="B150" s="29" t="inlineStr">
        <is>
          <t>Chesto Berry</t>
        </is>
      </c>
      <c r="C150" s="29" t="inlineStr">
        <is>
          <t>カゴのみ</t>
        </is>
      </c>
      <c r="D150" s="29" t="inlineStr">
        <is>
          <t>Baie Maron</t>
        </is>
      </c>
      <c r="E150" s="29" t="inlineStr">
        <is>
          <t>Maronbeere</t>
        </is>
      </c>
      <c r="F150" s="29" t="inlineStr">
        <is>
          <t>Baya Atania</t>
        </is>
      </c>
      <c r="G150" s="29" t="inlineStr">
        <is>
          <t>Baccastagna</t>
        </is>
      </c>
      <c r="H150" s="29" t="inlineStr">
        <is>
          <t>유루열매</t>
        </is>
      </c>
      <c r="I150" s="29" t="inlineStr">
        <is>
          <t>零餘果</t>
        </is>
      </c>
      <c r="J150" s="29">
        <f>IFERROR(__xludf.DUMMYFUNCTION("GOOGLETRANSLATE(I150,""zh_HANT"",""zh_HANS"")"),"零余果")</f>
        <v/>
      </c>
      <c r="K150" s="29">
        <f>F150</f>
        <v/>
      </c>
    </row>
    <row r="151">
      <c r="A151" s="29">
        <f>CONCATENATE("NAME_ITEM_", SUBSTITUTE(SUBSTITUTE(UPPER(B151), " ", ""), ".", ""))</f>
        <v/>
      </c>
      <c r="B151" s="29" t="inlineStr">
        <is>
          <t>Pecha Berry</t>
        </is>
      </c>
      <c r="C151" s="29" t="inlineStr">
        <is>
          <t>モモのみ</t>
        </is>
      </c>
      <c r="D151" s="29" t="inlineStr">
        <is>
          <t>Baie Pêcha</t>
        </is>
      </c>
      <c r="E151" s="29" t="inlineStr">
        <is>
          <t>Pirsifbeere</t>
        </is>
      </c>
      <c r="F151" s="29" t="inlineStr">
        <is>
          <t>Baya Meloc</t>
        </is>
      </c>
      <c r="G151" s="29" t="inlineStr">
        <is>
          <t>Baccapesca</t>
        </is>
      </c>
      <c r="H151" s="29" t="inlineStr">
        <is>
          <t>복슝열매</t>
        </is>
      </c>
      <c r="I151" s="29" t="inlineStr">
        <is>
          <t>桃桃果</t>
        </is>
      </c>
      <c r="J151" s="29">
        <f>I151</f>
        <v/>
      </c>
      <c r="K151" s="29">
        <f>F151</f>
        <v/>
      </c>
    </row>
    <row r="152">
      <c r="A152" s="29">
        <f>CONCATENATE("NAME_ITEM_", SUBSTITUTE(SUBSTITUTE(UPPER(B152), " ", ""), ".", ""))</f>
        <v/>
      </c>
      <c r="B152" s="29" t="inlineStr">
        <is>
          <t>Rawst Berry</t>
        </is>
      </c>
      <c r="C152" s="29" t="inlineStr">
        <is>
          <t>チーゴのみ</t>
        </is>
      </c>
      <c r="D152" s="29" t="inlineStr">
        <is>
          <t>Baie Fraive</t>
        </is>
      </c>
      <c r="E152" s="29" t="inlineStr">
        <is>
          <t>Fragiabeere</t>
        </is>
      </c>
      <c r="F152" s="29" t="inlineStr">
        <is>
          <t>Baya Safre</t>
        </is>
      </c>
      <c r="G152" s="29" t="inlineStr">
        <is>
          <t>Baccafrago</t>
        </is>
      </c>
      <c r="H152" s="29" t="inlineStr">
        <is>
          <t>복분열매</t>
        </is>
      </c>
      <c r="I152" s="29" t="inlineStr">
        <is>
          <t>莓莓果</t>
        </is>
      </c>
      <c r="J152" s="29">
        <f>I152</f>
        <v/>
      </c>
      <c r="K152" s="29">
        <f>F152</f>
        <v/>
      </c>
    </row>
    <row r="153">
      <c r="A153" s="29">
        <f>CONCATENATE("NAME_ITEM_", SUBSTITUTE(SUBSTITUTE(UPPER(B153), " ", ""), ".", ""))</f>
        <v/>
      </c>
      <c r="B153" s="29" t="inlineStr">
        <is>
          <t>Aspear Berry</t>
        </is>
      </c>
      <c r="C153" s="29" t="inlineStr">
        <is>
          <t>ナナシのみ</t>
        </is>
      </c>
      <c r="D153" s="29" t="inlineStr">
        <is>
          <t>Baie Willia</t>
        </is>
      </c>
      <c r="E153" s="29" t="inlineStr">
        <is>
          <t>Wilbirbeere</t>
        </is>
      </c>
      <c r="F153" s="29" t="inlineStr">
        <is>
          <t>Baya Perasi</t>
        </is>
      </c>
      <c r="G153" s="29" t="inlineStr">
        <is>
          <t>Baccaperina</t>
        </is>
      </c>
      <c r="H153" s="29" t="inlineStr">
        <is>
          <t>배리열매</t>
        </is>
      </c>
      <c r="I153" s="29" t="inlineStr">
        <is>
          <t>利木果</t>
        </is>
      </c>
      <c r="J153" s="29">
        <f>I153</f>
        <v/>
      </c>
      <c r="K153" s="29">
        <f>F153</f>
        <v/>
      </c>
    </row>
    <row r="154">
      <c r="A154" s="29">
        <f>CONCATENATE("NAME_ITEM_", SUBSTITUTE(SUBSTITUTE(UPPER(B154), " ", ""), ".", ""))</f>
        <v/>
      </c>
      <c r="B154" s="29" t="inlineStr">
        <is>
          <t>Leppa Berry</t>
        </is>
      </c>
      <c r="C154" s="29" t="inlineStr">
        <is>
          <t>ヒメリのみ</t>
        </is>
      </c>
      <c r="D154" s="29" t="inlineStr">
        <is>
          <t>Baie Mepo</t>
        </is>
      </c>
      <c r="E154" s="29" t="inlineStr">
        <is>
          <t>Jonagobeere</t>
        </is>
      </c>
      <c r="F154" s="29" t="inlineStr">
        <is>
          <t>Baya Zenama</t>
        </is>
      </c>
      <c r="G154" s="29" t="inlineStr">
        <is>
          <t>Baccamela</t>
        </is>
      </c>
      <c r="H154" s="29" t="inlineStr">
        <is>
          <t>과사열매</t>
        </is>
      </c>
      <c r="I154" s="29" t="inlineStr">
        <is>
          <t>蘋野果</t>
        </is>
      </c>
      <c r="J154" s="29">
        <f>IFERROR(__xludf.DUMMYFUNCTION("GOOGLETRANSLATE(I154,""zh_HANT"",""zh_HANS"")"),"苹野果")</f>
        <v/>
      </c>
      <c r="K154" s="29">
        <f>F154</f>
        <v/>
      </c>
    </row>
    <row r="155">
      <c r="A155" s="29">
        <f>CONCATENATE("NAME_ITEM_", SUBSTITUTE(SUBSTITUTE(UPPER(B155), " ", ""), ".", ""))</f>
        <v/>
      </c>
      <c r="B155" s="29" t="inlineStr">
        <is>
          <t>Oran Berry</t>
        </is>
      </c>
      <c r="C155" s="29" t="inlineStr">
        <is>
          <t>オレンのみ</t>
        </is>
      </c>
      <c r="D155" s="29" t="inlineStr">
        <is>
          <t>Baie Oran</t>
        </is>
      </c>
      <c r="E155" s="29" t="inlineStr">
        <is>
          <t>Sinelbeere</t>
        </is>
      </c>
      <c r="F155" s="29" t="inlineStr">
        <is>
          <t>Baya Aranja</t>
        </is>
      </c>
      <c r="G155" s="29" t="inlineStr">
        <is>
          <t>Baccarancia</t>
        </is>
      </c>
      <c r="H155" s="29" t="inlineStr">
        <is>
          <t>오랭열매</t>
        </is>
      </c>
      <c r="I155" s="29" t="inlineStr">
        <is>
          <t>橙橙果</t>
        </is>
      </c>
      <c r="J155" s="29">
        <f>I155</f>
        <v/>
      </c>
      <c r="K155" s="29">
        <f>F155</f>
        <v/>
      </c>
    </row>
    <row r="156">
      <c r="A156" s="29">
        <f>CONCATENATE("NAME_ITEM_", SUBSTITUTE(SUBSTITUTE(UPPER(B156), " ", ""), ".", ""))</f>
        <v/>
      </c>
      <c r="B156" s="29" t="inlineStr">
        <is>
          <t>Persim Berry</t>
        </is>
      </c>
      <c r="C156" s="29" t="inlineStr">
        <is>
          <t>キーのみ</t>
        </is>
      </c>
      <c r="D156" s="29" t="inlineStr">
        <is>
          <t>Baie Kika</t>
        </is>
      </c>
      <c r="E156" s="29" t="inlineStr">
        <is>
          <t>Persimbeere</t>
        </is>
      </c>
      <c r="F156" s="29" t="inlineStr">
        <is>
          <t>Baya Caquic</t>
        </is>
      </c>
      <c r="G156" s="29" t="inlineStr">
        <is>
          <t>Baccaki</t>
        </is>
      </c>
      <c r="H156" s="29" t="inlineStr">
        <is>
          <t>시몬열매</t>
        </is>
      </c>
      <c r="I156" s="29" t="inlineStr">
        <is>
          <t>柿仔果</t>
        </is>
      </c>
      <c r="J156" s="29">
        <f>I156</f>
        <v/>
      </c>
      <c r="K156" s="29">
        <f>F156</f>
        <v/>
      </c>
    </row>
    <row r="157">
      <c r="A157" s="29">
        <f>CONCATENATE("NAME_ITEM_", SUBSTITUTE(SUBSTITUTE(UPPER(B157), " ", ""), ".", ""))</f>
        <v/>
      </c>
      <c r="B157" s="29" t="inlineStr">
        <is>
          <t>Lum Berry</t>
        </is>
      </c>
      <c r="C157" s="29" t="inlineStr">
        <is>
          <t>ラムのみ</t>
        </is>
      </c>
      <c r="D157" s="29" t="inlineStr">
        <is>
          <t>Baie Prine</t>
        </is>
      </c>
      <c r="E157" s="29" t="inlineStr">
        <is>
          <t>Prunusbeere</t>
        </is>
      </c>
      <c r="F157" s="29" t="inlineStr">
        <is>
          <t>Baya Ziuela</t>
        </is>
      </c>
      <c r="G157" s="29" t="inlineStr">
        <is>
          <t>Baccaprugna</t>
        </is>
      </c>
      <c r="H157" s="29" t="inlineStr">
        <is>
          <t>리샘열매</t>
        </is>
      </c>
      <c r="I157" s="29" t="inlineStr">
        <is>
          <t>木子果</t>
        </is>
      </c>
      <c r="J157" s="29">
        <f>I157</f>
        <v/>
      </c>
      <c r="K157" s="29">
        <f>F157</f>
        <v/>
      </c>
    </row>
    <row r="158">
      <c r="A158" s="29">
        <f>CONCATENATE("NAME_ITEM_", SUBSTITUTE(SUBSTITUTE(UPPER(B158), " ", ""), ".", ""))</f>
        <v/>
      </c>
      <c r="B158" s="29" t="inlineStr">
        <is>
          <t>Sitrus Berry</t>
        </is>
      </c>
      <c r="C158" s="29" t="inlineStr">
        <is>
          <t>オボンのみ</t>
        </is>
      </c>
      <c r="D158" s="29" t="inlineStr">
        <is>
          <t>Baie Sitrus</t>
        </is>
      </c>
      <c r="E158" s="29" t="inlineStr">
        <is>
          <t>Tsitrubeere</t>
        </is>
      </c>
      <c r="F158" s="29" t="inlineStr">
        <is>
          <t>Baya Zidra</t>
        </is>
      </c>
      <c r="G158" s="29" t="inlineStr">
        <is>
          <t>Baccacedro</t>
        </is>
      </c>
      <c r="H158" s="29" t="inlineStr">
        <is>
          <t>자뭉열매</t>
        </is>
      </c>
      <c r="I158" s="29" t="inlineStr">
        <is>
          <t>文柚果</t>
        </is>
      </c>
      <c r="J158" s="29">
        <f>I158</f>
        <v/>
      </c>
      <c r="K158" s="29">
        <f>F158</f>
        <v/>
      </c>
    </row>
    <row r="159">
      <c r="A159" s="29">
        <f>CONCATENATE("NAME_ITEM_", SUBSTITUTE(SUBSTITUTE(UPPER(B159), " ", ""), ".", ""))</f>
        <v/>
      </c>
      <c r="B159" s="29" t="inlineStr">
        <is>
          <t>Figy Berry</t>
        </is>
      </c>
      <c r="C159" s="29" t="inlineStr">
        <is>
          <t>フィラのみ</t>
        </is>
      </c>
      <c r="D159" s="29" t="inlineStr">
        <is>
          <t>Baie Figuy</t>
        </is>
      </c>
      <c r="E159" s="29" t="inlineStr">
        <is>
          <t>Giefebeere</t>
        </is>
      </c>
      <c r="F159" s="29" t="inlineStr">
        <is>
          <t>Baya Higog</t>
        </is>
      </c>
      <c r="G159" s="29" t="inlineStr">
        <is>
          <t>Baccafico</t>
        </is>
      </c>
      <c r="H159" s="29" t="inlineStr">
        <is>
          <t>무화열매</t>
        </is>
      </c>
      <c r="I159" s="29" t="inlineStr">
        <is>
          <t>勿花果</t>
        </is>
      </c>
      <c r="J159" s="29">
        <f>I159</f>
        <v/>
      </c>
      <c r="K159" s="29">
        <f>F159</f>
        <v/>
      </c>
    </row>
    <row r="160">
      <c r="A160" s="29">
        <f>CONCATENATE("NAME_ITEM_", SUBSTITUTE(SUBSTITUTE(UPPER(B160), " ", ""), ".", ""))</f>
        <v/>
      </c>
      <c r="B160" s="29" t="inlineStr">
        <is>
          <t>Wiki Berry</t>
        </is>
      </c>
      <c r="C160" s="29" t="inlineStr">
        <is>
          <t>ウイのみ</t>
        </is>
      </c>
      <c r="D160" s="29" t="inlineStr">
        <is>
          <t>Baie Wiki</t>
        </is>
      </c>
      <c r="E160" s="29" t="inlineStr">
        <is>
          <t>Wikibeere</t>
        </is>
      </c>
      <c r="F160" s="29" t="inlineStr">
        <is>
          <t>Baya Wiki</t>
        </is>
      </c>
      <c r="G160" s="29" t="inlineStr">
        <is>
          <t>Baccakiwi</t>
        </is>
      </c>
      <c r="H160" s="29" t="inlineStr">
        <is>
          <t>위키열매</t>
        </is>
      </c>
      <c r="I160" s="29" t="inlineStr">
        <is>
          <t>異奇果</t>
        </is>
      </c>
      <c r="J160" s="29">
        <f>IFERROR(__xludf.DUMMYFUNCTION("GOOGLETRANSLATE(I160,""zh_HANT"",""zh_HANS"")"),"异奇果")</f>
        <v/>
      </c>
      <c r="K160" s="29">
        <f>F160</f>
        <v/>
      </c>
    </row>
    <row r="161">
      <c r="A161" s="29">
        <f>CONCATENATE("NAME_ITEM_", SUBSTITUTE(SUBSTITUTE(UPPER(B161), " ", ""), ".", ""))</f>
        <v/>
      </c>
      <c r="B161" s="29" t="inlineStr">
        <is>
          <t>Mago Berry</t>
        </is>
      </c>
      <c r="C161" s="29" t="inlineStr">
        <is>
          <t>マゴのみ</t>
        </is>
      </c>
      <c r="D161" s="29" t="inlineStr">
        <is>
          <t>Baie Mago</t>
        </is>
      </c>
      <c r="E161" s="29" t="inlineStr">
        <is>
          <t>Magobeere</t>
        </is>
      </c>
      <c r="F161" s="29" t="inlineStr">
        <is>
          <t>Baya Ango</t>
        </is>
      </c>
      <c r="G161" s="29" t="inlineStr">
        <is>
          <t>Baccamango</t>
        </is>
      </c>
      <c r="H161" s="29" t="inlineStr">
        <is>
          <t>마고열매</t>
        </is>
      </c>
      <c r="I161" s="29" t="inlineStr">
        <is>
          <t>芒芒果</t>
        </is>
      </c>
      <c r="J161" s="29">
        <f>I161</f>
        <v/>
      </c>
      <c r="K161" s="29">
        <f>F161</f>
        <v/>
      </c>
    </row>
    <row r="162">
      <c r="A162" s="29">
        <f>CONCATENATE("NAME_ITEM_", SUBSTITUTE(SUBSTITUTE(UPPER(B162), " ", ""), ".", ""))</f>
        <v/>
      </c>
      <c r="B162" s="29" t="inlineStr">
        <is>
          <t>Aguav Berry</t>
        </is>
      </c>
      <c r="C162" s="29" t="inlineStr">
        <is>
          <t>バンジのみ</t>
        </is>
      </c>
      <c r="D162" s="29" t="inlineStr">
        <is>
          <t>Baie Gowav</t>
        </is>
      </c>
      <c r="E162" s="29" t="inlineStr">
        <is>
          <t>Guavebeere</t>
        </is>
      </c>
      <c r="F162" s="29" t="inlineStr">
        <is>
          <t>Baya Guaya</t>
        </is>
      </c>
      <c r="G162" s="29" t="inlineStr">
        <is>
          <t>Baccaguava</t>
        </is>
      </c>
      <c r="H162" s="29" t="inlineStr">
        <is>
          <t>아바열매</t>
        </is>
      </c>
      <c r="I162" s="29" t="inlineStr">
        <is>
          <t>樂芭果</t>
        </is>
      </c>
      <c r="J162" s="29">
        <f>IFERROR(__xludf.DUMMYFUNCTION("GOOGLETRANSLATE(I162,""zh_HANT"",""zh_HANS"")"),"乐芭果")</f>
        <v/>
      </c>
      <c r="K162" s="29">
        <f>F162</f>
        <v/>
      </c>
    </row>
    <row r="163">
      <c r="A163" s="29">
        <f>CONCATENATE("NAME_ITEM_", SUBSTITUTE(SUBSTITUTE(UPPER(B163), " ", ""), ".", ""))</f>
        <v/>
      </c>
      <c r="B163" s="29" t="inlineStr">
        <is>
          <t>Iapapa Berry</t>
        </is>
      </c>
      <c r="C163" s="29" t="inlineStr">
        <is>
          <t>イアのみ</t>
        </is>
      </c>
      <c r="D163" s="29" t="inlineStr">
        <is>
          <t>Baie Papaya</t>
        </is>
      </c>
      <c r="E163" s="29" t="inlineStr">
        <is>
          <t>Yapabeere</t>
        </is>
      </c>
      <c r="F163" s="29" t="inlineStr">
        <is>
          <t>Baya Pabaya</t>
        </is>
      </c>
      <c r="G163" s="29" t="inlineStr">
        <is>
          <t>Baccapaia</t>
        </is>
      </c>
      <c r="H163" s="29" t="inlineStr">
        <is>
          <t>파야열매</t>
        </is>
      </c>
      <c r="I163" s="29" t="inlineStr">
        <is>
          <t>芭亞果</t>
        </is>
      </c>
      <c r="J163" s="29">
        <f>IFERROR(__xludf.DUMMYFUNCTION("GOOGLETRANSLATE(I163,""zh_HANT"",""zh_HANS"")"),"芭亚果")</f>
        <v/>
      </c>
      <c r="K163" s="29">
        <f>F163</f>
        <v/>
      </c>
    </row>
    <row r="164">
      <c r="A164" s="29">
        <f>CONCATENATE("NAME_ITEM_", SUBSTITUTE(SUBSTITUTE(UPPER(B164), " ", ""), ".", ""))</f>
        <v/>
      </c>
      <c r="B164" s="29" t="inlineStr">
        <is>
          <t>Razz Berry</t>
        </is>
      </c>
      <c r="C164" s="29" t="inlineStr">
        <is>
          <t>ズリのみ</t>
        </is>
      </c>
      <c r="D164" s="29" t="inlineStr">
        <is>
          <t>Baie Framby</t>
        </is>
      </c>
      <c r="E164" s="29" t="inlineStr">
        <is>
          <t>Himmihbeere</t>
        </is>
      </c>
      <c r="F164" s="29" t="inlineStr">
        <is>
          <t>Baya Frambu</t>
        </is>
      </c>
      <c r="G164" s="29" t="inlineStr">
        <is>
          <t>Baccalampon</t>
        </is>
      </c>
      <c r="H164" s="29" t="inlineStr">
        <is>
          <t>라즈열매</t>
        </is>
      </c>
      <c r="I164" s="29" t="inlineStr">
        <is>
          <t>蔓莓果</t>
        </is>
      </c>
      <c r="J164" s="29">
        <f>I164</f>
        <v/>
      </c>
      <c r="K164" s="29">
        <f>F164</f>
        <v/>
      </c>
    </row>
    <row r="165">
      <c r="A165" s="29">
        <f>CONCATENATE("NAME_ITEM_", SUBSTITUTE(SUBSTITUTE(UPPER(B165), " ", ""), ".", ""))</f>
        <v/>
      </c>
      <c r="B165" s="29" t="inlineStr">
        <is>
          <t>Bluk Berry</t>
        </is>
      </c>
      <c r="C165" s="29" t="inlineStr">
        <is>
          <t>ブリーのみ</t>
        </is>
      </c>
      <c r="D165" s="29" t="inlineStr">
        <is>
          <t>Baie Remu</t>
        </is>
      </c>
      <c r="E165" s="29" t="inlineStr">
        <is>
          <t>Morbbeere</t>
        </is>
      </c>
      <c r="F165" s="29" t="inlineStr">
        <is>
          <t>Baya Oram</t>
        </is>
      </c>
      <c r="G165" s="29" t="inlineStr">
        <is>
          <t>Baccamora</t>
        </is>
      </c>
      <c r="H165" s="29" t="inlineStr">
        <is>
          <t>블리열매</t>
        </is>
      </c>
      <c r="I165" s="29" t="inlineStr">
        <is>
          <t>墨莓果</t>
        </is>
      </c>
      <c r="J165" s="29">
        <f>I165</f>
        <v/>
      </c>
      <c r="K165" s="29">
        <f>F165</f>
        <v/>
      </c>
    </row>
    <row r="166">
      <c r="A166" s="29">
        <f>CONCATENATE("NAME_ITEM_", SUBSTITUTE(SUBSTITUTE(UPPER(B166), " ", ""), ".", ""))</f>
        <v/>
      </c>
      <c r="B166" s="29" t="inlineStr">
        <is>
          <t>Nanab Berry</t>
        </is>
      </c>
      <c r="C166" s="29" t="inlineStr">
        <is>
          <t>ナナのみ</t>
        </is>
      </c>
      <c r="D166" s="29" t="inlineStr">
        <is>
          <t>Baie Nanab</t>
        </is>
      </c>
      <c r="E166" s="29" t="inlineStr">
        <is>
          <t>Nanabbeere</t>
        </is>
      </c>
      <c r="F166" s="29" t="inlineStr">
        <is>
          <t>Baya Latano</t>
        </is>
      </c>
      <c r="G166" s="29" t="inlineStr">
        <is>
          <t>Baccabana</t>
        </is>
      </c>
      <c r="H166" s="29" t="inlineStr">
        <is>
          <t>나나열매</t>
        </is>
      </c>
      <c r="I166" s="29" t="inlineStr">
        <is>
          <t>蕉香果</t>
        </is>
      </c>
      <c r="J166" s="29">
        <f>I166</f>
        <v/>
      </c>
      <c r="K166" s="29">
        <f>F166</f>
        <v/>
      </c>
    </row>
    <row r="167">
      <c r="A167" s="29">
        <f>CONCATENATE("NAME_ITEM_", SUBSTITUTE(SUBSTITUTE(UPPER(B167), " ", ""), ".", ""))</f>
        <v/>
      </c>
      <c r="B167" s="29" t="inlineStr">
        <is>
          <t>Wepear Berry</t>
        </is>
      </c>
      <c r="C167" s="29" t="inlineStr">
        <is>
          <t>セシナのみ</t>
        </is>
      </c>
      <c r="D167" s="29" t="inlineStr">
        <is>
          <t>Baie Repoi</t>
        </is>
      </c>
      <c r="E167" s="29" t="inlineStr">
        <is>
          <t>Nirbebeere</t>
        </is>
      </c>
      <c r="F167" s="29" t="inlineStr">
        <is>
          <t>Baya Peragu</t>
        </is>
      </c>
      <c r="G167" s="29" t="inlineStr">
        <is>
          <t>Baccapera</t>
        </is>
      </c>
      <c r="H167" s="29" t="inlineStr">
        <is>
          <t>서배열매</t>
        </is>
      </c>
      <c r="I167" s="29" t="inlineStr">
        <is>
          <t>西梨果</t>
        </is>
      </c>
      <c r="J167" s="29">
        <f>I167</f>
        <v/>
      </c>
      <c r="K167" s="29">
        <f>F167</f>
        <v/>
      </c>
    </row>
    <row r="168">
      <c r="A168" s="29">
        <f>CONCATENATE("NAME_ITEM_", SUBSTITUTE(SUBSTITUTE(UPPER(B168), " ", ""), ".", ""))</f>
        <v/>
      </c>
      <c r="B168" s="29" t="inlineStr">
        <is>
          <t>Pinap Berry</t>
        </is>
      </c>
      <c r="C168" s="29" t="inlineStr">
        <is>
          <t>パイルのみ</t>
        </is>
      </c>
      <c r="D168" s="29" t="inlineStr">
        <is>
          <t>Baie Nanana</t>
        </is>
      </c>
      <c r="E168" s="29" t="inlineStr">
        <is>
          <t>Sananabeere</t>
        </is>
      </c>
      <c r="F168" s="29" t="inlineStr">
        <is>
          <t>Baya Pinia</t>
        </is>
      </c>
      <c r="G168" s="29" t="inlineStr">
        <is>
          <t>Baccananas</t>
        </is>
      </c>
      <c r="H168" s="29" t="inlineStr">
        <is>
          <t>파인열매</t>
        </is>
      </c>
      <c r="I168" s="29" t="inlineStr">
        <is>
          <t>凰梨果</t>
        </is>
      </c>
      <c r="J168" s="29">
        <f>I168</f>
        <v/>
      </c>
      <c r="K168" s="29">
        <f>F168</f>
        <v/>
      </c>
    </row>
    <row r="169">
      <c r="A169" s="29">
        <f>CONCATENATE("NAME_ITEM_", SUBSTITUTE(SUBSTITUTE(UPPER(B169), " ", ""), ".", ""))</f>
        <v/>
      </c>
      <c r="B169" s="29" t="inlineStr">
        <is>
          <t>Pomeg Berry</t>
        </is>
      </c>
      <c r="C169" s="29" t="inlineStr">
        <is>
          <t>ザロクのみ</t>
        </is>
      </c>
      <c r="D169" s="29" t="inlineStr">
        <is>
          <t>Baie Grena</t>
        </is>
      </c>
      <c r="E169" s="29" t="inlineStr">
        <is>
          <t>Granabeere</t>
        </is>
      </c>
      <c r="F169" s="29" t="inlineStr">
        <is>
          <t>Baya Grana</t>
        </is>
      </c>
      <c r="G169" s="29" t="inlineStr">
        <is>
          <t>Baccagrana</t>
        </is>
      </c>
      <c r="H169" s="29" t="inlineStr">
        <is>
          <t>유석열매</t>
        </is>
      </c>
      <c r="I169" s="29" t="inlineStr">
        <is>
          <t>榴石果</t>
        </is>
      </c>
      <c r="J169" s="29">
        <f>I169</f>
        <v/>
      </c>
      <c r="K169" s="29">
        <f>F169</f>
        <v/>
      </c>
    </row>
    <row r="170">
      <c r="A170" s="29">
        <f>CONCATENATE("NAME_ITEM_", SUBSTITUTE(SUBSTITUTE(UPPER(B170), " ", ""), ".", ""))</f>
        <v/>
      </c>
      <c r="B170" s="29" t="inlineStr">
        <is>
          <t>Kelpsy Berry</t>
        </is>
      </c>
      <c r="C170" s="29" t="inlineStr">
        <is>
          <t>ネコブのみ</t>
        </is>
      </c>
      <c r="D170" s="29" t="inlineStr">
        <is>
          <t>Baie Alga</t>
        </is>
      </c>
      <c r="E170" s="29" t="inlineStr">
        <is>
          <t>Setangbeere</t>
        </is>
      </c>
      <c r="F170" s="29" t="inlineStr">
        <is>
          <t>Baya Algama</t>
        </is>
      </c>
      <c r="G170" s="29" t="inlineStr">
        <is>
          <t>Baccalga</t>
        </is>
      </c>
      <c r="H170" s="29" t="inlineStr">
        <is>
          <t>시마열매</t>
        </is>
      </c>
      <c r="I170" s="29" t="inlineStr">
        <is>
          <t>藻根果</t>
        </is>
      </c>
      <c r="J170" s="29">
        <f>I170</f>
        <v/>
      </c>
      <c r="K170" s="29">
        <f>F170</f>
        <v/>
      </c>
    </row>
    <row r="171">
      <c r="A171" s="29">
        <f>CONCATENATE("NAME_ITEM_", SUBSTITUTE(SUBSTITUTE(UPPER(B171), " ", ""), ".", ""))</f>
        <v/>
      </c>
      <c r="B171" s="29" t="inlineStr">
        <is>
          <t>Qualot Berry</t>
        </is>
      </c>
      <c r="C171" s="29" t="inlineStr">
        <is>
          <t>タポルのみ</t>
        </is>
      </c>
      <c r="D171" s="29" t="inlineStr">
        <is>
          <t>Baie Qualot</t>
        </is>
      </c>
      <c r="E171" s="29" t="inlineStr">
        <is>
          <t>Qualotbeere</t>
        </is>
      </c>
      <c r="F171" s="29" t="inlineStr">
        <is>
          <t>Baya Ispero</t>
        </is>
      </c>
      <c r="G171" s="29" t="inlineStr">
        <is>
          <t>Baccaloquat</t>
        </is>
      </c>
      <c r="H171" s="29" t="inlineStr">
        <is>
          <t>파비열매</t>
        </is>
      </c>
      <c r="I171" s="29" t="inlineStr">
        <is>
          <t>比巴果</t>
        </is>
      </c>
      <c r="J171" s="29">
        <f>I171</f>
        <v/>
      </c>
      <c r="K171" s="29">
        <f>F171</f>
        <v/>
      </c>
    </row>
    <row r="172">
      <c r="A172" s="29">
        <f>CONCATENATE("NAME_ITEM_", SUBSTITUTE(SUBSTITUTE(UPPER(B172), " ", ""), ".", ""))</f>
        <v/>
      </c>
      <c r="B172" s="29" t="inlineStr">
        <is>
          <t>Hondew Berry</t>
        </is>
      </c>
      <c r="C172" s="29" t="inlineStr">
        <is>
          <t>ロメのみ</t>
        </is>
      </c>
      <c r="D172" s="29" t="inlineStr">
        <is>
          <t>Baie Lonme</t>
        </is>
      </c>
      <c r="E172" s="29" t="inlineStr">
        <is>
          <t>Honmelbeere</t>
        </is>
      </c>
      <c r="F172" s="29" t="inlineStr">
        <is>
          <t>Baya Meluce</t>
        </is>
      </c>
      <c r="G172" s="29" t="inlineStr">
        <is>
          <t>Baccamelon</t>
        </is>
      </c>
      <c r="H172" s="29" t="inlineStr">
        <is>
          <t>로매열매</t>
        </is>
      </c>
      <c r="I172" s="29" t="inlineStr">
        <is>
          <t>哈密果</t>
        </is>
      </c>
      <c r="J172" s="29">
        <f>I172</f>
        <v/>
      </c>
      <c r="K172" s="29">
        <f>F172</f>
        <v/>
      </c>
    </row>
    <row r="173">
      <c r="A173" s="29">
        <f>CONCATENATE("NAME_ITEM_", SUBSTITUTE(SUBSTITUTE(UPPER(B173), " ", ""), ".", ""))</f>
        <v/>
      </c>
      <c r="B173" s="29" t="inlineStr">
        <is>
          <t>Grepa Berry</t>
        </is>
      </c>
      <c r="C173" s="29" t="inlineStr">
        <is>
          <t>ウブのみ</t>
        </is>
      </c>
      <c r="D173" s="29" t="inlineStr">
        <is>
          <t>Baie Résin</t>
        </is>
      </c>
      <c r="E173" s="29" t="inlineStr">
        <is>
          <t>Labrusbeere</t>
        </is>
      </c>
      <c r="F173" s="29" t="inlineStr">
        <is>
          <t>Baya Uvav</t>
        </is>
      </c>
      <c r="G173" s="29" t="inlineStr">
        <is>
          <t>Baccauva</t>
        </is>
      </c>
      <c r="H173" s="29" t="inlineStr">
        <is>
          <t>또뽀열매</t>
        </is>
      </c>
      <c r="I173" s="29" t="inlineStr">
        <is>
          <t>萄葡果</t>
        </is>
      </c>
      <c r="J173" s="29">
        <f>I173</f>
        <v/>
      </c>
      <c r="K173" s="29">
        <f>F173</f>
        <v/>
      </c>
    </row>
    <row r="174">
      <c r="A174" s="29">
        <f>CONCATENATE("NAME_ITEM_", SUBSTITUTE(SUBSTITUTE(UPPER(B174), " ", ""), ".", ""))</f>
        <v/>
      </c>
      <c r="B174" s="29" t="inlineStr">
        <is>
          <t>Tamato Berry</t>
        </is>
      </c>
      <c r="C174" s="29" t="inlineStr">
        <is>
          <t>マトマのみ</t>
        </is>
      </c>
      <c r="D174" s="29" t="inlineStr">
        <is>
          <t>Baie Tamato</t>
        </is>
      </c>
      <c r="E174" s="29" t="inlineStr">
        <is>
          <t>Tamotbeere</t>
        </is>
      </c>
      <c r="F174" s="29" t="inlineStr">
        <is>
          <t>Baya Tamate</t>
        </is>
      </c>
      <c r="G174" s="29" t="inlineStr">
        <is>
          <t>Baccamodoro</t>
        </is>
      </c>
      <c r="H174" s="29" t="inlineStr">
        <is>
          <t>토망열매</t>
        </is>
      </c>
      <c r="I174" s="29" t="inlineStr">
        <is>
          <t>茄番果</t>
        </is>
      </c>
      <c r="J174" s="29">
        <f>I174</f>
        <v/>
      </c>
      <c r="K174" s="29">
        <f>F174</f>
        <v/>
      </c>
    </row>
    <row r="175">
      <c r="A175" s="29">
        <f>CONCATENATE("NAME_ITEM_", SUBSTITUTE(SUBSTITUTE(UPPER(B175), " ", ""), ".", ""))</f>
        <v/>
      </c>
      <c r="B175" s="29" t="inlineStr">
        <is>
          <t>Cornn Berry</t>
        </is>
      </c>
      <c r="C175" s="29" t="inlineStr">
        <is>
          <t>モコシのみ</t>
        </is>
      </c>
      <c r="D175" s="29" t="inlineStr">
        <is>
          <t>Baie Siam</t>
        </is>
      </c>
      <c r="E175" s="29" t="inlineStr">
        <is>
          <t>Saimbeere</t>
        </is>
      </c>
      <c r="F175" s="29" t="inlineStr">
        <is>
          <t>Baya Mais</t>
        </is>
      </c>
      <c r="G175" s="29" t="inlineStr">
        <is>
          <t>Baccavena</t>
        </is>
      </c>
      <c r="H175" s="29" t="inlineStr">
        <is>
          <t>수숙열매</t>
        </is>
      </c>
      <c r="I175" s="29" t="inlineStr">
        <is>
          <t>玉黍果</t>
        </is>
      </c>
      <c r="J175" s="29">
        <f>I175</f>
        <v/>
      </c>
      <c r="K175" s="29">
        <f>F175</f>
        <v/>
      </c>
    </row>
    <row r="176">
      <c r="A176" s="29">
        <f>CONCATENATE("NAME_ITEM_", SUBSTITUTE(SUBSTITUTE(UPPER(B176), " ", ""), ".", ""))</f>
        <v/>
      </c>
      <c r="B176" s="29" t="inlineStr">
        <is>
          <t>Magost Berry</t>
        </is>
      </c>
      <c r="C176" s="29" t="inlineStr">
        <is>
          <t>ゴスのみ</t>
        </is>
      </c>
      <c r="D176" s="29" t="inlineStr">
        <is>
          <t>Baie Mangou</t>
        </is>
      </c>
      <c r="E176" s="29" t="inlineStr">
        <is>
          <t>Magostbeere</t>
        </is>
      </c>
      <c r="F176" s="29" t="inlineStr">
        <is>
          <t>Baya Aostan</t>
        </is>
      </c>
      <c r="G176" s="29" t="inlineStr">
        <is>
          <t>Baccagostan</t>
        </is>
      </c>
      <c r="H176" s="29" t="inlineStr">
        <is>
          <t>고스티열매</t>
        </is>
      </c>
      <c r="I176" s="29" t="inlineStr">
        <is>
          <t>岳竹果</t>
        </is>
      </c>
      <c r="J176" s="29">
        <f>I176</f>
        <v/>
      </c>
      <c r="K176" s="29">
        <f>F176</f>
        <v/>
      </c>
    </row>
    <row r="177">
      <c r="A177" s="29">
        <f>CONCATENATE("NAME_ITEM_", SUBSTITUTE(SUBSTITUTE(UPPER(B177), " ", ""), ".", ""))</f>
        <v/>
      </c>
      <c r="B177" s="29" t="inlineStr">
        <is>
          <t>Rabuta Berry</t>
        </is>
      </c>
      <c r="C177" s="29" t="inlineStr">
        <is>
          <t>ラブタのみ</t>
        </is>
      </c>
      <c r="D177" s="29" t="inlineStr">
        <is>
          <t>Baie Rabuta</t>
        </is>
      </c>
      <c r="E177" s="29" t="inlineStr">
        <is>
          <t>Rabutabeere</t>
        </is>
      </c>
      <c r="F177" s="29" t="inlineStr">
        <is>
          <t>Baya Rautan</t>
        </is>
      </c>
      <c r="G177" s="29" t="inlineStr">
        <is>
          <t>Baccambutan</t>
        </is>
      </c>
      <c r="H177" s="29" t="inlineStr">
        <is>
          <t>라부탐열매</t>
        </is>
      </c>
      <c r="I177" s="29" t="inlineStr">
        <is>
          <t>茸丹果</t>
        </is>
      </c>
      <c r="J177" s="29">
        <f>I177</f>
        <v/>
      </c>
      <c r="K177" s="29">
        <f>F177</f>
        <v/>
      </c>
    </row>
    <row r="178">
      <c r="A178" s="29">
        <f>CONCATENATE("NAME_ITEM_", SUBSTITUTE(SUBSTITUTE(UPPER(B178), " ", ""), ".", ""))</f>
        <v/>
      </c>
      <c r="B178" s="29" t="inlineStr">
        <is>
          <t>Nomel Berry</t>
        </is>
      </c>
      <c r="C178" s="29" t="inlineStr">
        <is>
          <t>ノメルのみ</t>
        </is>
      </c>
      <c r="D178" s="29" t="inlineStr">
        <is>
          <t>Baie Tronci</t>
        </is>
      </c>
      <c r="E178" s="29" t="inlineStr">
        <is>
          <t>Tronzibeere</t>
        </is>
      </c>
      <c r="F178" s="29" t="inlineStr">
        <is>
          <t>Baya Monli</t>
        </is>
      </c>
      <c r="G178" s="29" t="inlineStr">
        <is>
          <t>Baccalemon</t>
        </is>
      </c>
      <c r="H178" s="29" t="inlineStr">
        <is>
          <t>노멜열매</t>
        </is>
      </c>
      <c r="I178" s="29" t="inlineStr">
        <is>
          <t>檬檸果</t>
        </is>
      </c>
      <c r="J178" s="29">
        <f>IFERROR(__xludf.DUMMYFUNCTION("GOOGLETRANSLATE(I178,""zh_HANT"",""zh_HANS"")"),"檬柠果")</f>
        <v/>
      </c>
      <c r="K178" s="29">
        <f>F178</f>
        <v/>
      </c>
    </row>
    <row r="179">
      <c r="A179" s="29">
        <f>CONCATENATE("NAME_ITEM_", SUBSTITUTE(SUBSTITUTE(UPPER(B179), " ", ""), ".", ""))</f>
        <v/>
      </c>
      <c r="B179" s="29" t="inlineStr">
        <is>
          <t>Spelon Berry</t>
        </is>
      </c>
      <c r="C179" s="29" t="inlineStr">
        <is>
          <t>ノワキのみ</t>
        </is>
      </c>
      <c r="D179" s="29" t="inlineStr">
        <is>
          <t>Baie Kiwan</t>
        </is>
      </c>
      <c r="E179" s="29" t="inlineStr">
        <is>
          <t>Kiwanbeere</t>
        </is>
      </c>
      <c r="F179" s="29" t="inlineStr">
        <is>
          <t>Baya Wikano</t>
        </is>
      </c>
      <c r="G179" s="29" t="inlineStr">
        <is>
          <t>Baccamelos</t>
        </is>
      </c>
      <c r="H179" s="29" t="inlineStr">
        <is>
          <t>메호키열매</t>
        </is>
      </c>
      <c r="I179" s="29" t="inlineStr">
        <is>
          <t>刺角果</t>
        </is>
      </c>
      <c r="J179" s="29">
        <f>I179</f>
        <v/>
      </c>
      <c r="K179" s="29">
        <f>F179</f>
        <v/>
      </c>
    </row>
    <row r="180">
      <c r="A180" s="29">
        <f>CONCATENATE("NAME_ITEM_", SUBSTITUTE(SUBSTITUTE(UPPER(B180), " ", ""), ".", ""))</f>
        <v/>
      </c>
      <c r="B180" s="29" t="inlineStr">
        <is>
          <t>Pamtre Berry</t>
        </is>
      </c>
      <c r="C180" s="29" t="inlineStr">
        <is>
          <t>シーヤのみ</t>
        </is>
      </c>
      <c r="D180" s="29" t="inlineStr">
        <is>
          <t>Baie Palma</t>
        </is>
      </c>
      <c r="E180" s="29" t="inlineStr">
        <is>
          <t>Pallmbeere</t>
        </is>
      </c>
      <c r="F180" s="29" t="inlineStr">
        <is>
          <t>Baya Plama</t>
        </is>
      </c>
      <c r="G180" s="29" t="inlineStr">
        <is>
          <t>Baccapalma</t>
        </is>
      </c>
      <c r="H180" s="29" t="inlineStr">
        <is>
          <t>자야열매</t>
        </is>
      </c>
      <c r="I180" s="29" t="inlineStr">
        <is>
          <t>椰木果</t>
        </is>
      </c>
      <c r="J180" s="29">
        <f>I180</f>
        <v/>
      </c>
      <c r="K180" s="29">
        <f>F180</f>
        <v/>
      </c>
    </row>
    <row r="181">
      <c r="A181" s="29">
        <f>CONCATENATE("NAME_ITEM_", SUBSTITUTE(SUBSTITUTE(UPPER(B181), " ", ""), ".", ""))</f>
        <v/>
      </c>
      <c r="B181" s="29" t="inlineStr">
        <is>
          <t>Watmel Berry</t>
        </is>
      </c>
      <c r="C181" s="29" t="inlineStr">
        <is>
          <t>カイスのみ</t>
        </is>
      </c>
      <c r="D181" s="29" t="inlineStr">
        <is>
          <t>Baie Stekpa</t>
        </is>
      </c>
      <c r="E181" s="29" t="inlineStr">
        <is>
          <t>Wasmelbeere</t>
        </is>
      </c>
      <c r="F181" s="29" t="inlineStr">
        <is>
          <t>Baya Sambia</t>
        </is>
      </c>
      <c r="G181" s="29" t="inlineStr">
        <is>
          <t>Baccacomero</t>
        </is>
      </c>
      <c r="H181" s="29" t="inlineStr">
        <is>
          <t>슈박열매</t>
        </is>
      </c>
      <c r="I181" s="29" t="inlineStr">
        <is>
          <t>瓜西果</t>
        </is>
      </c>
      <c r="J181" s="29">
        <f>I181</f>
        <v/>
      </c>
      <c r="K181" s="29">
        <f>F181</f>
        <v/>
      </c>
    </row>
    <row r="182">
      <c r="A182" s="29">
        <f>CONCATENATE("NAME_ITEM_", SUBSTITUTE(SUBSTITUTE(UPPER(B182), " ", ""), ".", ""))</f>
        <v/>
      </c>
      <c r="B182" s="29" t="inlineStr">
        <is>
          <t>Durin Berry</t>
        </is>
      </c>
      <c r="C182" s="29" t="inlineStr">
        <is>
          <t>ドリのみ</t>
        </is>
      </c>
      <c r="D182" s="29" t="inlineStr">
        <is>
          <t>Baie Durin</t>
        </is>
      </c>
      <c r="E182" s="29" t="inlineStr">
        <is>
          <t>Durinbeere</t>
        </is>
      </c>
      <c r="F182" s="29" t="inlineStr">
        <is>
          <t>Baya Rudion</t>
        </is>
      </c>
      <c r="G182" s="29" t="inlineStr">
        <is>
          <t>Baccadurian</t>
        </is>
      </c>
      <c r="H182" s="29" t="inlineStr">
        <is>
          <t>두리열매</t>
        </is>
      </c>
      <c r="I182" s="29" t="inlineStr">
        <is>
          <t>金枕果</t>
        </is>
      </c>
      <c r="J182" s="29">
        <f>I182</f>
        <v/>
      </c>
      <c r="K182" s="29">
        <f>F182</f>
        <v/>
      </c>
    </row>
    <row r="183">
      <c r="A183" s="29">
        <f>CONCATENATE("NAME_ITEM_", SUBSTITUTE(SUBSTITUTE(UPPER(B183), " ", ""), ".", ""))</f>
        <v/>
      </c>
      <c r="B183" s="29" t="inlineStr">
        <is>
          <t>Belue Berry</t>
        </is>
      </c>
      <c r="C183" s="29" t="inlineStr">
        <is>
          <t>ベリブのみ</t>
        </is>
      </c>
      <c r="D183" s="29" t="inlineStr">
        <is>
          <t>Baie Myrte</t>
        </is>
      </c>
      <c r="E183" s="29" t="inlineStr">
        <is>
          <t>Myrtilbeere</t>
        </is>
      </c>
      <c r="F183" s="29" t="inlineStr">
        <is>
          <t>Baya Andano</t>
        </is>
      </c>
      <c r="G183" s="29" t="inlineStr">
        <is>
          <t>Baccartillo</t>
        </is>
      </c>
      <c r="H183" s="29" t="inlineStr">
        <is>
          <t>루베열매</t>
        </is>
      </c>
      <c r="I183" s="29" t="inlineStr">
        <is>
          <t>靛莓果</t>
        </is>
      </c>
      <c r="J183" s="29">
        <f>I183</f>
        <v/>
      </c>
      <c r="K183" s="29">
        <f>F183</f>
        <v/>
      </c>
    </row>
    <row r="184">
      <c r="A184" s="29">
        <f>CONCATENATE("NAME_ITEM_", SUBSTITUTE(SUBSTITUTE(UPPER(B184), " ", ""), ".", ""))</f>
        <v/>
      </c>
      <c r="B184" s="29" t="inlineStr">
        <is>
          <t>Leichi Berry</t>
        </is>
      </c>
      <c r="C184" s="29" t="inlineStr">
        <is>
          <t>チイラのみ</t>
        </is>
      </c>
      <c r="D184" s="29" t="inlineStr">
        <is>
          <t>Baie Lichii</t>
        </is>
      </c>
      <c r="E184" s="29" t="inlineStr">
        <is>
          <t>Lydzibeere</t>
        </is>
      </c>
      <c r="F184" s="29" t="inlineStr">
        <is>
          <t>Baya Lichi</t>
        </is>
      </c>
      <c r="G184" s="29" t="inlineStr">
        <is>
          <t>Baccalici</t>
        </is>
      </c>
      <c r="H184" s="29" t="inlineStr">
        <is>
          <t>치리열매</t>
        </is>
      </c>
      <c r="I184" s="29" t="inlineStr">
        <is>
          <t>枝荔果</t>
        </is>
      </c>
      <c r="J184" s="29">
        <f>I184</f>
        <v/>
      </c>
      <c r="K184" s="29">
        <f>F184</f>
        <v/>
      </c>
    </row>
    <row r="185">
      <c r="A185" s="29">
        <f>CONCATENATE("NAME_ITEM_", SUBSTITUTE(SUBSTITUTE(UPPER(B185), " ", ""), ".", ""))</f>
        <v/>
      </c>
      <c r="B185" s="29" t="inlineStr">
        <is>
          <t>Galon Berry</t>
        </is>
      </c>
      <c r="C185" s="29" t="inlineStr">
        <is>
          <t>リュガのみ</t>
        </is>
      </c>
      <c r="D185" s="29" t="inlineStr">
        <is>
          <t>Baie Lingan</t>
        </is>
      </c>
      <c r="E185" s="29" t="inlineStr">
        <is>
          <t>Linganbeere</t>
        </is>
      </c>
      <c r="F185" s="29" t="inlineStr">
        <is>
          <t>Baya Gonlan</t>
        </is>
      </c>
      <c r="G185" s="29" t="inlineStr">
        <is>
          <t>Baccalongan</t>
        </is>
      </c>
      <c r="H185" s="29" t="inlineStr">
        <is>
          <t>용아열매</t>
        </is>
      </c>
      <c r="I185" s="29" t="inlineStr">
        <is>
          <t>龍睛果</t>
        </is>
      </c>
      <c r="J185" s="29">
        <f>IFERROR(__xludf.DUMMYFUNCTION("GOOGLETRANSLATE(I185,""zh_HANT"",""zh_HANS"")"),"龙睛果")</f>
        <v/>
      </c>
      <c r="K185" s="29">
        <f>F185</f>
        <v/>
      </c>
    </row>
    <row r="186">
      <c r="A186" s="29">
        <f>CONCATENATE("NAME_ITEM_", SUBSTITUTE(SUBSTITUTE(UPPER(B186), " ", ""), ".", ""))</f>
        <v/>
      </c>
      <c r="B186" s="29" t="inlineStr">
        <is>
          <t>Salac Berry</t>
        </is>
      </c>
      <c r="C186" s="29" t="inlineStr">
        <is>
          <t>カムラのみ</t>
        </is>
      </c>
      <c r="D186" s="29" t="inlineStr">
        <is>
          <t>Baie Sailak</t>
        </is>
      </c>
      <c r="E186" s="29" t="inlineStr">
        <is>
          <t>Salkabeere</t>
        </is>
      </c>
      <c r="F186" s="29" t="inlineStr">
        <is>
          <t>Baya Aslac</t>
        </is>
      </c>
      <c r="G186" s="29" t="inlineStr">
        <is>
          <t>Baccasalak</t>
        </is>
      </c>
      <c r="H186" s="29" t="inlineStr">
        <is>
          <t>캄라열매</t>
        </is>
      </c>
      <c r="I186" s="29" t="inlineStr">
        <is>
          <t>沙鱗果</t>
        </is>
      </c>
      <c r="J186" s="29">
        <f>IFERROR(__xludf.DUMMYFUNCTION("GOOGLETRANSLATE(I186,""zh_HANT"",""zh_HANS"")"),"沙鳞果")</f>
        <v/>
      </c>
      <c r="K186" s="29">
        <f>F186</f>
        <v/>
      </c>
    </row>
    <row r="187">
      <c r="A187" s="29">
        <f>CONCATENATE("NAME_ITEM_", SUBSTITUTE(SUBSTITUTE(UPPER(B187), " ", ""), ".", ""))</f>
        <v/>
      </c>
      <c r="B187" s="29" t="inlineStr">
        <is>
          <t>Petaya Berry</t>
        </is>
      </c>
      <c r="C187" s="29" t="inlineStr">
        <is>
          <t>ヤタピのみ</t>
        </is>
      </c>
      <c r="D187" s="29" t="inlineStr">
        <is>
          <t>Baie Pitaye</t>
        </is>
      </c>
      <c r="E187" s="29" t="inlineStr">
        <is>
          <t>Tahaybeere</t>
        </is>
      </c>
      <c r="F187" s="29" t="inlineStr">
        <is>
          <t>Baya Yapati</t>
        </is>
      </c>
      <c r="G187" s="29" t="inlineStr">
        <is>
          <t>Baccapitaya</t>
        </is>
      </c>
      <c r="H187" s="29" t="inlineStr">
        <is>
          <t>야타비열매</t>
        </is>
      </c>
      <c r="I187" s="29" t="inlineStr">
        <is>
          <t>龍火果</t>
        </is>
      </c>
      <c r="J187" s="29">
        <f>IFERROR(__xludf.DUMMYFUNCTION("GOOGLETRANSLATE(I187,""zh_HANT"",""zh_HANS"")"),"龙火果")</f>
        <v/>
      </c>
      <c r="K187" s="29">
        <f>F187</f>
        <v/>
      </c>
    </row>
    <row r="188">
      <c r="A188" s="29">
        <f>CONCATENATE("NAME_ITEM_", SUBSTITUTE(SUBSTITUTE(UPPER(B188), " ", ""), ".", ""))</f>
        <v/>
      </c>
      <c r="B188" s="29" t="inlineStr">
        <is>
          <t>Apricot Berry</t>
        </is>
      </c>
      <c r="C188" s="29" t="inlineStr">
        <is>
          <t>ズアのみ</t>
        </is>
      </c>
      <c r="D188" s="29" t="inlineStr">
        <is>
          <t>Baie Abriko</t>
        </is>
      </c>
      <c r="E188" s="29" t="inlineStr">
        <is>
          <t>Apikobeere</t>
        </is>
      </c>
      <c r="F188" s="29" t="inlineStr">
        <is>
          <t>Baya Aricoc</t>
        </is>
      </c>
      <c r="G188" s="29" t="inlineStr">
        <is>
          <t>Baccacocca</t>
        </is>
      </c>
      <c r="H188" s="29" t="inlineStr">
        <is>
          <t>규살열매</t>
        </is>
      </c>
      <c r="I188" s="29" t="inlineStr">
        <is>
          <t>杏仔果</t>
        </is>
      </c>
      <c r="J188" s="29">
        <f>I188</f>
        <v/>
      </c>
      <c r="K188" s="29">
        <f>F188</f>
        <v/>
      </c>
    </row>
    <row r="189">
      <c r="A189" s="29">
        <f>CONCATENATE("NAME_ITEM_", SUBSTITUTE(SUBSTITUTE(UPPER(B189), " ", ""), ".", ""))</f>
        <v/>
      </c>
      <c r="B189" s="29" t="inlineStr">
        <is>
          <t>Lansat Berry</t>
        </is>
      </c>
      <c r="C189" s="29" t="inlineStr">
        <is>
          <t>サンのみ</t>
        </is>
      </c>
      <c r="D189" s="29" t="inlineStr">
        <is>
          <t>Baie Lansat</t>
        </is>
      </c>
      <c r="E189" s="29" t="inlineStr">
        <is>
          <t>Lansatbeere</t>
        </is>
      </c>
      <c r="F189" s="29" t="inlineStr">
        <is>
          <t>Baya Zonlan</t>
        </is>
      </c>
      <c r="G189" s="29" t="inlineStr">
        <is>
          <t>Baccalangsa</t>
        </is>
      </c>
      <c r="H189" s="29" t="inlineStr">
        <is>
          <t>랑사열매</t>
        </is>
      </c>
      <c r="I189" s="29" t="inlineStr">
        <is>
          <t>蘭薩果</t>
        </is>
      </c>
      <c r="J189" s="29">
        <f>IFERROR(__xludf.DUMMYFUNCTION("GOOGLETRANSLATE(I189,""zh_HANT"",""zh_HANS"")"),"兰萨果")</f>
        <v/>
      </c>
      <c r="K189" s="29">
        <f>F189</f>
        <v/>
      </c>
    </row>
    <row r="190">
      <c r="A190" s="29">
        <f>CONCATENATE("NAME_ITEM_", SUBSTITUTE(SUBSTITUTE(UPPER(B190), " ", ""), ".", ""))</f>
        <v/>
      </c>
      <c r="B190" s="29" t="inlineStr">
        <is>
          <t>Starf Berry</t>
        </is>
      </c>
      <c r="C190" s="29" t="inlineStr">
        <is>
          <t>スターのみ</t>
        </is>
      </c>
      <c r="D190" s="29" t="inlineStr">
        <is>
          <t>Baie Frista</t>
        </is>
      </c>
      <c r="E190" s="29" t="inlineStr">
        <is>
          <t>Krambobeere</t>
        </is>
      </c>
      <c r="F190" s="29" t="inlineStr">
        <is>
          <t>Baya Arabol</t>
        </is>
      </c>
      <c r="G190" s="29" t="inlineStr">
        <is>
          <t>Baccambola</t>
        </is>
      </c>
      <c r="H190" s="29" t="inlineStr">
        <is>
          <t>스타열매</t>
        </is>
      </c>
      <c r="I190" s="29" t="inlineStr">
        <is>
          <t>星桃果</t>
        </is>
      </c>
      <c r="J190" s="29">
        <f>I190</f>
        <v/>
      </c>
      <c r="K190" s="29">
        <f>F190</f>
        <v/>
      </c>
    </row>
    <row r="191">
      <c r="A191" s="29">
        <f>CONCATENATE("NAME_ITEM_", SUBSTITUTE(SUBSTITUTE(UPPER(B191), " ", ""), ".", ""))</f>
        <v/>
      </c>
      <c r="B191" s="29" t="inlineStr">
        <is>
          <t>Enigma Berry</t>
        </is>
      </c>
      <c r="C191" s="29" t="inlineStr">
        <is>
          <t>ナゾのみ</t>
        </is>
      </c>
      <c r="D191" s="29" t="inlineStr">
        <is>
          <t>Baie Enigma</t>
        </is>
      </c>
      <c r="E191" s="29" t="inlineStr">
        <is>
          <t>Enigmabeere</t>
        </is>
      </c>
      <c r="F191" s="29" t="inlineStr">
        <is>
          <t>Baya Enigma</t>
        </is>
      </c>
      <c r="G191" s="29" t="inlineStr">
        <is>
          <t>Baccaenigma</t>
        </is>
      </c>
      <c r="H191" s="29" t="inlineStr">
        <is>
          <t>의문열매</t>
        </is>
      </c>
      <c r="I191" s="29" t="inlineStr">
        <is>
          <t>謎芝果</t>
        </is>
      </c>
      <c r="J191" s="29">
        <f>IFERROR(__xludf.DUMMYFUNCTION("GOOGLETRANSLATE(I191,""zh_HANT"",""zh_HANS"")"),"谜芝果")</f>
        <v/>
      </c>
      <c r="K191" s="29">
        <f>F191</f>
        <v/>
      </c>
    </row>
    <row r="192">
      <c r="A192" s="29">
        <f>CONCATENATE("NAME_ITEM_", SUBSTITUTE(SUBSTITUTE(UPPER(B192), " ", ""), ".", ""))</f>
        <v/>
      </c>
      <c r="B192" s="29" t="inlineStr">
        <is>
          <t>Occa Berry</t>
        </is>
      </c>
      <c r="C192" s="29" t="inlineStr">
        <is>
          <t>オッカのみ</t>
        </is>
      </c>
      <c r="D192" s="29" t="inlineStr">
        <is>
          <t>Baie Chocco</t>
        </is>
      </c>
      <c r="E192" s="29" t="inlineStr">
        <is>
          <t>Koakobeere</t>
        </is>
      </c>
      <c r="F192" s="29" t="inlineStr">
        <is>
          <t>Baya Caoca</t>
        </is>
      </c>
      <c r="G192" s="29" t="inlineStr">
        <is>
          <t>Baccacao</t>
        </is>
      </c>
      <c r="H192" s="29" t="inlineStr">
        <is>
          <t>오카열매</t>
        </is>
      </c>
      <c r="I192" s="29" t="inlineStr">
        <is>
          <t>巧可果</t>
        </is>
      </c>
      <c r="J192" s="29">
        <f>I192</f>
        <v/>
      </c>
      <c r="K192" s="29">
        <f>F192</f>
        <v/>
      </c>
    </row>
    <row r="193">
      <c r="A193" s="29">
        <f>CONCATENATE("NAME_ITEM_", SUBSTITUTE(SUBSTITUTE(UPPER(B193), " ", ""), ".", ""))</f>
        <v/>
      </c>
      <c r="B193" s="29" t="inlineStr">
        <is>
          <t>Passho Berry</t>
        </is>
      </c>
      <c r="C193" s="29" t="inlineStr">
        <is>
          <t>イトケのみ</t>
        </is>
      </c>
      <c r="D193" s="29" t="inlineStr">
        <is>
          <t>Baie Pocpoc</t>
        </is>
      </c>
      <c r="E193" s="29" t="inlineStr">
        <is>
          <t>Foepasbeere</t>
        </is>
      </c>
      <c r="F193" s="29" t="inlineStr">
        <is>
          <t>Baya Pasio</t>
        </is>
      </c>
      <c r="G193" s="29" t="inlineStr">
        <is>
          <t>Baccapasflo</t>
        </is>
      </c>
      <c r="H193" s="29" t="inlineStr">
        <is>
          <t>꼬시개열매</t>
        </is>
      </c>
      <c r="I193" s="29" t="inlineStr">
        <is>
          <t>千香果</t>
        </is>
      </c>
      <c r="J193" s="29">
        <f>I193</f>
        <v/>
      </c>
      <c r="K193" s="29">
        <f>F193</f>
        <v/>
      </c>
    </row>
    <row r="194">
      <c r="A194" s="29">
        <f>CONCATENATE("NAME_ITEM_", SUBSTITUTE(SUBSTITUTE(UPPER(B194), " ", ""), ".", ""))</f>
        <v/>
      </c>
      <c r="B194" s="29" t="inlineStr">
        <is>
          <t>Wacan Berry</t>
        </is>
      </c>
      <c r="C194" s="29" t="inlineStr">
        <is>
          <t>ソクノのみ</t>
        </is>
      </c>
      <c r="D194" s="29" t="inlineStr">
        <is>
          <t>Baie Parma</t>
        </is>
      </c>
      <c r="E194" s="29" t="inlineStr">
        <is>
          <t>Kerzalbeere</t>
        </is>
      </c>
      <c r="F194" s="29" t="inlineStr">
        <is>
          <t>Baya Gualot</t>
        </is>
      </c>
      <c r="G194" s="29" t="inlineStr">
        <is>
          <t>Baccaparmen</t>
        </is>
      </c>
      <c r="H194" s="29" t="inlineStr">
        <is>
          <t>초나열매</t>
        </is>
      </c>
      <c r="I194" s="29" t="inlineStr">
        <is>
          <t>獨木果</t>
        </is>
      </c>
      <c r="J194" s="29">
        <f>IFERROR(__xludf.DUMMYFUNCTION("GOOGLETRANSLATE(I194,""zh_HANT"",""zh_HANS"")"),"独木果")</f>
        <v/>
      </c>
      <c r="K194" s="29">
        <f>F194</f>
        <v/>
      </c>
    </row>
    <row r="195">
      <c r="A195" s="29">
        <f>CONCATENATE("NAME_ITEM_", SUBSTITUTE(SUBSTITUTE(UPPER(B195), " ", ""), ".", ""))</f>
        <v/>
      </c>
      <c r="B195" s="29" t="inlineStr">
        <is>
          <t>Rindo Berry</t>
        </is>
      </c>
      <c r="C195" s="29" t="inlineStr">
        <is>
          <t>リンドのみ</t>
        </is>
      </c>
      <c r="D195" s="29" t="inlineStr">
        <is>
          <t>Baie Ratam</t>
        </is>
      </c>
      <c r="E195" s="29" t="inlineStr">
        <is>
          <t>Grindobeere</t>
        </is>
      </c>
      <c r="F195" s="29" t="inlineStr">
        <is>
          <t>Baya Tamar</t>
        </is>
      </c>
      <c r="G195" s="29" t="inlineStr">
        <is>
          <t>Baccarindo</t>
        </is>
      </c>
      <c r="H195" s="29" t="inlineStr">
        <is>
          <t>린드열매</t>
        </is>
      </c>
      <c r="I195" s="29" t="inlineStr">
        <is>
          <t>羅子果</t>
        </is>
      </c>
      <c r="J195" s="29">
        <f>IFERROR(__xludf.DUMMYFUNCTION("GOOGLETRANSLATE(I195,""zh_HANT"",""zh_HANS"")"),"罗子果")</f>
        <v/>
      </c>
      <c r="K195" s="29">
        <f>F195</f>
        <v/>
      </c>
    </row>
    <row r="196">
      <c r="A196" s="29">
        <f>CONCATENATE("NAME_ITEM_", SUBSTITUTE(SUBSTITUTE(UPPER(B196), " ", ""), ".", ""))</f>
        <v/>
      </c>
      <c r="B196" s="29" t="inlineStr">
        <is>
          <t>Yache Berry</t>
        </is>
      </c>
      <c r="C196" s="29" t="inlineStr">
        <is>
          <t>ヤチェのみ</t>
        </is>
      </c>
      <c r="D196" s="29" t="inlineStr">
        <is>
          <t>Baie Nanone</t>
        </is>
      </c>
      <c r="E196" s="29" t="inlineStr">
        <is>
          <t>Kiroyabeere</t>
        </is>
      </c>
      <c r="F196" s="29" t="inlineStr">
        <is>
          <t>Baya Rimoya</t>
        </is>
      </c>
      <c r="G196" s="29" t="inlineStr">
        <is>
          <t>Baccamoya</t>
        </is>
      </c>
      <c r="H196" s="29" t="inlineStr">
        <is>
          <t>플카열매</t>
        </is>
      </c>
      <c r="I196" s="29" t="inlineStr">
        <is>
          <t>番荔果</t>
        </is>
      </c>
      <c r="J196" s="29">
        <f>I196</f>
        <v/>
      </c>
      <c r="K196" s="29">
        <f>F196</f>
        <v/>
      </c>
    </row>
    <row r="197">
      <c r="A197" s="29">
        <f>CONCATENATE("NAME_ITEM_", SUBSTITUTE(SUBSTITUTE(UPPER(B197), " ", ""), ".", ""))</f>
        <v/>
      </c>
      <c r="B197" s="29" t="inlineStr">
        <is>
          <t>Chople Berry</t>
        </is>
      </c>
      <c r="C197" s="29" t="inlineStr">
        <is>
          <t>ヨプのみ</t>
        </is>
      </c>
      <c r="D197" s="29" t="inlineStr">
        <is>
          <t>Baie Pomroz</t>
        </is>
      </c>
      <c r="E197" s="29" t="inlineStr">
        <is>
          <t>Rospelbeere</t>
        </is>
      </c>
      <c r="F197" s="29" t="inlineStr">
        <is>
          <t>Baya Pomaro</t>
        </is>
      </c>
      <c r="G197" s="29" t="inlineStr">
        <is>
          <t>Baccarosmel</t>
        </is>
      </c>
      <c r="H197" s="29" t="inlineStr">
        <is>
          <t>로플열매</t>
        </is>
      </c>
      <c r="I197" s="29" t="inlineStr">
        <is>
          <t>蓮蒲果</t>
        </is>
      </c>
      <c r="J197" s="29">
        <f>IFERROR(__xludf.DUMMYFUNCTION("GOOGLETRANSLATE(I197,""zh_HANT"",""zh_HANS"")"),"莲蒲果")</f>
        <v/>
      </c>
      <c r="K197" s="29">
        <f>F197</f>
        <v/>
      </c>
    </row>
    <row r="198">
      <c r="A198" s="29">
        <f>CONCATENATE("NAME_ITEM_", SUBSTITUTE(SUBSTITUTE(UPPER(B198), " ", ""), ".", ""))</f>
        <v/>
      </c>
      <c r="B198" s="29" t="inlineStr">
        <is>
          <t>Kebia Berry</t>
        </is>
      </c>
      <c r="C198" s="29" t="inlineStr">
        <is>
          <t>ビアーのみ</t>
        </is>
      </c>
      <c r="D198" s="29" t="inlineStr">
        <is>
          <t>Baie Kébia</t>
        </is>
      </c>
      <c r="E198" s="29" t="inlineStr">
        <is>
          <t>Grarzbeere</t>
        </is>
      </c>
      <c r="F198" s="29" t="inlineStr">
        <is>
          <t>Baya Keiba</t>
        </is>
      </c>
      <c r="G198" s="29" t="inlineStr">
        <is>
          <t>Baccakebia</t>
        </is>
      </c>
      <c r="H198" s="29" t="inlineStr">
        <is>
          <t>으름열매</t>
        </is>
      </c>
      <c r="I198" s="29" t="inlineStr">
        <is>
          <t>通通果</t>
        </is>
      </c>
      <c r="J198" s="29">
        <f>I198</f>
        <v/>
      </c>
      <c r="K198" s="29">
        <f>F198</f>
        <v/>
      </c>
    </row>
    <row r="199">
      <c r="A199" s="29">
        <f>CONCATENATE("NAME_ITEM_", SUBSTITUTE(SUBSTITUTE(UPPER(B199), " ", ""), ".", ""))</f>
        <v/>
      </c>
      <c r="B199" s="29" t="inlineStr">
        <is>
          <t>Shuca Berry</t>
        </is>
      </c>
      <c r="C199" s="29" t="inlineStr">
        <is>
          <t>シュカのみ</t>
        </is>
      </c>
      <c r="D199" s="29" t="inlineStr">
        <is>
          <t>Baie Jouca</t>
        </is>
      </c>
      <c r="E199" s="29" t="inlineStr">
        <is>
          <t>Schukebeere</t>
        </is>
      </c>
      <c r="F199" s="29" t="inlineStr">
        <is>
          <t>Baya Acardo</t>
        </is>
      </c>
      <c r="G199" s="29" t="inlineStr">
        <is>
          <t>Baccanaca</t>
        </is>
      </c>
      <c r="H199" s="29" t="inlineStr">
        <is>
          <t>슈캐열매</t>
        </is>
      </c>
      <c r="I199" s="29" t="inlineStr">
        <is>
          <t>腰木果</t>
        </is>
      </c>
      <c r="J199" s="29">
        <f>I199</f>
        <v/>
      </c>
      <c r="K199" s="29">
        <f>F199</f>
        <v/>
      </c>
    </row>
    <row r="200">
      <c r="A200" s="29">
        <f>CONCATENATE("NAME_ITEM_", SUBSTITUTE(SUBSTITUTE(UPPER(B200), " ", ""), ".", ""))</f>
        <v/>
      </c>
      <c r="B200" s="29" t="inlineStr">
        <is>
          <t>Coba Berry</t>
        </is>
      </c>
      <c r="C200" s="29" t="inlineStr">
        <is>
          <t>バコウのみ</t>
        </is>
      </c>
      <c r="D200" s="29" t="inlineStr">
        <is>
          <t>Baie Cobaba</t>
        </is>
      </c>
      <c r="E200" s="29" t="inlineStr">
        <is>
          <t>Kobabeere</t>
        </is>
      </c>
      <c r="F200" s="29" t="inlineStr">
        <is>
          <t>Baya Kouba</t>
        </is>
      </c>
      <c r="G200" s="29" t="inlineStr">
        <is>
          <t>Baccababa</t>
        </is>
      </c>
      <c r="H200" s="29" t="inlineStr">
        <is>
          <t>바코열매</t>
        </is>
      </c>
      <c r="I200" s="29" t="inlineStr">
        <is>
          <t>稜瓜果</t>
        </is>
      </c>
      <c r="J200" s="29">
        <f>IFERROR(__xludf.DUMMYFUNCTION("GOOGLETRANSLATE(I200,""zh_HANT"",""zh_HANS"")"),"棱瓜果")</f>
        <v/>
      </c>
      <c r="K200" s="29">
        <f>F200</f>
        <v/>
      </c>
    </row>
    <row r="201">
      <c r="A201" s="29">
        <f>CONCATENATE("NAME_ITEM_", SUBSTITUTE(SUBSTITUTE(UPPER(B201), " ", ""), ".", ""))</f>
        <v/>
      </c>
      <c r="B201" s="29" t="inlineStr">
        <is>
          <t>Payapa Berry</t>
        </is>
      </c>
      <c r="C201" s="29" t="inlineStr">
        <is>
          <t>ウタンのみ</t>
        </is>
      </c>
      <c r="D201" s="29" t="inlineStr">
        <is>
          <t>Baie Yapap</t>
        </is>
      </c>
      <c r="E201" s="29" t="inlineStr">
        <is>
          <t>Pyapabeere</t>
        </is>
      </c>
      <c r="F201" s="29" t="inlineStr">
        <is>
          <t>Baya Payapa</t>
        </is>
      </c>
      <c r="G201" s="29" t="inlineStr">
        <is>
          <t>Baccapayapa</t>
        </is>
      </c>
      <c r="H201" s="29" t="inlineStr">
        <is>
          <t>야파열매</t>
        </is>
      </c>
      <c r="I201" s="29" t="inlineStr">
        <is>
          <t>福祿果</t>
        </is>
      </c>
      <c r="J201" s="29">
        <f>IFERROR(__xludf.DUMMYFUNCTION("GOOGLETRANSLATE(I201,""zh_HANT"",""zh_HANS"")"),"福禄果")</f>
        <v/>
      </c>
      <c r="K201" s="29">
        <f>F201</f>
        <v/>
      </c>
    </row>
    <row r="202">
      <c r="A202" s="29">
        <f>CONCATENATE("NAME_ITEM_", SUBSTITUTE(SUBSTITUTE(UPPER(B202), " ", ""), ".", ""))</f>
        <v/>
      </c>
      <c r="B202" s="29" t="inlineStr">
        <is>
          <t>Tanga Berry</t>
        </is>
      </c>
      <c r="C202" s="29" t="inlineStr">
        <is>
          <t>タンガのみ</t>
        </is>
      </c>
      <c r="D202" s="29" t="inlineStr">
        <is>
          <t>Baie Panga</t>
        </is>
      </c>
      <c r="E202" s="29" t="inlineStr">
        <is>
          <t>Tanigabeere</t>
        </is>
      </c>
      <c r="F202" s="29" t="inlineStr">
        <is>
          <t>Baya Yecana</t>
        </is>
      </c>
      <c r="G202" s="29" t="inlineStr">
        <is>
          <t>Baccaitan</t>
        </is>
      </c>
      <c r="H202" s="29" t="inlineStr">
        <is>
          <t>리체열매</t>
        </is>
      </c>
      <c r="I202" s="29" t="inlineStr">
        <is>
          <t>扁櫻果</t>
        </is>
      </c>
      <c r="J202" s="29">
        <f>IFERROR(__xludf.DUMMYFUNCTION("GOOGLETRANSLATE(I202,""zh_HANT"",""zh_HANS"")"),"扁樱果")</f>
        <v/>
      </c>
      <c r="K202" s="29">
        <f>F202</f>
        <v/>
      </c>
    </row>
    <row r="203">
      <c r="A203" s="29">
        <f>CONCATENATE("NAME_ITEM_", SUBSTITUTE(SUBSTITUTE(UPPER(B203), " ", ""), ".", ""))</f>
        <v/>
      </c>
      <c r="B203" s="29" t="inlineStr">
        <is>
          <t>Charti Berry</t>
        </is>
      </c>
      <c r="C203" s="29" t="inlineStr">
        <is>
          <t>ヨロギのみ</t>
        </is>
      </c>
      <c r="D203" s="29" t="inlineStr">
        <is>
          <t>Baie Charti</t>
        </is>
      </c>
      <c r="E203" s="29" t="inlineStr">
        <is>
          <t>Chiaribeere</t>
        </is>
      </c>
      <c r="F203" s="29" t="inlineStr">
        <is>
          <t>Baya Alcho</t>
        </is>
      </c>
      <c r="G203" s="29" t="inlineStr">
        <is>
          <t>Baccaciofo</t>
        </is>
      </c>
      <c r="H203" s="29" t="inlineStr">
        <is>
          <t>루미열매</t>
        </is>
      </c>
      <c r="I203" s="29" t="inlineStr">
        <is>
          <t>草蠶果</t>
        </is>
      </c>
      <c r="J203" s="29">
        <f>IFERROR(__xludf.DUMMYFUNCTION("GOOGLETRANSLATE(I203,""zh_HANT"",""zh_HANS"")"),"草蚕果")</f>
        <v/>
      </c>
      <c r="K203" s="29">
        <f>F203</f>
        <v/>
      </c>
    </row>
    <row r="204">
      <c r="A204" s="29">
        <f>CONCATENATE("NAME_ITEM_", SUBSTITUTE(SUBSTITUTE(UPPER(B204), " ", ""), ".", ""))</f>
        <v/>
      </c>
      <c r="B204" s="29" t="inlineStr">
        <is>
          <t>Kasib Berry</t>
        </is>
      </c>
      <c r="C204" s="29" t="inlineStr">
        <is>
          <t>カシブのみ</t>
        </is>
      </c>
      <c r="D204" s="29" t="inlineStr">
        <is>
          <t>Baie Sédra</t>
        </is>
      </c>
      <c r="E204" s="29" t="inlineStr">
        <is>
          <t>Zitarzbeere</t>
        </is>
      </c>
      <c r="F204" s="29" t="inlineStr">
        <is>
          <t>Baya Drasi</t>
        </is>
      </c>
      <c r="G204" s="29" t="inlineStr">
        <is>
          <t>Baccacitrus</t>
        </is>
      </c>
      <c r="H204" s="29" t="inlineStr">
        <is>
          <t>수불열매</t>
        </is>
      </c>
      <c r="I204" s="29" t="inlineStr">
        <is>
          <t>佛柑果</t>
        </is>
      </c>
      <c r="J204" s="29">
        <f>I204</f>
        <v/>
      </c>
      <c r="K204" s="29">
        <f>F204</f>
        <v/>
      </c>
    </row>
    <row r="205">
      <c r="A205" s="29">
        <f>CONCATENATE("NAME_ITEM_", SUBSTITUTE(SUBSTITUTE(UPPER(B205), " ", ""), ".", ""))</f>
        <v/>
      </c>
      <c r="B205" s="29" t="inlineStr">
        <is>
          <t>Haban Berry</t>
        </is>
      </c>
      <c r="C205" s="29" t="inlineStr">
        <is>
          <t>ハバンのみ</t>
        </is>
      </c>
      <c r="D205" s="29" t="inlineStr">
        <is>
          <t>Baie Fraigo</t>
        </is>
      </c>
      <c r="E205" s="29" t="inlineStr">
        <is>
          <t>Terirobeere</t>
        </is>
      </c>
      <c r="F205" s="29" t="inlineStr">
        <is>
          <t>Baya Anjiro</t>
        </is>
      </c>
      <c r="G205" s="29" t="inlineStr">
        <is>
          <t>Baccahaban</t>
        </is>
      </c>
      <c r="H205" s="29" t="inlineStr">
        <is>
          <t>하반열매</t>
        </is>
      </c>
      <c r="I205" s="29" t="inlineStr">
        <is>
          <t>莓榴果</t>
        </is>
      </c>
      <c r="J205" s="29">
        <f>I205</f>
        <v/>
      </c>
      <c r="K205" s="29">
        <f>F205</f>
        <v/>
      </c>
    </row>
    <row r="206">
      <c r="A206" s="29">
        <f>CONCATENATE("NAME_ITEM_", SUBSTITUTE(SUBSTITUTE(UPPER(B206), " ", ""), ".", ""))</f>
        <v/>
      </c>
      <c r="B206" s="29" t="inlineStr">
        <is>
          <t>Colbur Berry</t>
        </is>
      </c>
      <c r="C206" s="29" t="inlineStr">
        <is>
          <t>ナモのみ</t>
        </is>
      </c>
      <c r="D206" s="29" t="inlineStr">
        <is>
          <t>Baie Lampou</t>
        </is>
      </c>
      <c r="E206" s="29" t="inlineStr">
        <is>
          <t>Burleobeere</t>
        </is>
      </c>
      <c r="F206" s="29" t="inlineStr">
        <is>
          <t>Baya Dillo</t>
        </is>
      </c>
      <c r="G206" s="29" t="inlineStr">
        <is>
          <t>Baccaxan</t>
        </is>
      </c>
      <c r="H206" s="29" t="inlineStr">
        <is>
          <t>마코열매</t>
        </is>
      </c>
      <c r="I206" s="29" t="inlineStr">
        <is>
          <t>刺耳果</t>
        </is>
      </c>
      <c r="J206" s="29">
        <f>I206</f>
        <v/>
      </c>
      <c r="K206" s="29">
        <f>F206</f>
        <v/>
      </c>
    </row>
    <row r="207">
      <c r="A207" s="29">
        <f>CONCATENATE("NAME_ITEM_", SUBSTITUTE(SUBSTITUTE(UPPER(B207), " ", ""), ".", ""))</f>
        <v/>
      </c>
      <c r="B207" s="29" t="inlineStr">
        <is>
          <t>Babiri Berry</t>
        </is>
      </c>
      <c r="C207" s="29" t="inlineStr">
        <is>
          <t>リリバのみ</t>
        </is>
      </c>
      <c r="D207" s="29" t="inlineStr">
        <is>
          <t>Baie Babiri</t>
        </is>
      </c>
      <c r="E207" s="29" t="inlineStr">
        <is>
          <t>Babiribeere</t>
        </is>
      </c>
      <c r="F207" s="29" t="inlineStr">
        <is>
          <t>Baya Baribá</t>
        </is>
      </c>
      <c r="G207" s="29" t="inlineStr">
        <is>
          <t>Baccababiri</t>
        </is>
      </c>
      <c r="H207" s="29" t="inlineStr">
        <is>
          <t>바리비열매</t>
        </is>
      </c>
      <c r="I207" s="29" t="inlineStr">
        <is>
          <t>霹霹果</t>
        </is>
      </c>
      <c r="J207" s="29">
        <f>I207</f>
        <v/>
      </c>
      <c r="K207" s="29">
        <f>F207</f>
        <v/>
      </c>
    </row>
    <row r="208">
      <c r="A208" s="29">
        <f>CONCATENATE("NAME_ITEM_", SUBSTITUTE(SUBSTITUTE(UPPER(B208), " ", ""), ".", ""))</f>
        <v/>
      </c>
      <c r="B208" s="29" t="inlineStr">
        <is>
          <t>Chilan Berry</t>
        </is>
      </c>
      <c r="C208" s="29" t="inlineStr">
        <is>
          <t>ホズのみ</t>
        </is>
      </c>
      <c r="D208" s="29" t="inlineStr">
        <is>
          <t>Baie Zalis</t>
        </is>
      </c>
      <c r="E208" s="29" t="inlineStr">
        <is>
          <t>Latchibeere</t>
        </is>
      </c>
      <c r="F208" s="29" t="inlineStr">
        <is>
          <t>Baya Chilan</t>
        </is>
      </c>
      <c r="G208" s="29" t="inlineStr">
        <is>
          <t>Baccacinlan</t>
        </is>
      </c>
      <c r="H208" s="29" t="inlineStr">
        <is>
          <t>카리열매</t>
        </is>
      </c>
      <c r="I208" s="29" t="inlineStr">
        <is>
          <t>燈漿果</t>
        </is>
      </c>
      <c r="J208" s="29">
        <f>IFERROR(__xludf.DUMMYFUNCTION("GOOGLETRANSLATE(I208,""zh_HANT"",""zh_HANS"")"),"灯浆果")</f>
        <v/>
      </c>
      <c r="K208" s="29">
        <f>F208</f>
        <v/>
      </c>
    </row>
    <row r="209">
      <c r="A209" s="29">
        <f>CONCATENATE("NAME_ITEM_", SUBSTITUTE(SUBSTITUTE(UPPER(B209), " ", ""), ".", ""))</f>
        <v/>
      </c>
      <c r="B209" s="29" t="inlineStr">
        <is>
          <t>Micle Berry</t>
        </is>
      </c>
      <c r="C209" s="29" t="inlineStr">
        <is>
          <t>ミクルのみ</t>
        </is>
      </c>
      <c r="D209" s="29" t="inlineStr">
        <is>
          <t>Baie Micle</t>
        </is>
      </c>
      <c r="E209" s="29" t="inlineStr">
        <is>
          <t>Wunfrubeere</t>
        </is>
      </c>
      <c r="F209" s="29" t="inlineStr">
        <is>
          <t>Baya Lagro</t>
        </is>
      </c>
      <c r="G209" s="29" t="inlineStr">
        <is>
          <t>Baccaracolo</t>
        </is>
      </c>
      <c r="H209" s="29" t="inlineStr">
        <is>
          <t>미클열매</t>
        </is>
      </c>
      <c r="I209" s="29" t="inlineStr">
        <is>
          <t>奇秘果</t>
        </is>
      </c>
      <c r="J209" s="29">
        <f>I209</f>
        <v/>
      </c>
      <c r="K209" s="29">
        <f>F209</f>
        <v/>
      </c>
    </row>
    <row r="210">
      <c r="A210" s="29">
        <f>CONCATENATE("NAME_ITEM_", SUBSTITUTE(SUBSTITUTE(UPPER(B210), " ", ""), ".", ""))</f>
        <v/>
      </c>
      <c r="B210" s="29" t="inlineStr">
        <is>
          <t>Custap Berry</t>
        </is>
      </c>
      <c r="C210" s="29" t="inlineStr">
        <is>
          <t>イバンのみ</t>
        </is>
      </c>
      <c r="D210" s="29" t="inlineStr">
        <is>
          <t>Baie Chérim</t>
        </is>
      </c>
      <c r="E210" s="29" t="inlineStr">
        <is>
          <t>Eipfelbeere</t>
        </is>
      </c>
      <c r="F210" s="29" t="inlineStr">
        <is>
          <t>Baya Chiri</t>
        </is>
      </c>
      <c r="G210" s="29" t="inlineStr">
        <is>
          <t>Baccacrela</t>
        </is>
      </c>
      <c r="H210" s="29" t="inlineStr">
        <is>
          <t>애슈열매</t>
        </is>
      </c>
      <c r="I210" s="29" t="inlineStr">
        <is>
          <t>釋陀果</t>
        </is>
      </c>
      <c r="J210" s="29">
        <f>IFERROR(__xludf.DUMMYFUNCTION("GOOGLETRANSLATE(I210,""zh_HANT"",""zh_HANS"")"),"释陀果")</f>
        <v/>
      </c>
      <c r="K210" s="29">
        <f>F210</f>
        <v/>
      </c>
    </row>
    <row r="211">
      <c r="A211" s="29">
        <f>CONCATENATE("NAME_ITEM_", SUBSTITUTE(SUBSTITUTE(UPPER(B211), " ", ""), ".", ""))</f>
        <v/>
      </c>
      <c r="B211" s="29" t="inlineStr">
        <is>
          <t>Jaboca Berry</t>
        </is>
      </c>
      <c r="C211" s="29" t="inlineStr">
        <is>
          <t>ジャポのみ</t>
        </is>
      </c>
      <c r="D211" s="29" t="inlineStr">
        <is>
          <t>Baie Jacoba</t>
        </is>
      </c>
      <c r="E211" s="29" t="inlineStr">
        <is>
          <t>Jabocabeere</t>
        </is>
      </c>
      <c r="F211" s="29" t="inlineStr">
        <is>
          <t>Baya Jaboca</t>
        </is>
      </c>
      <c r="G211" s="29" t="inlineStr">
        <is>
          <t>Baccajaba</t>
        </is>
      </c>
      <c r="H211" s="29" t="inlineStr">
        <is>
          <t>자보열매</t>
        </is>
      </c>
      <c r="I211" s="29" t="inlineStr">
        <is>
          <t>嘉珍果</t>
        </is>
      </c>
      <c r="J211" s="29">
        <f>I211</f>
        <v/>
      </c>
      <c r="K211" s="29">
        <f>F211</f>
        <v/>
      </c>
    </row>
    <row r="212">
      <c r="A212" s="29">
        <f>CONCATENATE("NAME_ITEM_", SUBSTITUTE(SUBSTITUTE(UPPER(B212), " ", ""), ".", ""))</f>
        <v/>
      </c>
      <c r="B212" s="29" t="inlineStr">
        <is>
          <t>Rowap Berry</t>
        </is>
      </c>
      <c r="C212" s="29" t="inlineStr">
        <is>
          <t>レンブのみ</t>
        </is>
      </c>
      <c r="D212" s="29" t="inlineStr">
        <is>
          <t>Baie Pommo</t>
        </is>
      </c>
      <c r="E212" s="29" t="inlineStr">
        <is>
          <t>Roselbeere</t>
        </is>
      </c>
      <c r="F212" s="29" t="inlineStr">
        <is>
          <t>Baya Magua</t>
        </is>
      </c>
      <c r="G212" s="29" t="inlineStr">
        <is>
          <t>Baccaroam</t>
        </is>
      </c>
      <c r="H212" s="29" t="inlineStr">
        <is>
          <t>애터열매</t>
        </is>
      </c>
      <c r="I212" s="29" t="inlineStr">
        <is>
          <t>霧蓮果</t>
        </is>
      </c>
      <c r="J212" s="29">
        <f>IFERROR(__xludf.DUMMYFUNCTION("GOOGLETRANSLATE(I212,""zh_HANT"",""zh_HANS"")"),"雾莲果")</f>
        <v/>
      </c>
      <c r="K212" s="29">
        <f>F212</f>
        <v/>
      </c>
    </row>
    <row r="213">
      <c r="A213" s="29">
        <f>CONCATENATE("NAME_ITEM_", SUBSTITUTE(SUBSTITUTE(UPPER(B213), " ", ""), ".", ""))</f>
        <v/>
      </c>
      <c r="B213" s="29" t="inlineStr">
        <is>
          <t>Roseli Berry</t>
        </is>
      </c>
      <c r="C213" s="29" t="inlineStr">
        <is>
          <t>ロゼルのみ</t>
        </is>
      </c>
      <c r="D213" s="29" t="inlineStr">
        <is>
          <t>Baie Seiro</t>
        </is>
      </c>
      <c r="E213" s="29" t="inlineStr">
        <is>
          <t>Hibisbeere</t>
        </is>
      </c>
      <c r="F213" s="29" t="inlineStr">
        <is>
          <t>Baya Hibis</t>
        </is>
      </c>
      <c r="G213" s="29" t="inlineStr">
        <is>
          <t>Baccarcadè</t>
        </is>
      </c>
      <c r="H213" s="29" t="inlineStr">
        <is>
          <t>로셀열매</t>
        </is>
      </c>
      <c r="I213" s="29" t="inlineStr">
        <is>
          <t>洛玫果</t>
        </is>
      </c>
      <c r="J213" s="29">
        <f>I213</f>
        <v/>
      </c>
      <c r="K213" s="29">
        <f>F213</f>
        <v/>
      </c>
    </row>
    <row r="214">
      <c r="A214" s="29">
        <f>CONCATENATE("NAME_ITEM_", SUBSTITUTE(SUBSTITUTE(UPPER(B214), " ", ""), ".", ""))</f>
        <v/>
      </c>
      <c r="B214" s="29" t="inlineStr">
        <is>
          <t>Kee Berry</t>
        </is>
      </c>
      <c r="C214" s="29" t="inlineStr">
        <is>
          <t>アッキのみ</t>
        </is>
      </c>
      <c r="D214" s="29" t="inlineStr">
        <is>
          <t>Baie Éka</t>
        </is>
      </c>
      <c r="E214" s="29" t="inlineStr">
        <is>
          <t>Akibeere</t>
        </is>
      </c>
      <c r="F214" s="29" t="inlineStr">
        <is>
          <t>Baya Biglia</t>
        </is>
      </c>
      <c r="G214" s="29" t="inlineStr">
        <is>
          <t>Baccalighia</t>
        </is>
      </c>
      <c r="H214" s="29" t="inlineStr">
        <is>
          <t>악키열매</t>
        </is>
      </c>
      <c r="I214" s="29" t="inlineStr">
        <is>
          <t>亞開果</t>
        </is>
      </c>
      <c r="J214" s="29">
        <f>IFERROR(__xludf.DUMMYFUNCTION("GOOGLETRANSLATE(I214,""zh_HANT"",""zh_HANS"")"),"亚开果")</f>
        <v/>
      </c>
      <c r="K214" s="29">
        <f>F214</f>
        <v/>
      </c>
    </row>
    <row r="215">
      <c r="A215" s="29">
        <f>CONCATENATE("NAME_ITEM_", SUBSTITUTE(SUBSTITUTE(UPPER(B215), " ", ""), ".", ""))</f>
        <v/>
      </c>
      <c r="B215" s="29" t="inlineStr">
        <is>
          <t>Maranga Berry</t>
        </is>
      </c>
      <c r="C215" s="29" t="inlineStr">
        <is>
          <t>タラプのみ</t>
        </is>
      </c>
      <c r="D215" s="29" t="inlineStr">
        <is>
          <t>Baie Rangma</t>
        </is>
      </c>
      <c r="E215" s="29" t="inlineStr">
        <is>
          <t>Tarabeere</t>
        </is>
      </c>
      <c r="F215" s="29" t="inlineStr">
        <is>
          <t>Baya Maranga</t>
        </is>
      </c>
      <c r="G215" s="29" t="inlineStr">
        <is>
          <t>Baccapane</t>
        </is>
      </c>
      <c r="H215" s="29" t="inlineStr">
        <is>
          <t>타라프열매</t>
        </is>
      </c>
      <c r="I215" s="29" t="inlineStr">
        <is>
          <t>香羅果</t>
        </is>
      </c>
      <c r="J215" s="29">
        <f>IFERROR(__xludf.DUMMYFUNCTION("GOOGLETRANSLATE(I215,""zh_HANT"",""zh_HANS"")"),"香罗果")</f>
        <v/>
      </c>
      <c r="K215" s="29">
        <f>F215</f>
        <v/>
      </c>
    </row>
    <row r="216">
      <c r="A216" s="29">
        <f>CONCATENATE("NAME_ITEM_", SUBSTITUTE(SUBSTITUTE(UPPER(B216), " ", ""), ".", ""))</f>
        <v/>
      </c>
      <c r="B216" s="29" t="inlineStr">
        <is>
          <t>Hopo Berry</t>
        </is>
      </c>
      <c r="C216" s="29" t="inlineStr">
        <is>
          <t>ポフのみ</t>
        </is>
      </c>
      <c r="D216" s="6" t="inlineStr">
        <is>
          <t>Baie Bouhlon</t>
        </is>
      </c>
      <c r="E216" s="6" t="inlineStr">
        <is>
          <t>Pfohbeere</t>
        </is>
      </c>
      <c r="F216" s="4" t="inlineStr">
        <is>
          <t>Baya Lupu</t>
        </is>
      </c>
      <c r="G216" s="6" t="inlineStr">
        <is>
          <t>Baccaluppo</t>
        </is>
      </c>
      <c r="H216" s="6" t="inlineStr">
        <is>
          <t>포흐열매</t>
        </is>
      </c>
      <c r="I216" s="29" t="inlineStr">
        <is>
          <t>花啤果</t>
        </is>
      </c>
      <c r="J216" s="29">
        <f>I216</f>
        <v/>
      </c>
      <c r="K216" s="29">
        <f>F216</f>
        <v/>
      </c>
    </row>
    <row r="217">
      <c r="A217" s="29">
        <f>CONCATENATE("NAME_ITEM_", SUBSTITUTE(SUBSTITUTE(UPPER(B217), " ", ""), ".", ""))</f>
        <v/>
      </c>
      <c r="B217" s="29" t="inlineStr">
        <is>
          <t>Repel</t>
        </is>
      </c>
      <c r="C217" s="29" t="inlineStr">
        <is>
          <t>むしよけスプレー</t>
        </is>
      </c>
      <c r="D217" s="29" t="inlineStr">
        <is>
          <t>Repousse</t>
        </is>
      </c>
      <c r="E217" s="29" t="inlineStr">
        <is>
          <t>Schutz</t>
        </is>
      </c>
      <c r="F217" s="29">
        <f>CONCATENATE(B217,"ente")</f>
        <v/>
      </c>
      <c r="G217" s="29">
        <f>CONCATENATE(B217,"lente")</f>
        <v/>
      </c>
      <c r="H217" s="29" t="inlineStr">
        <is>
          <t>벌레회피스프레이</t>
        </is>
      </c>
      <c r="I217" s="29" t="inlineStr">
        <is>
          <t>除蟲噴霧</t>
        </is>
      </c>
      <c r="J217" s="29">
        <f>IFERROR(__xludf.DUMMYFUNCTION("GOOGLETRANSLATE(I217,""zh_HANT"",""zh_HANS"")"),"除虫喷雾")</f>
        <v/>
      </c>
      <c r="K217" s="29">
        <f>F217</f>
        <v/>
      </c>
    </row>
    <row r="218">
      <c r="A218" s="29">
        <f>CONCATENATE("NAME_ITEM_", SUBSTITUTE(SUBSTITUTE(UPPER(B218), " ", ""), ".", ""))</f>
        <v/>
      </c>
      <c r="B218" s="29" t="inlineStr">
        <is>
          <t>Super Repel</t>
        </is>
      </c>
      <c r="C218" s="29" t="inlineStr">
        <is>
          <t>シルバースプレー</t>
        </is>
      </c>
      <c r="D218" s="29">
        <f>CONCATENATE("Supe",LOWER(D217))</f>
        <v/>
      </c>
      <c r="E218" s="29">
        <f>CONCATENATE("Super",LOWER(E217))</f>
        <v/>
      </c>
      <c r="F218" s="29">
        <f>CONCATENATE("Super",LOWER(F217))</f>
        <v/>
      </c>
      <c r="G218" s="29">
        <f>CONCATENATE("Super",LOWER(G217))</f>
        <v/>
      </c>
      <c r="H218" s="29" t="inlineStr">
        <is>
          <t>실버스프레이</t>
        </is>
      </c>
      <c r="I218" s="29" t="inlineStr">
        <is>
          <t>白銀噴霧</t>
        </is>
      </c>
      <c r="J218" s="29">
        <f>IFERROR(__xludf.DUMMYFUNCTION("GOOGLETRANSLATE(I218,""zh_HANT"",""zh_HANS"")"),"白银喷雾")</f>
        <v/>
      </c>
      <c r="K218" s="29">
        <f>F218</f>
        <v/>
      </c>
    </row>
    <row r="219">
      <c r="A219" s="29">
        <f>CONCATENATE("NAME_ITEM_", SUBSTITUTE(SUBSTITUTE(UPPER(B219), " ", ""), ".", ""))</f>
        <v/>
      </c>
      <c r="B219" s="29" t="inlineStr">
        <is>
          <t>Max Repel</t>
        </is>
      </c>
      <c r="C219" s="29" t="inlineStr">
        <is>
          <t>ゴールドスプレー</t>
        </is>
      </c>
      <c r="D219" s="29">
        <f>CONCATENATE(D217," Max")</f>
        <v/>
      </c>
      <c r="E219" s="29">
        <f>CONCATENATE("Top-",E217)</f>
        <v/>
      </c>
      <c r="F219" s="29">
        <f>CONCATENATE(F217," Maximo")</f>
        <v/>
      </c>
      <c r="G219" s="29">
        <f>CONCATENATE(G217," Max")</f>
        <v/>
      </c>
      <c r="H219" s="29" t="inlineStr">
        <is>
          <t>골드스프레이</t>
        </is>
      </c>
      <c r="I219" s="29" t="inlineStr">
        <is>
          <t>黃金噴霧</t>
        </is>
      </c>
      <c r="J219" s="29">
        <f>IFERROR(__xludf.DUMMYFUNCTION("GOOGLETRANSLATE(I219,""zh_HANT"",""zh_HANS"")"),"黄金喷雾")</f>
        <v/>
      </c>
      <c r="K219" s="29">
        <f>F219</f>
        <v/>
      </c>
    </row>
    <row r="220">
      <c r="A220" s="29">
        <f>CONCATENATE("NAME_ITEM_", SUBSTITUTE(SUBSTITUTE(UPPER(B220), " ", ""), ".", ""))</f>
        <v/>
      </c>
      <c r="B220" s="29" t="inlineStr">
        <is>
          <t>Escape Rope</t>
        </is>
      </c>
      <c r="C220" s="29" t="inlineStr">
        <is>
          <t>あなぬけのヒモ</t>
        </is>
      </c>
      <c r="D220" s="29" t="inlineStr">
        <is>
          <t>Corde Sortie</t>
        </is>
      </c>
      <c r="E220" s="29" t="inlineStr">
        <is>
          <t>Fluchtseil</t>
        </is>
      </c>
      <c r="F220" s="29" t="inlineStr">
        <is>
          <t>Cuerda Huida</t>
        </is>
      </c>
      <c r="G220" s="29" t="inlineStr">
        <is>
          <t>Fune di Fuga</t>
        </is>
      </c>
      <c r="H220" s="29" t="inlineStr">
        <is>
          <t>동굴탈출로프</t>
        </is>
      </c>
      <c r="I220" s="29" t="inlineStr">
        <is>
          <t>離洞繩</t>
        </is>
      </c>
      <c r="J220" s="29">
        <f>IFERROR(__xludf.DUMMYFUNCTION("GOOGLETRANSLATE(I220,""zh_HANT"",""zh_HANS"")"),"离洞绳")</f>
        <v/>
      </c>
      <c r="K220" s="29">
        <f>F220</f>
        <v/>
      </c>
    </row>
    <row r="221">
      <c r="A221" s="29">
        <f>CONCATENATE("NAME_ITEM_", SUBSTITUTE(SUBSTITUTE(UPPER(B221), " ", ""), ".", ""))</f>
        <v/>
      </c>
      <c r="B221" s="29" t="inlineStr">
        <is>
          <t>Black Flute</t>
        </is>
      </c>
      <c r="C221" s="29" t="inlineStr">
        <is>
          <t>くろいビードロ</t>
        </is>
      </c>
      <c r="D221" s="29" t="inlineStr">
        <is>
          <t>Flûte Noire</t>
        </is>
      </c>
      <c r="E221" s="29" t="inlineStr">
        <is>
          <t>Schwarze Flöte</t>
        </is>
      </c>
      <c r="F221" s="29" t="inlineStr">
        <is>
          <t>Flauta Negra</t>
        </is>
      </c>
      <c r="G221" s="29" t="inlineStr">
        <is>
          <t>Flauto Nero</t>
        </is>
      </c>
      <c r="H221" s="29" t="inlineStr">
        <is>
          <t>검정비드로</t>
        </is>
      </c>
      <c r="I221" s="29" t="inlineStr">
        <is>
          <t>黑色玻璃哨</t>
        </is>
      </c>
      <c r="J221" s="29">
        <f>I221</f>
        <v/>
      </c>
      <c r="K221" s="29">
        <f>F221</f>
        <v/>
      </c>
    </row>
    <row r="222">
      <c r="A222" s="29">
        <f>CONCATENATE("NAME_ITEM_", SUBSTITUTE(SUBSTITUTE(UPPER(B222), " ", ""), ".", ""))</f>
        <v/>
      </c>
      <c r="B222" s="29" t="inlineStr">
        <is>
          <t>White Flute</t>
        </is>
      </c>
      <c r="C222" s="29" t="inlineStr">
        <is>
          <t>しろいビードロ</t>
        </is>
      </c>
      <c r="D222" s="29" t="inlineStr">
        <is>
          <t>Flûte Blanche</t>
        </is>
      </c>
      <c r="E222" s="29" t="inlineStr">
        <is>
          <t>Weisse Flöte</t>
        </is>
      </c>
      <c r="F222" s="29" t="inlineStr">
        <is>
          <t>Flauta Blanca</t>
        </is>
      </c>
      <c r="G222" s="29" t="inlineStr">
        <is>
          <t>Flauto Bianco</t>
        </is>
      </c>
      <c r="H222" s="29" t="inlineStr">
        <is>
          <t>하양비드로</t>
        </is>
      </c>
      <c r="I222" s="29" t="inlineStr">
        <is>
          <t>白色玻璃哨</t>
        </is>
      </c>
      <c r="J222" s="29">
        <f>I222</f>
        <v/>
      </c>
      <c r="K222" s="29">
        <f>F222</f>
        <v/>
      </c>
    </row>
    <row r="223">
      <c r="A223" s="29">
        <f>CONCATENATE("NAME_ITEM_", SUBSTITUTE(SUBSTITUTE(UPPER(B223), " ", ""), ".", ""))</f>
        <v/>
      </c>
      <c r="B223" s="29" t="inlineStr">
        <is>
          <t>Shoal Salt</t>
        </is>
      </c>
      <c r="C223" s="29" t="inlineStr">
        <is>
          <t>あさせのしお</t>
        </is>
      </c>
      <c r="D223" s="29" t="inlineStr">
        <is>
          <t>Sel Tréfonds</t>
        </is>
      </c>
      <c r="E223" s="29" t="inlineStr">
        <is>
          <t>Küstensalz</t>
        </is>
      </c>
      <c r="F223" s="29" t="inlineStr">
        <is>
          <t>Sal Cardumen</t>
        </is>
      </c>
      <c r="G223" s="29" t="inlineStr">
        <is>
          <t>Sale Ondoso</t>
        </is>
      </c>
      <c r="H223" s="29" t="inlineStr">
        <is>
          <t>여울소금</t>
        </is>
      </c>
      <c r="I223" s="29" t="inlineStr">
        <is>
          <t>淺灘海鹽</t>
        </is>
      </c>
      <c r="J223" s="29">
        <f>IFERROR(__xludf.DUMMYFUNCTION("GOOGLETRANSLATE(I223,""zh_HANT"",""zh_HANS"")"),"浅滩海盐")</f>
        <v/>
      </c>
      <c r="K223" s="29">
        <f>F223</f>
        <v/>
      </c>
    </row>
    <row r="224">
      <c r="A224" s="29">
        <f>CONCATENATE("NAME_ITEM_", SUBSTITUTE(SUBSTITUTE(UPPER(B224), " ", ""), ".", ""))</f>
        <v/>
      </c>
      <c r="B224" s="29" t="inlineStr">
        <is>
          <t>Shoal Shell</t>
        </is>
      </c>
      <c r="C224" s="29" t="inlineStr">
        <is>
          <t>あさせのかいがら</t>
        </is>
      </c>
      <c r="D224" s="29" t="inlineStr">
        <is>
          <t>Coquille Tréfonds</t>
        </is>
      </c>
      <c r="E224" s="29" t="inlineStr">
        <is>
          <t>Küstenschale</t>
        </is>
      </c>
      <c r="F224" s="29" t="inlineStr">
        <is>
          <t>Concha Cardumen</t>
        </is>
      </c>
      <c r="G224" s="29" t="inlineStr">
        <is>
          <t>Gusciondoso</t>
        </is>
      </c>
      <c r="H224" s="29" t="inlineStr">
        <is>
          <t>여울조개껍질</t>
        </is>
      </c>
      <c r="I224" s="29" t="inlineStr">
        <is>
          <t>淺灘貝殼</t>
        </is>
      </c>
      <c r="J224" s="29">
        <f>IFERROR(__xludf.DUMMYFUNCTION("GOOGLETRANSLATE(I224,""zh_HANT"",""zh_HANS"")"),"浅滩贝壳")</f>
        <v/>
      </c>
      <c r="K224" s="29">
        <f>F224</f>
        <v/>
      </c>
    </row>
    <row r="225">
      <c r="A225" s="29">
        <f>CONCATENATE("NAME_ITEM_", SUBSTITUTE(SUBSTITUTE(UPPER(B225), " ", ""), ".", ""))</f>
        <v/>
      </c>
      <c r="B225" s="29" t="inlineStr">
        <is>
          <t>Red Shard</t>
        </is>
      </c>
      <c r="C225" s="29" t="inlineStr">
        <is>
          <t>あかいかけら</t>
        </is>
      </c>
      <c r="D225" s="29" t="inlineStr">
        <is>
          <t>Tesson Rouge</t>
        </is>
      </c>
      <c r="E225" s="29" t="inlineStr">
        <is>
          <t>Purpurstück</t>
        </is>
      </c>
      <c r="F225" s="29" t="inlineStr">
        <is>
          <t>Parte Roja</t>
        </is>
      </c>
      <c r="G225" s="29" t="inlineStr">
        <is>
          <t>Coccio Rosso</t>
        </is>
      </c>
      <c r="H225" s="29" t="inlineStr">
        <is>
          <t>빨강조각</t>
        </is>
      </c>
      <c r="I225" s="29" t="inlineStr">
        <is>
          <t>紅色碎片</t>
        </is>
      </c>
      <c r="J225" s="29">
        <f>IFERROR(__xludf.DUMMYFUNCTION("GOOGLETRANSLATE(I225,""zh_HANT"",""zh_HANS"")"),"红色碎片")</f>
        <v/>
      </c>
      <c r="K225" s="29">
        <f>F225</f>
        <v/>
      </c>
    </row>
    <row r="226">
      <c r="A226" s="29">
        <f>CONCATENATE("NAME_ITEM_", SUBSTITUTE(SUBSTITUTE(UPPER(B226), " ", ""), ".", ""))</f>
        <v/>
      </c>
      <c r="B226" s="29" t="inlineStr">
        <is>
          <t>Blue Shard</t>
        </is>
      </c>
      <c r="C226" s="29" t="inlineStr">
        <is>
          <t>あおいかけら</t>
        </is>
      </c>
      <c r="D226" s="29" t="inlineStr">
        <is>
          <t>Tesson Bleu</t>
        </is>
      </c>
      <c r="E226" s="29" t="inlineStr">
        <is>
          <t>Indigostück</t>
        </is>
      </c>
      <c r="F226" s="29" t="inlineStr">
        <is>
          <t>Parte Azul</t>
        </is>
      </c>
      <c r="G226" s="29" t="inlineStr">
        <is>
          <t>Coccio Blu</t>
        </is>
      </c>
      <c r="H226" s="29" t="inlineStr">
        <is>
          <t>파랑조각</t>
        </is>
      </c>
      <c r="I226" s="29" t="inlineStr">
        <is>
          <t>藍色碎片</t>
        </is>
      </c>
      <c r="J226" s="29">
        <f>IFERROR(__xludf.DUMMYFUNCTION("GOOGLETRANSLATE(I226,""zh_HANT"",""zh_HANS"")"),"蓝色碎片")</f>
        <v/>
      </c>
      <c r="K226" s="29">
        <f>F226</f>
        <v/>
      </c>
    </row>
    <row r="227">
      <c r="A227" s="29">
        <f>CONCATENATE("NAME_ITEM_", SUBSTITUTE(SUBSTITUTE(UPPER(B227), " ", ""), ".", ""))</f>
        <v/>
      </c>
      <c r="B227" s="29" t="inlineStr">
        <is>
          <t>Yellow Shard</t>
        </is>
      </c>
      <c r="C227" s="29" t="inlineStr">
        <is>
          <t>きいろいかけら</t>
        </is>
      </c>
      <c r="D227" s="29" t="inlineStr">
        <is>
          <t>Tesson Jaune</t>
        </is>
      </c>
      <c r="E227" s="29" t="inlineStr">
        <is>
          <t>Gelbstück</t>
        </is>
      </c>
      <c r="F227" s="29" t="inlineStr">
        <is>
          <t>Parte Amarilla</t>
        </is>
      </c>
      <c r="G227" s="29" t="inlineStr">
        <is>
          <t>Coccio Giallo</t>
        </is>
      </c>
      <c r="H227" s="29" t="inlineStr">
        <is>
          <t>노랑조각</t>
        </is>
      </c>
      <c r="I227" s="29" t="inlineStr">
        <is>
          <t>黃色碎片</t>
        </is>
      </c>
      <c r="J227" s="29">
        <f>IFERROR(__xludf.DUMMYFUNCTION("GOOGLETRANSLATE(I227,""zh_HANT"",""zh_HANS"")"),"黄色碎片")</f>
        <v/>
      </c>
      <c r="K227" s="29">
        <f>F227</f>
        <v/>
      </c>
    </row>
    <row r="228">
      <c r="A228" s="29">
        <f>CONCATENATE("NAME_ITEM_", SUBSTITUTE(SUBSTITUTE(UPPER(B228), " ", ""), ".", ""))</f>
        <v/>
      </c>
      <c r="B228" s="29" t="inlineStr">
        <is>
          <t>Green Shard</t>
        </is>
      </c>
      <c r="C228" s="29" t="inlineStr">
        <is>
          <t>みどりのかけら</t>
        </is>
      </c>
      <c r="D228" s="29" t="inlineStr">
        <is>
          <t>Tesson Vert</t>
        </is>
      </c>
      <c r="E228" s="29" t="inlineStr">
        <is>
          <t>Grünstück</t>
        </is>
      </c>
      <c r="F228" s="29" t="inlineStr">
        <is>
          <t>Parte Verde</t>
        </is>
      </c>
      <c r="G228" s="29" t="inlineStr">
        <is>
          <t>Coccio Verde</t>
        </is>
      </c>
      <c r="H228" s="29" t="inlineStr">
        <is>
          <t>초록조각</t>
        </is>
      </c>
      <c r="I228" s="29" t="inlineStr">
        <is>
          <t>綠色碎片</t>
        </is>
      </c>
      <c r="J228" s="29">
        <f>IFERROR(__xludf.DUMMYFUNCTION("GOOGLETRANSLATE(I228,""zh_HANT"",""zh_HANS"")"),"绿色碎片")</f>
        <v/>
      </c>
      <c r="K228" s="29">
        <f>F228</f>
        <v/>
      </c>
    </row>
    <row r="229">
      <c r="A229" s="29" t="inlineStr">
        <is>
          <t>NAME_ITEM_EXPSHARE</t>
        </is>
      </c>
      <c r="B229" s="29" t="inlineStr">
        <is>
          <t>Exp. Share</t>
        </is>
      </c>
      <c r="C229" s="29" t="inlineStr">
        <is>
          <t>がくしゅうそうち</t>
        </is>
      </c>
      <c r="D229" s="29" t="inlineStr">
        <is>
          <t>Multi Exp</t>
        </is>
      </c>
      <c r="E229" s="29" t="inlineStr">
        <is>
          <t>EP-Teiler</t>
        </is>
      </c>
      <c r="F229" s="29" t="inlineStr">
        <is>
          <t>Repartir Exp.</t>
        </is>
      </c>
      <c r="G229" s="29" t="inlineStr">
        <is>
          <t>Condividi Esp.</t>
        </is>
      </c>
      <c r="H229" s="29" t="inlineStr">
        <is>
          <t>학습장치</t>
        </is>
      </c>
      <c r="I229" s="29" t="inlineStr">
        <is>
          <t>學習裝置</t>
        </is>
      </c>
      <c r="J229" s="29">
        <f>IFERROR(__xludf.DUMMYFUNCTION("GOOGLETRANSLATE(I229,""zh_HANT"",""zh_HANS"")"),"学习装置")</f>
        <v/>
      </c>
      <c r="K229" s="29">
        <f>F229</f>
        <v/>
      </c>
    </row>
    <row r="230">
      <c r="A230" s="29">
        <f>CONCATENATE("NAME_ITEM_", SUBSTITUTE(SUBSTITUTE(UPPER(B230), " ", ""), ".", ""))</f>
        <v/>
      </c>
      <c r="B230" s="29" t="inlineStr">
        <is>
          <t>Heart Scale</t>
        </is>
      </c>
      <c r="C230" s="29" t="inlineStr">
        <is>
          <t>ハートのウロコ</t>
        </is>
      </c>
      <c r="D230" s="29" t="inlineStr">
        <is>
          <t>Écaille Cœur</t>
        </is>
      </c>
      <c r="E230" s="29" t="inlineStr">
        <is>
          <t>Herzschuppe</t>
        </is>
      </c>
      <c r="F230" s="29" t="inlineStr">
        <is>
          <t>Escama Corazón</t>
        </is>
      </c>
      <c r="G230" s="29" t="inlineStr">
        <is>
          <t>Squama Cuore</t>
        </is>
      </c>
      <c r="H230" s="29" t="inlineStr">
        <is>
          <t>하트비늘</t>
        </is>
      </c>
      <c r="I230" s="29" t="inlineStr">
        <is>
          <t>心之鱗片</t>
        </is>
      </c>
      <c r="J230" s="29">
        <f>IFERROR(__xludf.DUMMYFUNCTION("GOOGLETRANSLATE(I230,""zh_HANT"",""zh_HANS"")"),"心之鳞片")</f>
        <v/>
      </c>
      <c r="K230" s="29">
        <f>F230</f>
        <v/>
      </c>
    </row>
    <row r="231">
      <c r="A231" s="29">
        <f>CONCATENATE("NAME_ITEM_", SUBSTITUTE(SUBSTITUTE(UPPER(B231), " ", ""), ".", ""))</f>
        <v/>
      </c>
      <c r="B231" s="29" t="inlineStr">
        <is>
          <t>Growth Mulch</t>
        </is>
      </c>
      <c r="C231" s="29" t="inlineStr">
        <is>
          <t>すくすくこやし</t>
        </is>
      </c>
      <c r="D231" s="29" t="inlineStr">
        <is>
          <t>Fertipousse</t>
        </is>
      </c>
      <c r="E231" s="29" t="inlineStr">
        <is>
          <t>Wachsmulch</t>
        </is>
      </c>
      <c r="F231" s="29" t="inlineStr">
        <is>
          <t>Abono Rápido</t>
        </is>
      </c>
      <c r="G231" s="29" t="inlineStr">
        <is>
          <t>Fertilrapido</t>
        </is>
      </c>
      <c r="H231" s="29" t="inlineStr">
        <is>
          <t>무럭무럭비료</t>
        </is>
      </c>
      <c r="I231" s="29" t="inlineStr">
        <is>
          <t>速速肥</t>
        </is>
      </c>
      <c r="J231" s="29">
        <f>I231</f>
        <v/>
      </c>
      <c r="K231" s="29">
        <f>F231</f>
        <v/>
      </c>
    </row>
    <row r="232">
      <c r="A232" s="29">
        <f>CONCATENATE("NAME_ITEM_", SUBSTITUTE(SUBSTITUTE(UPPER(B232), " ", ""), ".", ""))</f>
        <v/>
      </c>
      <c r="B232" s="29" t="inlineStr">
        <is>
          <t>Damp Mulch</t>
        </is>
      </c>
      <c r="C232" s="29" t="inlineStr">
        <is>
          <t>じめじめこやし</t>
        </is>
      </c>
      <c r="D232" s="29" t="inlineStr">
        <is>
          <t>Fertihumide</t>
        </is>
      </c>
      <c r="E232" s="29" t="inlineStr">
        <is>
          <t>Feuchtmulch</t>
        </is>
      </c>
      <c r="F232" s="29" t="inlineStr">
        <is>
          <t>Abono Lento</t>
        </is>
      </c>
      <c r="G232" s="29" t="inlineStr">
        <is>
          <t>Fertilidro</t>
        </is>
      </c>
      <c r="H232" s="29" t="inlineStr">
        <is>
          <t>축축이비료</t>
        </is>
      </c>
      <c r="I232" s="29" t="inlineStr">
        <is>
          <t>濕濕肥</t>
        </is>
      </c>
      <c r="J232" s="29">
        <f>IFERROR(__xludf.DUMMYFUNCTION("GOOGLETRANSLATE(I232,""zh_HANT"",""zh_HANS"")"),"湿湿肥")</f>
        <v/>
      </c>
      <c r="K232" s="29">
        <f>F232</f>
        <v/>
      </c>
    </row>
    <row r="233">
      <c r="A233" s="29">
        <f>CONCATENATE("NAME_ITEM_", SUBSTITUTE(SUBSTITUTE(UPPER(B233), " ", ""), ".", ""))</f>
        <v/>
      </c>
      <c r="B233" s="29" t="inlineStr">
        <is>
          <t>Stable Mulch</t>
        </is>
      </c>
      <c r="C233" s="29" t="inlineStr">
        <is>
          <t>ながながこやし</t>
        </is>
      </c>
      <c r="D233" s="29" t="inlineStr">
        <is>
          <t>Fertistable</t>
        </is>
      </c>
      <c r="E233" s="29" t="inlineStr">
        <is>
          <t>Stabilmulch</t>
        </is>
      </c>
      <c r="F233" s="29" t="inlineStr">
        <is>
          <t>Abono Fijador</t>
        </is>
      </c>
      <c r="G233" s="29" t="inlineStr">
        <is>
          <t>Fertilsaldo</t>
        </is>
      </c>
      <c r="H233" s="29" t="inlineStr">
        <is>
          <t>오래오래비료</t>
        </is>
      </c>
      <c r="I233" s="29" t="inlineStr">
        <is>
          <t>久久肥</t>
        </is>
      </c>
      <c r="J233" s="29">
        <f>I233</f>
        <v/>
      </c>
      <c r="K233" s="29">
        <f>F233</f>
        <v/>
      </c>
    </row>
    <row r="234">
      <c r="A234" s="29">
        <f>CONCATENATE("NAME_ITEM_", SUBSTITUTE(SUBSTITUTE(UPPER(B234), " ", ""), ".", ""))</f>
        <v/>
      </c>
      <c r="B234" s="29" t="inlineStr">
        <is>
          <t>Gooey Mulch</t>
        </is>
      </c>
      <c r="C234" s="29" t="inlineStr">
        <is>
          <t>ねばねばこやし</t>
        </is>
      </c>
      <c r="D234" s="29" t="inlineStr">
        <is>
          <t>Fertiglu</t>
        </is>
      </c>
      <c r="E234" s="29" t="inlineStr">
        <is>
          <t>Neumulch</t>
        </is>
      </c>
      <c r="F234" s="29" t="inlineStr">
        <is>
          <t>Abono Brote</t>
        </is>
      </c>
      <c r="G234" s="29" t="inlineStr">
        <is>
          <t>Fertilcolla</t>
        </is>
      </c>
      <c r="H234" s="29" t="inlineStr">
        <is>
          <t>끈적끈적비료</t>
        </is>
      </c>
      <c r="I234" s="29" t="inlineStr">
        <is>
          <t>黏黏肥</t>
        </is>
      </c>
      <c r="J234" s="29">
        <f>IFERROR(__xludf.DUMMYFUNCTION("GOOGLETRANSLATE(I234,""zh_HANT"",""zh_HANS"")"),"黏黏肥")</f>
        <v/>
      </c>
      <c r="K234" s="29">
        <f>F234</f>
        <v/>
      </c>
    </row>
    <row r="235">
      <c r="A235" s="29">
        <f>CONCATENATE("NAME_ITEM_", SUBSTITUTE(SUBSTITUTE(UPPER(B235), " ", ""), ".", ""))</f>
        <v/>
      </c>
      <c r="B235" s="29" t="inlineStr">
        <is>
          <t>Root Fossil</t>
        </is>
      </c>
      <c r="C235" s="29" t="inlineStr">
        <is>
          <t>ねっこのカセキ</t>
        </is>
      </c>
      <c r="D235" s="29" t="inlineStr">
        <is>
          <t>Fossile Racine</t>
        </is>
      </c>
      <c r="E235" s="29" t="inlineStr">
        <is>
          <t>Wurzelfossil</t>
        </is>
      </c>
      <c r="F235" s="29" t="inlineStr">
        <is>
          <t>Fósil Raíz</t>
        </is>
      </c>
      <c r="G235" s="29" t="inlineStr">
        <is>
          <t>Radifossile</t>
        </is>
      </c>
      <c r="H235" s="29" t="inlineStr">
        <is>
          <t>뿌리화석</t>
        </is>
      </c>
      <c r="I235" s="29" t="inlineStr">
        <is>
          <t>根狀化石</t>
        </is>
      </c>
      <c r="J235" s="29">
        <f>IFERROR(__xludf.DUMMYFUNCTION("GOOGLETRANSLATE(I235,""zh_HANT"",""zh_HANS"")"),"根状化石")</f>
        <v/>
      </c>
      <c r="K235" s="29">
        <f>F235</f>
        <v/>
      </c>
    </row>
    <row r="236">
      <c r="A236" s="29">
        <f>CONCATENATE("NAME_ITEM_", SUBSTITUTE(SUBSTITUTE(UPPER(B236), " ", ""), ".", ""))</f>
        <v/>
      </c>
      <c r="B236" s="29" t="inlineStr">
        <is>
          <t>Claw Fossil</t>
        </is>
      </c>
      <c r="C236" s="29" t="inlineStr">
        <is>
          <t>ツメのカセキ</t>
        </is>
      </c>
      <c r="D236" s="29" t="inlineStr">
        <is>
          <t>Fossile Griffe</t>
        </is>
      </c>
      <c r="E236" s="29" t="inlineStr">
        <is>
          <t>Klauenfossil</t>
        </is>
      </c>
      <c r="F236" s="29" t="inlineStr">
        <is>
          <t>Fósil Garra</t>
        </is>
      </c>
      <c r="G236" s="29" t="inlineStr">
        <is>
          <t>Fossilunghia</t>
        </is>
      </c>
      <c r="H236" s="29" t="inlineStr">
        <is>
          <t>발톱화석</t>
        </is>
      </c>
      <c r="I236" s="29" t="inlineStr">
        <is>
          <t>爪子化石</t>
        </is>
      </c>
      <c r="J236" s="29">
        <f>I236</f>
        <v/>
      </c>
      <c r="K236" s="29">
        <f>F236</f>
        <v/>
      </c>
    </row>
    <row r="237">
      <c r="A237" s="29">
        <f>CONCATENATE("NAME_ITEM_", SUBSTITUTE(SUBSTITUTE(UPPER(B237), " ", ""), ".", ""))</f>
        <v/>
      </c>
      <c r="B237" s="29" t="inlineStr">
        <is>
          <t>Helix Fossil</t>
        </is>
      </c>
      <c r="C237" s="29" t="inlineStr">
        <is>
          <t>かいのカセキ</t>
        </is>
      </c>
      <c r="D237" s="29" t="inlineStr">
        <is>
          <t>Fossile Nautile</t>
        </is>
      </c>
      <c r="E237" s="29" t="inlineStr">
        <is>
          <t>Helixfossil</t>
        </is>
      </c>
      <c r="F237" s="29" t="inlineStr">
        <is>
          <t>Fósil Helix</t>
        </is>
      </c>
      <c r="G237" s="29">
        <f>CONCATENATE(E237,"e")</f>
        <v/>
      </c>
      <c r="H237" s="29" t="inlineStr">
        <is>
          <t>조개화석</t>
        </is>
      </c>
      <c r="I237" s="29" t="inlineStr">
        <is>
          <t>貝殼化石</t>
        </is>
      </c>
      <c r="J237" s="29">
        <f>IFERROR(__xludf.DUMMYFUNCTION("GOOGLETRANSLATE(I237,""zh_HANT"",""zh_HANS"")"),"贝壳化石")</f>
        <v/>
      </c>
      <c r="K237" s="29">
        <f>F237</f>
        <v/>
      </c>
    </row>
    <row r="238">
      <c r="A238" s="29">
        <f>CONCATENATE("NAME_ITEM_", SUBSTITUTE(SUBSTITUTE(UPPER(B238), " ", ""), ".", ""))</f>
        <v/>
      </c>
      <c r="B238" s="29" t="inlineStr">
        <is>
          <t>Dome Fossil</t>
        </is>
      </c>
      <c r="C238" s="29" t="inlineStr">
        <is>
          <t>こうらのカセキ</t>
        </is>
      </c>
      <c r="D238" s="29" t="inlineStr">
        <is>
          <t>Fossile Dôme</t>
        </is>
      </c>
      <c r="E238" s="29" t="inlineStr">
        <is>
          <t>Domfossil</t>
        </is>
      </c>
      <c r="F238" s="29" t="inlineStr">
        <is>
          <t>Fósil Domo</t>
        </is>
      </c>
      <c r="G238" s="29" t="inlineStr">
        <is>
          <t>Domofossile</t>
        </is>
      </c>
      <c r="H238" s="29" t="inlineStr">
        <is>
          <t>껍질화석</t>
        </is>
      </c>
      <c r="I238" s="29" t="inlineStr">
        <is>
          <t>甲殼化石</t>
        </is>
      </c>
      <c r="J238" s="29">
        <f>IFERROR(__xludf.DUMMYFUNCTION("GOOGLETRANSLATE(I238,""zh_HANT"",""zh_HANS"")"),"甲壳化石")</f>
        <v/>
      </c>
      <c r="K238" s="29">
        <f>F238</f>
        <v/>
      </c>
    </row>
    <row r="239">
      <c r="A239" s="29">
        <f>CONCATENATE("NAME_ITEM_", SUBSTITUTE(SUBSTITUTE(UPPER(B239), " ", ""), ".", ""))</f>
        <v/>
      </c>
      <c r="B239" s="29" t="inlineStr">
        <is>
          <t>Old Amber</t>
        </is>
      </c>
      <c r="C239" s="29" t="inlineStr">
        <is>
          <t>ひみつのコハク</t>
        </is>
      </c>
      <c r="D239" s="29" t="inlineStr">
        <is>
          <t>Vieil Ambre</t>
        </is>
      </c>
      <c r="E239" s="29" t="inlineStr">
        <is>
          <t>Altbernstein</t>
        </is>
      </c>
      <c r="F239" s="29" t="inlineStr">
        <is>
          <t>Ambar Viejo</t>
        </is>
      </c>
      <c r="G239" s="29" t="inlineStr">
        <is>
          <t>Ambra Antica</t>
        </is>
      </c>
      <c r="H239" s="29" t="inlineStr">
        <is>
          <t>비밀의호박</t>
        </is>
      </c>
      <c r="I239" s="29" t="inlineStr">
        <is>
          <t>秘密琥珀</t>
        </is>
      </c>
      <c r="J239" s="29">
        <f>I239</f>
        <v/>
      </c>
      <c r="K239" s="29">
        <f>F239</f>
        <v/>
      </c>
    </row>
    <row r="240">
      <c r="A240" s="29">
        <f>CONCATENATE("NAME_ITEM_", SUBSTITUTE(SUBSTITUTE(UPPER(B240), " ", ""), ".", ""))</f>
        <v/>
      </c>
      <c r="B240" s="29" t="inlineStr">
        <is>
          <t>Armor Fossil</t>
        </is>
      </c>
      <c r="C240" s="29" t="inlineStr">
        <is>
          <t>たてのカセキ</t>
        </is>
      </c>
      <c r="D240" s="29" t="inlineStr">
        <is>
          <t>Fossile Armure</t>
        </is>
      </c>
      <c r="E240" s="29" t="inlineStr">
        <is>
          <t>Panzerfossil</t>
        </is>
      </c>
      <c r="F240" s="29" t="inlineStr">
        <is>
          <t>Fósil Coraza</t>
        </is>
      </c>
      <c r="G240" s="29" t="inlineStr">
        <is>
          <t>Fossilscudo</t>
        </is>
      </c>
      <c r="H240" s="29" t="inlineStr">
        <is>
          <t>방패의화석</t>
        </is>
      </c>
      <c r="I240" s="29" t="inlineStr">
        <is>
          <t>盾甲化石</t>
        </is>
      </c>
      <c r="J240" s="29">
        <f>I240</f>
        <v/>
      </c>
      <c r="K240" s="29">
        <f>F240</f>
        <v/>
      </c>
    </row>
    <row r="241">
      <c r="A241" s="29">
        <f>CONCATENATE("NAME_ITEM_", SUBSTITUTE(SUBSTITUTE(UPPER(B241), " ", ""), ".", ""))</f>
        <v/>
      </c>
      <c r="B241" s="29" t="inlineStr">
        <is>
          <t>Skull Fossil</t>
        </is>
      </c>
      <c r="C241" s="29" t="inlineStr">
        <is>
          <t>ずがいのカセキ</t>
        </is>
      </c>
      <c r="D241" s="29" t="inlineStr">
        <is>
          <t>Fossile Crâne</t>
        </is>
      </c>
      <c r="E241" s="29" t="inlineStr">
        <is>
          <t>Kopffossil</t>
        </is>
      </c>
      <c r="F241" s="29" t="inlineStr">
        <is>
          <t>Fósil Cráneo</t>
        </is>
      </c>
      <c r="G241" s="29" t="inlineStr">
        <is>
          <t>Fossilcranio</t>
        </is>
      </c>
      <c r="H241" s="29" t="inlineStr">
        <is>
          <t>두개의화석</t>
        </is>
      </c>
      <c r="I241" s="29" t="inlineStr">
        <is>
          <t>頭蓋化石</t>
        </is>
      </c>
      <c r="J241" s="29">
        <f>IFERROR(__xludf.DUMMYFUNCTION("GOOGLETRANSLATE(I241,""zh_HANT"",""zh_HANS"")"),"头盖化石")</f>
        <v/>
      </c>
      <c r="K241" s="29">
        <f>F241</f>
        <v/>
      </c>
    </row>
    <row r="242">
      <c r="A242" s="29">
        <f>CONCATENATE("NAME_ITEM_", SUBSTITUTE(SUBSTITUTE(UPPER(B242), " ", ""), ".", ""))</f>
        <v/>
      </c>
      <c r="B242" s="29" t="inlineStr">
        <is>
          <t>Odd Keystone</t>
        </is>
      </c>
      <c r="C242" s="29" t="inlineStr">
        <is>
          <t>かなめいし</t>
        </is>
      </c>
      <c r="D242" s="29" t="inlineStr">
        <is>
          <t>Clé de Voute</t>
        </is>
      </c>
      <c r="E242" s="29" t="inlineStr">
        <is>
          <t>Spiritkern</t>
        </is>
      </c>
      <c r="F242" s="29" t="inlineStr">
        <is>
          <t>Piedra Espíritu</t>
        </is>
      </c>
      <c r="G242" s="29" t="inlineStr">
        <is>
          <t>Roccianima</t>
        </is>
      </c>
      <c r="H242" s="29" t="inlineStr">
        <is>
          <t>쐐기돌</t>
        </is>
      </c>
      <c r="I242" s="29" t="inlineStr">
        <is>
          <t>楔石</t>
        </is>
      </c>
      <c r="J242" s="29">
        <f>I242</f>
        <v/>
      </c>
      <c r="K242" s="29">
        <f>F242</f>
        <v/>
      </c>
    </row>
    <row r="243">
      <c r="A243" s="29">
        <f>CONCATENATE("NAME_ITEM_", SUBSTITUTE(SUBSTITUTE(UPPER(B243), " ", ""), ".", ""))</f>
        <v/>
      </c>
      <c r="B243" s="29" t="inlineStr">
        <is>
          <t>Cover Fossil</t>
        </is>
      </c>
      <c r="C243" s="29" t="inlineStr">
        <is>
          <t>ふたのカセキ</t>
        </is>
      </c>
      <c r="D243" s="29" t="inlineStr">
        <is>
          <t>Fossile Plaque</t>
        </is>
      </c>
      <c r="E243" s="29" t="inlineStr">
        <is>
          <t>Schildfossil</t>
        </is>
      </c>
      <c r="F243" s="29" t="inlineStr">
        <is>
          <t>Fósil Tapa</t>
        </is>
      </c>
      <c r="G243" s="29" t="inlineStr">
        <is>
          <t>Fossiltappo</t>
        </is>
      </c>
      <c r="H243" s="29" t="inlineStr">
        <is>
          <t>덮개화석</t>
        </is>
      </c>
      <c r="I243" s="29" t="inlineStr">
        <is>
          <t>背蓋化石</t>
        </is>
      </c>
      <c r="J243" s="29">
        <f>IFERROR(__xludf.DUMMYFUNCTION("GOOGLETRANSLATE(I243,""zh_HANT"",""zh_HANS"")"),"背盖化石")</f>
        <v/>
      </c>
      <c r="K243" s="29">
        <f>F243</f>
        <v/>
      </c>
    </row>
    <row r="244">
      <c r="A244" s="29">
        <f>CONCATENATE("NAME_ITEM_", SUBSTITUTE(SUBSTITUTE(UPPER(B244), " ", ""), ".", ""))</f>
        <v/>
      </c>
      <c r="B244" s="29" t="inlineStr">
        <is>
          <t>Plume Fossil</t>
        </is>
      </c>
      <c r="C244" s="29" t="inlineStr">
        <is>
          <t>はねのカセキ</t>
        </is>
      </c>
      <c r="D244" s="29" t="inlineStr">
        <is>
          <t>Fossile Plume</t>
        </is>
      </c>
      <c r="E244" s="29" t="inlineStr">
        <is>
          <t>Federfossil</t>
        </is>
      </c>
      <c r="F244" s="29" t="inlineStr">
        <is>
          <t>Fósil Pluma</t>
        </is>
      </c>
      <c r="G244" s="29" t="inlineStr">
        <is>
          <t>Fossilpiuma</t>
        </is>
      </c>
      <c r="H244" s="29" t="inlineStr">
        <is>
          <t>날개화석</t>
        </is>
      </c>
      <c r="I244" s="29" t="inlineStr">
        <is>
          <t>羽毛化石</t>
        </is>
      </c>
      <c r="J244" s="29">
        <f>I244</f>
        <v/>
      </c>
      <c r="K244" s="29">
        <f>F244</f>
        <v/>
      </c>
    </row>
    <row r="245">
      <c r="A245" s="29">
        <f>CONCATENATE("NAME_ITEM_", SUBSTITUTE(SUBSTITUTE(UPPER(B245), " ", ""), ".", ""))</f>
        <v/>
      </c>
      <c r="B245" s="29" t="inlineStr">
        <is>
          <t>Rich Mulch</t>
        </is>
      </c>
      <c r="C245" s="29" t="inlineStr">
        <is>
          <t>たわわこやし</t>
        </is>
      </c>
      <c r="D245" s="29" t="inlineStr">
        <is>
          <t>Fertibondance</t>
        </is>
      </c>
      <c r="E245" s="29" t="inlineStr">
        <is>
          <t>Sprießmulch</t>
        </is>
      </c>
      <c r="F245" s="29" t="inlineStr">
        <is>
          <t>Abono Fértil</t>
        </is>
      </c>
      <c r="G245" s="29" t="inlineStr">
        <is>
          <t>Fertilflorido</t>
        </is>
      </c>
      <c r="H245" s="29" t="inlineStr">
        <is>
          <t>주렁주렁비료</t>
        </is>
      </c>
      <c r="I245" s="29" t="inlineStr">
        <is>
          <t>碩果肥</t>
        </is>
      </c>
      <c r="J245" s="29">
        <f>IFERROR(__xludf.DUMMYFUNCTION("GOOGLETRANSLATE(I245,""zh_HANT"",""zh_HANS"")"),"硕果肥")</f>
        <v/>
      </c>
      <c r="K245" s="29">
        <f>F245</f>
        <v/>
      </c>
    </row>
    <row r="246">
      <c r="A246" s="29">
        <f>CONCATENATE("NAME_ITEM_", SUBSTITUTE(SUBSTITUTE(UPPER(B246), " ", ""), ".", ""))</f>
        <v/>
      </c>
      <c r="B246" s="29" t="inlineStr">
        <is>
          <t>Surprise Mulch</t>
        </is>
      </c>
      <c r="C246" s="29" t="inlineStr">
        <is>
          <t>びっくりこやし</t>
        </is>
      </c>
      <c r="D246" s="29" t="inlineStr">
        <is>
          <t>Fertistantané</t>
        </is>
      </c>
      <c r="E246" s="29" t="inlineStr">
        <is>
          <t>Wundermulch</t>
        </is>
      </c>
      <c r="F246" s="29" t="inlineStr">
        <is>
          <t>Abono Sorpresa</t>
        </is>
      </c>
      <c r="G246" s="29" t="inlineStr">
        <is>
          <t>Fertilsorpresa</t>
        </is>
      </c>
      <c r="H246" s="29" t="inlineStr">
        <is>
          <t>깜놀비료</t>
        </is>
      </c>
      <c r="I246" s="29" t="inlineStr">
        <is>
          <t>吃驚肥</t>
        </is>
      </c>
      <c r="J246" s="29">
        <f>IFERROR(__xludf.DUMMYFUNCTION("GOOGLETRANSLATE(I246,""zh_HANT"",""zh_HANS"")"),"吃惊肥")</f>
        <v/>
      </c>
      <c r="K246" s="29">
        <f>F246</f>
        <v/>
      </c>
    </row>
    <row r="247">
      <c r="A247" s="29">
        <f>CONCATENATE("NAME_ITEM_", SUBSTITUTE(SUBSTITUTE(UPPER(B247), " ", ""), ".", ""))</f>
        <v/>
      </c>
      <c r="B247" s="29" t="inlineStr">
        <is>
          <t>Boost Mulch</t>
        </is>
      </c>
      <c r="C247" s="29" t="inlineStr">
        <is>
          <t>ぐんぐんこやし</t>
        </is>
      </c>
      <c r="D247" s="29" t="inlineStr">
        <is>
          <t>Fertibérance</t>
        </is>
      </c>
      <c r="E247" s="29" t="inlineStr">
        <is>
          <t>Wuchermulch</t>
        </is>
      </c>
      <c r="F247" s="29" t="inlineStr">
        <is>
          <t>Abono Fructfero</t>
        </is>
      </c>
      <c r="G247" s="29" t="inlineStr">
        <is>
          <t>Fertilcopioso</t>
        </is>
      </c>
      <c r="H247" s="29" t="inlineStr">
        <is>
          <t>부쩍부쩍비료</t>
        </is>
      </c>
      <c r="I247" s="29" t="inlineStr">
        <is>
          <t>勁勁肥</t>
        </is>
      </c>
      <c r="J247" s="29">
        <f>IFERROR(__xludf.DUMMYFUNCTION("GOOGLETRANSLATE(I247,""zh_HANT"",""zh_HANS"")"),"劲劲肥")</f>
        <v/>
      </c>
      <c r="K247" s="29">
        <f>F247</f>
        <v/>
      </c>
    </row>
    <row r="248">
      <c r="A248" s="29">
        <f>CONCATENATE("NAME_ITEM_", SUBSTITUTE(SUBSTITUTE(UPPER(B248), " ", ""), ".", ""))</f>
        <v/>
      </c>
      <c r="B248" s="29" t="inlineStr">
        <is>
          <t>Amaze Mulch</t>
        </is>
      </c>
      <c r="C248" s="29" t="inlineStr">
        <is>
          <t>とんでもこやし</t>
        </is>
      </c>
      <c r="D248" s="29" t="inlineStr">
        <is>
          <t>Fertiprodige</t>
        </is>
      </c>
      <c r="E248" s="29" t="inlineStr">
        <is>
          <t>Ultramulch</t>
        </is>
      </c>
      <c r="F248" s="29" t="inlineStr">
        <is>
          <t>Abono Insólito</t>
        </is>
      </c>
      <c r="G248" s="29" t="inlineStr">
        <is>
          <t>Fertilprodigio</t>
        </is>
      </c>
      <c r="H248" s="29" t="inlineStr">
        <is>
          <t>기절초풍비료</t>
        </is>
      </c>
      <c r="I248" s="29" t="inlineStr">
        <is>
          <t>超效肥</t>
        </is>
      </c>
      <c r="J248" s="29">
        <f>I248</f>
        <v/>
      </c>
      <c r="K248" s="29">
        <f>F248</f>
        <v/>
      </c>
    </row>
    <row r="249">
      <c r="A249" s="29">
        <f>CONCATENATE("NAME_ITEM_", SUBSTITUTE(SUBSTITUTE(UPPER(B249), " ", ""), ".", ""))</f>
        <v/>
      </c>
      <c r="B249" s="29" t="inlineStr">
        <is>
          <t>Jaw Fossil</t>
        </is>
      </c>
      <c r="C249" s="29" t="inlineStr">
        <is>
          <t>アゴのカセキ</t>
        </is>
      </c>
      <c r="D249" s="29" t="inlineStr">
        <is>
          <t>Fossile Mâchoire</t>
        </is>
      </c>
      <c r="E249" s="29" t="inlineStr">
        <is>
          <t>Kieferfossil</t>
        </is>
      </c>
      <c r="F249" s="29" t="inlineStr">
        <is>
          <t>Fósil Mandíbula</t>
        </is>
      </c>
      <c r="G249" s="29" t="inlineStr">
        <is>
          <t>Fossilmascella</t>
        </is>
      </c>
      <c r="H249" s="29" t="inlineStr">
        <is>
          <t>턱화석</t>
        </is>
      </c>
      <c r="I249" s="29" t="inlineStr">
        <is>
          <t>顎之化石</t>
        </is>
      </c>
      <c r="J249" s="29">
        <f>IFERROR(__xludf.DUMMYFUNCTION("GOOGLETRANSLATE(I249,""zh_HANT"",""zh_HANS"")"),"颚之化石")</f>
        <v/>
      </c>
      <c r="K249" s="29">
        <f>F249</f>
        <v/>
      </c>
    </row>
    <row r="250">
      <c r="A250" s="29">
        <f>CONCATENATE("NAME_ITEM_", SUBSTITUTE(SUBSTITUTE(UPPER(B250), " ", ""), ".", ""))</f>
        <v/>
      </c>
      <c r="B250" s="29" t="inlineStr">
        <is>
          <t>Sail Fossil</t>
        </is>
      </c>
      <c r="C250" s="29" t="inlineStr">
        <is>
          <t>ヒレのカセキ</t>
        </is>
      </c>
      <c r="D250" s="29" t="inlineStr">
        <is>
          <t>Fossile Nageoire</t>
        </is>
      </c>
      <c r="E250" s="29" t="inlineStr">
        <is>
          <t>Flossenfossil</t>
        </is>
      </c>
      <c r="F250" s="29" t="inlineStr">
        <is>
          <t>Fósil Aleta</t>
        </is>
      </c>
      <c r="G250" s="29" t="inlineStr">
        <is>
          <t>Fossilpinna</t>
        </is>
      </c>
      <c r="H250" s="29" t="inlineStr">
        <is>
          <t>지느러미화석</t>
        </is>
      </c>
      <c r="I250" s="29" t="inlineStr">
        <is>
          <t>鰭之化石</t>
        </is>
      </c>
      <c r="J250" s="29">
        <f>IFERROR(__xludf.DUMMYFUNCTION("GOOGLETRANSLATE(I250,""zh_HANT"",""zh_HANS"")"),"鳍之化石")</f>
        <v/>
      </c>
      <c r="K250" s="29">
        <f>F250</f>
        <v/>
      </c>
    </row>
    <row r="251">
      <c r="A251" s="29">
        <f>CONCATENATE("NAME_ITEM_", SUBSTITUTE(SUBSTITUTE(UPPER(B251), " ", ""), ".", ""))</f>
        <v/>
      </c>
      <c r="B251" s="29" t="inlineStr">
        <is>
          <t>Red Nectar</t>
        </is>
      </c>
      <c r="C251" s="29" t="inlineStr">
        <is>
          <t>くれないのミツ</t>
        </is>
      </c>
      <c r="D251" s="29" t="inlineStr">
        <is>
          <t>Nectar Rouge</t>
        </is>
      </c>
      <c r="E251" s="29" t="inlineStr">
        <is>
          <t>Roter Nektar</t>
        </is>
      </c>
      <c r="F251" s="29" t="inlineStr">
        <is>
          <t>Néctar Rojo</t>
        </is>
      </c>
      <c r="G251" s="29" t="inlineStr">
        <is>
          <t>Nettare Rosso</t>
        </is>
      </c>
      <c r="H251" s="29" t="inlineStr">
        <is>
          <t>다홍꿀</t>
        </is>
      </c>
      <c r="I251" s="29" t="inlineStr">
        <is>
          <t>朱紅色花蜜</t>
        </is>
      </c>
      <c r="J251" s="29">
        <f>IFERROR(__xludf.DUMMYFUNCTION("GOOGLETRANSLATE(I251,""zh_HANT"",""zh_HANS"")"),"朱红色花蜜")</f>
        <v/>
      </c>
      <c r="K251" s="29">
        <f>F251</f>
        <v/>
      </c>
    </row>
    <row r="252">
      <c r="A252" s="29">
        <f>CONCATENATE("NAME_ITEM_", SUBSTITUTE(SUBSTITUTE(UPPER(B252), " ", ""), ".", ""))</f>
        <v/>
      </c>
      <c r="B252" s="29" t="inlineStr">
        <is>
          <t>Yellow Nectar</t>
        </is>
      </c>
      <c r="C252" s="29" t="inlineStr">
        <is>
          <t>やまぶきのミツ</t>
        </is>
      </c>
      <c r="D252" s="29" t="inlineStr">
        <is>
          <t>Nectar Jaune</t>
        </is>
      </c>
      <c r="E252" s="29" t="inlineStr">
        <is>
          <t>Gelber Nektar</t>
        </is>
      </c>
      <c r="F252" s="29" t="inlineStr">
        <is>
          <t>Néctar Amarillo</t>
        </is>
      </c>
      <c r="G252" s="29" t="inlineStr">
        <is>
          <t>Nettare Giallo</t>
        </is>
      </c>
      <c r="H252" s="29" t="inlineStr">
        <is>
          <t>진노랑꿀</t>
        </is>
      </c>
      <c r="I252" s="29" t="inlineStr">
        <is>
          <t>金黃色花蜜</t>
        </is>
      </c>
      <c r="J252" s="29">
        <f>IFERROR(__xludf.DUMMYFUNCTION("GOOGLETRANSLATE(I252,""zh_HANT"",""zh_HANS"")"),"金黄色花蜜")</f>
        <v/>
      </c>
      <c r="K252" s="29">
        <f>F252</f>
        <v/>
      </c>
    </row>
    <row r="253">
      <c r="A253" s="29">
        <f>CONCATENATE("NAME_ITEM_", SUBSTITUTE(SUBSTITUTE(UPPER(B253), " ", ""), ".", ""))</f>
        <v/>
      </c>
      <c r="B253" s="29" t="inlineStr">
        <is>
          <t>Pink Nectar</t>
        </is>
      </c>
      <c r="C253" s="29" t="inlineStr">
        <is>
          <t>うすもものミツ</t>
        </is>
      </c>
      <c r="D253" s="29" t="inlineStr">
        <is>
          <t>Nectar Rose</t>
        </is>
      </c>
      <c r="E253" s="29" t="inlineStr">
        <is>
          <t>Rosa Nektar</t>
        </is>
      </c>
      <c r="F253" s="29" t="inlineStr">
        <is>
          <t>Néctar Rosa</t>
        </is>
      </c>
      <c r="G253" s="29" t="inlineStr">
        <is>
          <t>Nettare Rosa</t>
        </is>
      </c>
      <c r="H253" s="29" t="inlineStr">
        <is>
          <t>연분홍꿀</t>
        </is>
      </c>
      <c r="I253" s="29" t="inlineStr">
        <is>
          <t>桃粉色花蜜</t>
        </is>
      </c>
      <c r="J253" s="29">
        <f>I253</f>
        <v/>
      </c>
      <c r="K253" s="29">
        <f>F253</f>
        <v/>
      </c>
    </row>
    <row r="254">
      <c r="A254" s="29">
        <f>CONCATENATE("NAME_ITEM_", SUBSTITUTE(SUBSTITUTE(UPPER(B254), " ", ""), ".", ""))</f>
        <v/>
      </c>
      <c r="B254" s="29" t="inlineStr">
        <is>
          <t>Purple Nectar</t>
        </is>
      </c>
      <c r="C254" s="29" t="inlineStr">
        <is>
          <t>むらさきのミツ</t>
        </is>
      </c>
      <c r="D254" s="29" t="inlineStr">
        <is>
          <t>Nectar Mauve</t>
        </is>
      </c>
      <c r="E254" s="29" t="inlineStr">
        <is>
          <t>Purpurner Nektar</t>
        </is>
      </c>
      <c r="F254" s="29" t="inlineStr">
        <is>
          <t>Néctar Violeta</t>
        </is>
      </c>
      <c r="G254" s="29" t="inlineStr">
        <is>
          <t>Nettare Viola</t>
        </is>
      </c>
      <c r="H254" s="29" t="inlineStr">
        <is>
          <t>보라꿀</t>
        </is>
      </c>
      <c r="I254" s="29" t="inlineStr">
        <is>
          <t>蘭紫色花蜜</t>
        </is>
      </c>
      <c r="J254" s="29">
        <f>IFERROR(__xludf.DUMMYFUNCTION("GOOGLETRANSLATE(I254,""zh_HANT"",""zh_HANS"")"),"兰紫色花蜜")</f>
        <v/>
      </c>
      <c r="K254" s="29">
        <f>F254</f>
        <v/>
      </c>
    </row>
    <row r="255">
      <c r="A255" s="29">
        <f>CONCATENATE("NAME_ITEM_", SUBSTITUTE(SUBSTITUTE(UPPER(B255), " ", ""), ".", ""))</f>
        <v/>
      </c>
      <c r="B255" s="29" t="inlineStr">
        <is>
          <t>Fossilized Bird</t>
        </is>
      </c>
      <c r="C255" s="9" t="inlineStr">
        <is>
          <t>カセキのトリ</t>
        </is>
      </c>
      <c r="D255" s="29" t="inlineStr">
        <is>
          <t>Fossile Oiseau</t>
        </is>
      </c>
      <c r="E255" s="29" t="inlineStr">
        <is>
          <t>Vogelfossil</t>
        </is>
      </c>
      <c r="F255" s="29" t="inlineStr">
        <is>
          <t>Ornitofósil</t>
        </is>
      </c>
      <c r="G255" s="29" t="inlineStr">
        <is>
          <t>Ornitofossile</t>
        </is>
      </c>
      <c r="H255" s="29" t="inlineStr">
        <is>
          <t>화석새</t>
        </is>
      </c>
      <c r="I255" s="29" t="inlineStr">
        <is>
          <t>化石鳥</t>
        </is>
      </c>
      <c r="J255" s="29">
        <f>IFERROR(__xludf.DUMMYFUNCTION("GOOGLETRANSLATE(I255,""zh_HANT"",""zh_HANS"")"),"化石鸟")</f>
        <v/>
      </c>
      <c r="K255" s="29">
        <f>F255</f>
        <v/>
      </c>
    </row>
    <row r="256">
      <c r="A256" s="29">
        <f>CONCATENATE("NAME_ITEM_", SUBSTITUTE(SUBSTITUTE(UPPER(B256), " ", ""), ".", ""))</f>
        <v/>
      </c>
      <c r="B256" s="29" t="inlineStr">
        <is>
          <t>Fossilized Fish</t>
        </is>
      </c>
      <c r="C256" s="9" t="inlineStr">
        <is>
          <t>カセキのサカナ</t>
        </is>
      </c>
      <c r="D256" s="29" t="inlineStr">
        <is>
          <t>Fossile Poisson</t>
        </is>
      </c>
      <c r="E256" s="29" t="inlineStr">
        <is>
          <t>Fischfossil</t>
        </is>
      </c>
      <c r="F256" s="29" t="inlineStr">
        <is>
          <t>Ictiofósil</t>
        </is>
      </c>
      <c r="G256" s="29" t="inlineStr">
        <is>
          <t>Ittiofossile</t>
        </is>
      </c>
      <c r="H256" s="29" t="inlineStr">
        <is>
          <t>화석물고기</t>
        </is>
      </c>
      <c r="I256" s="29" t="inlineStr">
        <is>
          <t>化石魚</t>
        </is>
      </c>
      <c r="J256" s="29">
        <f>IFERROR(__xludf.DUMMYFUNCTION("GOOGLETRANSLATE(I256,""zh_HANT"",""zh_HANS"")"),"化石鱼")</f>
        <v/>
      </c>
      <c r="K256" s="29">
        <f>F256</f>
        <v/>
      </c>
    </row>
    <row r="257">
      <c r="A257" s="29">
        <f>CONCATENATE("NAME_ITEM_", SUBSTITUTE(SUBSTITUTE(UPPER(B257), " ", ""), ".", ""))</f>
        <v/>
      </c>
      <c r="B257" s="29" t="inlineStr">
        <is>
          <t>Fossilized Drake</t>
        </is>
      </c>
      <c r="C257" s="9" t="inlineStr">
        <is>
          <t>カセキのリュウ</t>
        </is>
      </c>
      <c r="D257" s="29" t="inlineStr">
        <is>
          <t>Fossile Dragon</t>
        </is>
      </c>
      <c r="E257" s="29" t="inlineStr">
        <is>
          <t>Drachenfossil</t>
        </is>
      </c>
      <c r="F257" s="29" t="inlineStr">
        <is>
          <t>Dracofósil</t>
        </is>
      </c>
      <c r="G257" s="29" t="inlineStr">
        <is>
          <t>Dracofossile</t>
        </is>
      </c>
      <c r="H257" s="29" t="inlineStr">
        <is>
          <t>화석용</t>
        </is>
      </c>
      <c r="I257" s="29" t="inlineStr">
        <is>
          <t>化石龍</t>
        </is>
      </c>
      <c r="J257" s="29">
        <f>IFERROR(__xludf.DUMMYFUNCTION("GOOGLETRANSLATE(I257,""zh_HANT"",""zh_HANS"")"),"化石龙")</f>
        <v/>
      </c>
      <c r="K257" s="29">
        <f>F257</f>
        <v/>
      </c>
    </row>
    <row r="258">
      <c r="A258" s="29">
        <f>CONCATENATE("NAME_ITEM_", SUBSTITUTE(SUBSTITUTE(UPPER(B258), " ", ""), ".", ""))</f>
        <v/>
      </c>
      <c r="B258" s="29" t="inlineStr">
        <is>
          <t>Fossilized Dino</t>
        </is>
      </c>
      <c r="C258" s="9" t="inlineStr">
        <is>
          <t>カセキのクビナガ</t>
        </is>
      </c>
      <c r="D258" s="29" t="inlineStr">
        <is>
          <t>Fossile Aileron</t>
        </is>
      </c>
      <c r="E258" s="29" t="inlineStr">
        <is>
          <t>Paddelfossil</t>
        </is>
      </c>
      <c r="F258" s="29" t="inlineStr">
        <is>
          <t>Plesiofósil</t>
        </is>
      </c>
      <c r="G258" s="29" t="inlineStr">
        <is>
          <t>Plesiofossile</t>
        </is>
      </c>
      <c r="H258" s="29" t="inlineStr">
        <is>
          <t>화석긴목</t>
        </is>
      </c>
      <c r="I258" s="29" t="inlineStr">
        <is>
          <t>化石海獸</t>
        </is>
      </c>
      <c r="J258" s="29">
        <f>IFERROR(__xludf.DUMMYFUNCTION("GOOGLETRANSLATE(I258,""zh_HANT"",""zh_HANS"")"),"化石海兽")</f>
        <v/>
      </c>
      <c r="K258" s="29">
        <f>F258</f>
        <v/>
      </c>
    </row>
    <row r="259">
      <c r="A259" s="29">
        <f>CONCATENATE("NAME_ITEM_", SUBSTITUTE(SUBSTITUTE(UPPER(B259), " ", ""), ".", ""))</f>
        <v/>
      </c>
      <c r="B259" s="29" t="inlineStr">
        <is>
          <t>Sweet Apple</t>
        </is>
      </c>
      <c r="C259" s="29" t="inlineStr">
        <is>
          <t>あまーいりんご</t>
        </is>
      </c>
      <c r="D259" s="29" t="inlineStr">
        <is>
          <t>Pomme Sucrée</t>
        </is>
      </c>
      <c r="E259" s="29" t="inlineStr">
        <is>
          <t>Süßer Apfel</t>
        </is>
      </c>
      <c r="F259" s="29" t="inlineStr">
        <is>
          <t>Manzana Dulce</t>
        </is>
      </c>
      <c r="G259" s="29" t="inlineStr">
        <is>
          <t>Dolcepomo</t>
        </is>
      </c>
      <c r="H259" s="29" t="inlineStr">
        <is>
          <t>달콤한사과</t>
        </is>
      </c>
      <c r="I259" s="29" t="inlineStr">
        <is>
          <t>甜甜蘋果</t>
        </is>
      </c>
      <c r="J259" s="29">
        <f>IFERROR(__xludf.DUMMYFUNCTION("GOOGLETRANSLATE(I259,""zh_HANT"",""zh_HANS"")"),"甜甜苹果")</f>
        <v/>
      </c>
      <c r="K259" s="29">
        <f>F259</f>
        <v/>
      </c>
    </row>
    <row r="260">
      <c r="A260" s="29">
        <f>CONCATENATE("NAME_ITEM_", SUBSTITUTE(SUBSTITUTE(UPPER(B260), " ", ""), ".", ""))</f>
        <v/>
      </c>
      <c r="B260" s="29" t="inlineStr">
        <is>
          <t>Tart Apple</t>
        </is>
      </c>
      <c r="C260" s="29" t="inlineStr">
        <is>
          <t>すっぱいりんご</t>
        </is>
      </c>
      <c r="D260" s="29" t="inlineStr">
        <is>
          <t>Pomme Acidulée</t>
        </is>
      </c>
      <c r="E260" s="29" t="inlineStr">
        <is>
          <t>Saurer Apfel</t>
        </is>
      </c>
      <c r="F260" s="29" t="inlineStr">
        <is>
          <t>Manzana Ácida</t>
        </is>
      </c>
      <c r="G260" s="29" t="inlineStr">
        <is>
          <t>Aspropomo</t>
        </is>
      </c>
      <c r="H260" s="29" t="inlineStr">
        <is>
          <t>새콤한사과</t>
        </is>
      </c>
      <c r="I260" s="29" t="inlineStr">
        <is>
          <t>酸酸蘋果</t>
        </is>
      </c>
      <c r="J260" s="29">
        <f>IFERROR(__xludf.DUMMYFUNCTION("GOOGLETRANSLATE(I260,""zh_HANT"",""zh_HANS"")"),"酸酸苹果")</f>
        <v/>
      </c>
      <c r="K260" s="29">
        <f>F260</f>
        <v/>
      </c>
    </row>
    <row r="261">
      <c r="A261" s="29">
        <f>CONCATENATE("NAME_ITEM_", SUBSTITUTE(SUBSTITUTE(UPPER(B261), " ", ""), ".", ""))</f>
        <v/>
      </c>
      <c r="B261" s="29" t="inlineStr">
        <is>
          <t>Cracked Pot</t>
        </is>
      </c>
      <c r="C261" s="29" t="inlineStr">
        <is>
          <t>われたポット</t>
        </is>
      </c>
      <c r="D261" s="29" t="inlineStr">
        <is>
          <t>Théière Fêlée</t>
        </is>
      </c>
      <c r="E261" s="29" t="inlineStr">
        <is>
          <t>Rissige Kanne</t>
        </is>
      </c>
      <c r="F261" s="29" t="inlineStr">
        <is>
          <t>Tetera Agrietada</t>
        </is>
      </c>
      <c r="G261" s="29" t="inlineStr">
        <is>
          <t>Teiera rotta</t>
        </is>
      </c>
      <c r="H261" s="29" t="inlineStr">
        <is>
          <t>깨진포트</t>
        </is>
      </c>
      <c r="I261" s="29" t="inlineStr">
        <is>
          <t>破裂的茶壺</t>
        </is>
      </c>
      <c r="J261" s="29">
        <f>IFERROR(__xludf.DUMMYFUNCTION("GOOGLETRANSLATE(I261,""zh_HANT"",""zh_HANS"")"),"破裂的茶壶")</f>
        <v/>
      </c>
      <c r="K261" s="29">
        <f>F261</f>
        <v/>
      </c>
    </row>
    <row r="262">
      <c r="A262" s="29">
        <f>CONCATENATE("NAME_ITEM_", SUBSTITUTE(SUBSTITUTE(UPPER(B262), " ", ""), ".", ""))</f>
        <v/>
      </c>
      <c r="B262" s="29" t="inlineStr">
        <is>
          <t>Chipped Pot</t>
        </is>
      </c>
      <c r="C262" s="29" t="inlineStr">
        <is>
          <t>かけたポット</t>
        </is>
      </c>
      <c r="D262" s="29" t="inlineStr">
        <is>
          <t>Théière Ébréchée</t>
        </is>
      </c>
      <c r="E262" s="29" t="inlineStr">
        <is>
          <t>Löchrige Kanne</t>
        </is>
      </c>
      <c r="F262" s="29" t="inlineStr">
        <is>
          <t>Tetera Rota</t>
        </is>
      </c>
      <c r="G262" s="29" t="inlineStr">
        <is>
          <t>Teiera crepata</t>
        </is>
      </c>
      <c r="H262" s="29" t="inlineStr">
        <is>
          <t>이빠진포트</t>
        </is>
      </c>
      <c r="I262" s="29" t="inlineStr">
        <is>
          <t>缺損的茶壺</t>
        </is>
      </c>
      <c r="J262" s="29">
        <f>IFERROR(__xludf.DUMMYFUNCTION("GOOGLETRANSLATE(I262,""zh_HANT"",""zh_HANS"")"),"缺损的茶壶")</f>
        <v/>
      </c>
      <c r="K262" s="29">
        <f>F262</f>
        <v/>
      </c>
    </row>
    <row r="263">
      <c r="A263" s="29">
        <f>CONCATENATE("NAME_ITEM_", SUBSTITUTE(SUBSTITUTE(UPPER(B263), " ", ""), ".", ""))</f>
        <v/>
      </c>
      <c r="B263" s="29" t="inlineStr">
        <is>
          <t>Galarica Cuff</t>
        </is>
      </c>
      <c r="C263" s="29" t="inlineStr">
        <is>
          <t>ガラナツブレス</t>
        </is>
      </c>
      <c r="D263" s="29" t="inlineStr">
        <is>
          <t>Bracelet Galanoa</t>
        </is>
      </c>
      <c r="E263" s="29" t="inlineStr">
        <is>
          <t>Galarnuss-Reif</t>
        </is>
      </c>
      <c r="F263" s="29" t="inlineStr">
        <is>
          <t>Brazal Galanuez</t>
        </is>
      </c>
      <c r="G263" s="29" t="inlineStr">
        <is>
          <t>Fascia Galarnoce</t>
        </is>
      </c>
      <c r="H263" s="29" t="inlineStr">
        <is>
          <t>가라두구팔찌</t>
        </is>
      </c>
      <c r="I263" s="29" t="inlineStr">
        <is>
          <t>伽勒荳蔻手環</t>
        </is>
      </c>
      <c r="J263" s="29">
        <f>IFERROR(__xludf.DUMMYFUNCTION("GOOGLETRANSLATE(I263,""zh_HANT"",""zh_HANS"")"),"伽勒豆蔻手环")</f>
        <v/>
      </c>
      <c r="K263" s="29">
        <f>F263</f>
        <v/>
      </c>
    </row>
    <row r="264">
      <c r="A264" s="29">
        <f>CONCATENATE("NAME_ITEM_", SUBSTITUTE(SUBSTITUTE(UPPER(B264), " ", ""), ".", ""))</f>
        <v/>
      </c>
      <c r="B264" s="29" t="inlineStr">
        <is>
          <t>Galarica Wreath</t>
        </is>
      </c>
      <c r="C264" s="29" t="inlineStr">
        <is>
          <t>ガラナツリース</t>
        </is>
      </c>
      <c r="D264" s="29" t="inlineStr">
        <is>
          <t>Couronne Galanoa</t>
        </is>
      </c>
      <c r="E264" s="29" t="inlineStr">
        <is>
          <t>Galarnuss-Kranz</t>
        </is>
      </c>
      <c r="F264" s="29" t="inlineStr">
        <is>
          <t>Corona Galanuez</t>
        </is>
      </c>
      <c r="G264" s="29" t="inlineStr">
        <is>
          <t>Corona Galarnoce</t>
        </is>
      </c>
      <c r="H264" s="29" t="inlineStr">
        <is>
          <t>가라두구머리장식</t>
        </is>
      </c>
      <c r="I264" s="29" t="inlineStr">
        <is>
          <t>伽勒荳蔻花圈</t>
        </is>
      </c>
      <c r="J264" s="29">
        <f>IFERROR(__xludf.DUMMYFUNCTION("GOOGLETRANSLATE(I264,""zh_HANT"",""zh_HANS"")"),"伽勒豆蔻花圈")</f>
        <v/>
      </c>
      <c r="K264" s="29">
        <f>F264</f>
        <v/>
      </c>
    </row>
    <row r="265">
      <c r="A265" s="29">
        <f>CONCATENATE("NAME_ITEM_", SUBSTITUTE(SUBSTITUTE(UPPER(B265), " ", ""), ".", ""))</f>
        <v/>
      </c>
      <c r="B265" s="29" t="inlineStr">
        <is>
          <t>Linking Cord</t>
        </is>
      </c>
      <c r="C265" s="29" t="inlineStr">
        <is>
          <t>つながりのヒモ</t>
        </is>
      </c>
      <c r="D265" s="29" t="inlineStr">
        <is>
          <t>Fil de Liaison</t>
        </is>
      </c>
      <c r="E265" s="29" t="inlineStr">
        <is>
          <t>Verbindungsschnur</t>
        </is>
      </c>
      <c r="F265" s="29" t="inlineStr">
        <is>
          <t>Cordón Unión</t>
        </is>
      </c>
      <c r="G265" s="29" t="inlineStr">
        <is>
          <t>Filo dell’unione</t>
        </is>
      </c>
      <c r="H265" s="29" t="inlineStr">
        <is>
          <t>연결의끈</t>
        </is>
      </c>
      <c r="I265" s="29">
        <f>IFERROR(__xludf.DUMMYFUNCTION("GOOGLETRANSLATE(J265,""zh_HANS"",""zh_HANT"")"),"聯繫繩")</f>
        <v/>
      </c>
      <c r="J265" s="29" t="inlineStr">
        <is>
          <t>联系绳</t>
        </is>
      </c>
      <c r="K265" s="29">
        <f>F265</f>
        <v/>
      </c>
    </row>
    <row r="266">
      <c r="A266" s="29">
        <f>CONCATENATE("NAME_ITEM_", SUBSTITUTE(SUBSTITUTE(UPPER(B266), " ", ""), ".", ""))</f>
        <v/>
      </c>
      <c r="B266" s="29" t="inlineStr">
        <is>
          <t>Black Augurite</t>
        </is>
      </c>
      <c r="C266" s="29" t="inlineStr">
        <is>
          <t>くろのきせき</t>
        </is>
      </c>
      <c r="D266" s="29" t="inlineStr">
        <is>
          <t>Obsidienne</t>
        </is>
      </c>
      <c r="E266" s="29" t="inlineStr">
        <is>
          <t>Schwarzaugit</t>
        </is>
      </c>
      <c r="F266" s="29" t="inlineStr">
        <is>
          <t>Mineral Negro</t>
        </is>
      </c>
      <c r="G266" s="29" t="inlineStr">
        <is>
          <t>Augite nera</t>
        </is>
      </c>
      <c r="H266" s="29" t="inlineStr">
        <is>
          <t>검은휘석</t>
        </is>
      </c>
      <c r="I266" s="29">
        <f>J266</f>
        <v/>
      </c>
      <c r="J266" s="29" t="inlineStr">
        <is>
          <t>黑奇石</t>
        </is>
      </c>
      <c r="K266" s="29">
        <f>F266</f>
        <v/>
      </c>
    </row>
    <row r="267">
      <c r="A267" s="29">
        <f>CONCATENATE("NAME_ITEM_", SUBSTITUTE(SUBSTITUTE(UPPER(B267), " ", ""), ".", ""))</f>
        <v/>
      </c>
      <c r="B267" s="29" t="inlineStr">
        <is>
          <t>Peat Block</t>
        </is>
      </c>
      <c r="C267" s="29" t="inlineStr">
        <is>
          <t>ピートブロック</t>
        </is>
      </c>
      <c r="D267" s="29" t="inlineStr">
        <is>
          <t>Bloc de Tourbe</t>
        </is>
      </c>
      <c r="E267" s="29" t="inlineStr">
        <is>
          <t>Torfblock</t>
        </is>
      </c>
      <c r="F267" s="29" t="inlineStr">
        <is>
          <t>Bloque de Turba</t>
        </is>
      </c>
      <c r="G267" s="29" t="inlineStr">
        <is>
          <t>Blocco di torba</t>
        </is>
      </c>
      <c r="H267" s="29" t="inlineStr">
        <is>
          <t>피트블록</t>
        </is>
      </c>
      <c r="I267" s="29">
        <f>IFERROR(__xludf.DUMMYFUNCTION("GOOGLETRANSLATE(J267,""zh_HANS"",""zh_HANT"")"),"泥炭塊")</f>
        <v/>
      </c>
      <c r="J267" s="29" t="inlineStr">
        <is>
          <t>泥炭块</t>
        </is>
      </c>
      <c r="K267" s="29">
        <f>F267</f>
        <v/>
      </c>
    </row>
    <row r="268">
      <c r="A268" s="29">
        <f>CONCATENATE("NAME_ITEM_", SUBSTITUTE(SUBSTITUTE(UPPER(B268), " ", ""), ".", ""))</f>
        <v/>
      </c>
      <c r="B268" s="29" t="inlineStr">
        <is>
          <t>Scroll of Darkness</t>
        </is>
      </c>
      <c r="C268" s="29" t="inlineStr">
        <is>
          <t>あくのかけじく</t>
        </is>
      </c>
      <c r="D268" s="29" t="inlineStr">
        <is>
          <t>Rouleau des Ténèbres</t>
        </is>
      </c>
      <c r="E268" s="29" t="inlineStr">
        <is>
          <t>Unlicht-Schriftrolle</t>
        </is>
      </c>
      <c r="F268" s="29" t="inlineStr">
        <is>
          <t>Manuscrito Sombras</t>
        </is>
      </c>
      <c r="G268" s="29" t="inlineStr">
        <is>
          <t>Rotolo del Buio</t>
        </is>
      </c>
      <c r="H268" s="29" t="inlineStr">
        <is>
          <t>악의 족자</t>
        </is>
      </c>
      <c r="I268" s="29">
        <f>IFERROR(__xludf.DUMMYFUNCTION("GOOGLETRANSLATE(J268,""zh_HANS"",""zh_HANT"")"),"惡之掛軸")</f>
        <v/>
      </c>
      <c r="J268" s="29" t="inlineStr">
        <is>
          <t>恶之挂轴</t>
        </is>
      </c>
      <c r="K268" s="29">
        <f>F268</f>
        <v/>
      </c>
    </row>
    <row r="269">
      <c r="A269" s="29">
        <f>CONCATENATE("NAME_ITEM_", SUBSTITUTE(SUBSTITUTE(UPPER(B269), " ", ""), ".", ""))</f>
        <v/>
      </c>
      <c r="B269" s="29" t="inlineStr">
        <is>
          <t>Scroll of Waters</t>
        </is>
      </c>
      <c r="C269" s="29" t="inlineStr">
        <is>
          <t>みずのかけじく</t>
        </is>
      </c>
      <c r="D269" s="29" t="inlineStr">
        <is>
          <t>Rouleau de I'Eau</t>
        </is>
      </c>
      <c r="E269" s="29" t="inlineStr">
        <is>
          <t>Wasser-Schriftrolle</t>
        </is>
      </c>
      <c r="F269" s="29" t="inlineStr">
        <is>
          <t>Manuscrito Aguas</t>
        </is>
      </c>
      <c r="G269" s="29" t="inlineStr">
        <is>
          <t>Rotolo dell'Acqua</t>
        </is>
      </c>
      <c r="H269" s="29" t="inlineStr">
        <is>
          <t>물의 족자</t>
        </is>
      </c>
      <c r="I269" s="29">
        <f>IFERROR(__xludf.DUMMYFUNCTION("GOOGLETRANSLATE(J269,""zh_HANS"",""zh_HANT"")"),"水之掛軸")</f>
        <v/>
      </c>
      <c r="J269" s="29" t="inlineStr">
        <is>
          <t>水之挂轴</t>
        </is>
      </c>
      <c r="K269" s="29">
        <f>F269</f>
        <v/>
      </c>
    </row>
    <row r="270">
      <c r="A270" s="29">
        <f>CONCATENATE("NAME_ITEM_", SUBSTITUTE(SUBSTITUTE(UPPER(B270), " ", ""), ".", ""))</f>
        <v/>
      </c>
      <c r="B270" s="29" t="inlineStr">
        <is>
          <t>Malicious Armor</t>
        </is>
      </c>
      <c r="C270" s="29" t="inlineStr">
        <is>
          <t>イワイノヨロイ</t>
        </is>
      </c>
      <c r="D270" s="29" t="inlineStr">
        <is>
          <t>Armure de la Rancune</t>
        </is>
      </c>
      <c r="E270" s="29" t="inlineStr">
        <is>
          <t>Fluchrüstung</t>
        </is>
      </c>
      <c r="F270" s="29" t="inlineStr">
        <is>
          <t>Armadura Maldita</t>
        </is>
      </c>
      <c r="G270" s="29" t="inlineStr">
        <is>
          <t>Armatura Infausta</t>
        </is>
      </c>
      <c r="H270" s="29" t="inlineStr">
        <is>
          <t>저주받은갑옷</t>
        </is>
      </c>
      <c r="I270" s="29">
        <f>IFERROR(__xludf.DUMMYFUNCTION("GOOGLETRANSLATE(J270,""zh_HANS"",""zh_HANT"")"),"詛咒之鎧")</f>
        <v/>
      </c>
      <c r="J270" s="29" t="inlineStr">
        <is>
          <t>诅咒之铠</t>
        </is>
      </c>
      <c r="K270" s="29">
        <f>F270</f>
        <v/>
      </c>
    </row>
    <row r="271">
      <c r="A271" s="29">
        <f>CONCATENATE("NAME_ITEM_", SUBSTITUTE(SUBSTITUTE(UPPER(B271), " ", ""), ".", ""))</f>
        <v/>
      </c>
      <c r="B271" s="29" t="inlineStr">
        <is>
          <t>Auspicious Armor</t>
        </is>
      </c>
      <c r="C271" s="29" t="inlineStr">
        <is>
          <t>ノロイノヨロイ</t>
        </is>
      </c>
      <c r="D271" s="29" t="inlineStr">
        <is>
          <t>Armure de la Fortune</t>
        </is>
      </c>
      <c r="E271" s="29" t="inlineStr">
        <is>
          <t>Glorienrüstung</t>
        </is>
      </c>
      <c r="F271" s="29" t="inlineStr">
        <is>
          <t>Armadura Auspiciosa</t>
        </is>
      </c>
      <c r="G271" s="29" t="inlineStr">
        <is>
          <t>Armatura Fausta</t>
        </is>
      </c>
      <c r="H271" s="29" t="inlineStr">
        <is>
          <t>축복받은갑옷</t>
        </is>
      </c>
      <c r="I271" s="29">
        <f>IFERROR(__xludf.DUMMYFUNCTION("GOOGLETRANSLATE(J271,""zh_HANS"",""zh_HANT"")"),"慶祝之鎧")</f>
        <v/>
      </c>
      <c r="J271" s="29" t="inlineStr">
        <is>
          <t>庆祝之铠</t>
        </is>
      </c>
      <c r="K271" s="29">
        <f>F271</f>
        <v/>
      </c>
    </row>
    <row r="272">
      <c r="A272" s="29">
        <f>CONCATENATE("NAME_ITEM_", SUBSTITUTE(SUBSTITUTE(UPPER(B272), " ", ""), ".", ""))</f>
        <v/>
      </c>
      <c r="B272" s="29" t="inlineStr">
        <is>
          <t>Syrupy Apple</t>
        </is>
      </c>
      <c r="C272" s="29" t="inlineStr">
        <is>
          <t>みついりりんご</t>
        </is>
      </c>
      <c r="D272" s="29" t="inlineStr">
        <is>
          <t>Pomme Nectar</t>
        </is>
      </c>
      <c r="E272" s="29" t="inlineStr">
        <is>
          <t>Saftiger Apfel</t>
        </is>
      </c>
      <c r="F272" s="29" t="inlineStr">
        <is>
          <t>Manzana Melosa</t>
        </is>
      </c>
      <c r="G272" s="29" t="inlineStr">
        <is>
          <t>Sciroppomo</t>
        </is>
      </c>
      <c r="H272" s="29" t="inlineStr">
        <is>
          <t>꿀맛사과</t>
        </is>
      </c>
      <c r="I272" s="29">
        <f>IFERROR(__xludf.DUMMYFUNCTION("GOOGLETRANSLATE(J272,""zh_HANS"",""zh_HANT"")"),"蜜汁蘋果")</f>
        <v/>
      </c>
      <c r="J272" s="29" t="inlineStr">
        <is>
          <t>蜜汁苹果</t>
        </is>
      </c>
      <c r="K272" s="29">
        <f>F272</f>
        <v/>
      </c>
    </row>
    <row r="273">
      <c r="A273" s="29">
        <f>CONCATENATE("NAME_ITEM_", SUBSTITUTE(SUBSTITUTE(UPPER(B273), " ", ""), ".", ""))</f>
        <v/>
      </c>
      <c r="B273" s="29" t="inlineStr">
        <is>
          <t>Unremarkable Teacup</t>
        </is>
      </c>
      <c r="C273" s="29" t="inlineStr">
        <is>
          <t>ボンサクのちゃわん</t>
        </is>
      </c>
      <c r="D273" s="29" t="inlineStr">
        <is>
          <t>Bol Médiocre</t>
        </is>
      </c>
      <c r="E273" s="29" t="inlineStr">
        <is>
          <t>Simple Teeschale</t>
        </is>
      </c>
      <c r="F273" s="29" t="inlineStr">
        <is>
          <t>Cueno Mediocre</t>
        </is>
      </c>
      <c r="G273" s="29" t="inlineStr">
        <is>
          <t>Tazza dozzinale</t>
        </is>
      </c>
      <c r="H273" s="29" t="inlineStr">
        <is>
          <t>범작찻잔</t>
        </is>
      </c>
      <c r="I273" s="29">
        <f>J273</f>
        <v/>
      </c>
      <c r="J273" s="29" t="inlineStr">
        <is>
          <t>凡作茶碗</t>
        </is>
      </c>
      <c r="K273" s="29">
        <f>F273</f>
        <v/>
      </c>
    </row>
    <row r="274">
      <c r="A274" s="29">
        <f>CONCATENATE("NAME_ITEM_", SUBSTITUTE(SUBSTITUTE(UPPER(B274), " ", ""), ".", ""))</f>
        <v/>
      </c>
      <c r="B274" s="29" t="inlineStr">
        <is>
          <t>Masterpiece Teacup</t>
        </is>
      </c>
      <c r="C274" s="29" t="inlineStr">
        <is>
          <t>ケッサクのちゃわん</t>
        </is>
      </c>
      <c r="D274" s="29" t="inlineStr">
        <is>
          <t>Bol Exceptionnel</t>
        </is>
      </c>
      <c r="E274" s="29" t="inlineStr">
        <is>
          <t>Edle Teeschale</t>
        </is>
      </c>
      <c r="F274" s="29" t="inlineStr">
        <is>
          <t>Cueno Exquisito</t>
        </is>
      </c>
      <c r="G274" s="29" t="inlineStr">
        <is>
          <t>Tazza eccezionale</t>
        </is>
      </c>
      <c r="H274" s="29" t="inlineStr">
        <is>
          <t>걸작찻잔</t>
        </is>
      </c>
      <c r="I274" s="29">
        <f>IFERROR(__xludf.DUMMYFUNCTION("GOOGLETRANSLATE(J274,""zh_HANS"",""zh_HANT"")"),"傑作茶碗")</f>
        <v/>
      </c>
      <c r="J274" s="29" t="inlineStr">
        <is>
          <t>杰作茶碗</t>
        </is>
      </c>
      <c r="K274" s="29">
        <f>F274</f>
        <v/>
      </c>
    </row>
    <row r="275">
      <c r="A275" s="29">
        <f>CONCATENATE("NAME_ITEM_", SUBSTITUTE(SUBSTITUTE(UPPER(B275), " ", ""), ".", ""))</f>
        <v/>
      </c>
      <c r="B275" s="29" t="inlineStr">
        <is>
          <t>Metal Alloy</t>
        </is>
      </c>
      <c r="C275" s="29" t="inlineStr">
        <is>
          <t>ふくごうきんぞく</t>
        </is>
      </c>
      <c r="D275" s="29" t="inlineStr">
        <is>
          <t>Métal Composite</t>
        </is>
      </c>
      <c r="E275" s="29" t="inlineStr">
        <is>
          <t>Legierungsmetall</t>
        </is>
      </c>
      <c r="F275" s="29" t="inlineStr">
        <is>
          <t>Metal Compuesto</t>
        </is>
      </c>
      <c r="G275" s="29" t="inlineStr">
        <is>
          <t>Metallo composito</t>
        </is>
      </c>
      <c r="H275" s="29" t="inlineStr">
        <is>
          <t>복합금속</t>
        </is>
      </c>
      <c r="I275" s="29">
        <f>IFERROR(__xludf.DUMMYFUNCTION("GOOGLETRANSLATE(J275,""zh_HANS"",""zh_HANT"")"),"複合金屬")</f>
        <v/>
      </c>
      <c r="J275" s="29" t="inlineStr">
        <is>
          <t>复合金属</t>
        </is>
      </c>
      <c r="K275" s="29">
        <f>F275</f>
        <v/>
      </c>
    </row>
    <row r="276">
      <c r="A276" s="29">
        <f>CONCATENATE("NAME_ITEM_", SUBSTITUTE(SUBSTITUTE(UPPER(B276), " ", ""), ".", ""))</f>
        <v/>
      </c>
      <c r="B276" s="29" t="inlineStr">
        <is>
          <t>Moon Stone</t>
        </is>
      </c>
      <c r="C276" s="29" t="inlineStr">
        <is>
          <t>つきのいし</t>
        </is>
      </c>
      <c r="D276" s="29" t="inlineStr">
        <is>
          <t>Pierre Lune</t>
        </is>
      </c>
      <c r="E276" s="29" t="inlineStr">
        <is>
          <t>Mondstein</t>
        </is>
      </c>
      <c r="F276" s="29" t="inlineStr">
        <is>
          <t>Piedra Lunar</t>
        </is>
      </c>
      <c r="G276" s="29" t="inlineStr">
        <is>
          <t>Pietralunare</t>
        </is>
      </c>
      <c r="H276" s="29" t="inlineStr">
        <is>
          <t>달의돌</t>
        </is>
      </c>
      <c r="I276" s="29" t="inlineStr">
        <is>
          <t>月之石</t>
        </is>
      </c>
      <c r="J276" s="29">
        <f>I276</f>
        <v/>
      </c>
      <c r="K276" s="29">
        <f>F276</f>
        <v/>
      </c>
    </row>
    <row r="277">
      <c r="A277" s="29">
        <f>CONCATENATE("NAME_ITEM_", SUBSTITUTE(SUBSTITUTE(UPPER(B277), " ", ""), ".", ""))</f>
        <v/>
      </c>
      <c r="B277" s="29" t="inlineStr">
        <is>
          <t>Fire Stone</t>
        </is>
      </c>
      <c r="C277" s="29" t="inlineStr">
        <is>
          <t>ほのおのいし</t>
        </is>
      </c>
      <c r="D277" s="29" t="inlineStr">
        <is>
          <t>Pierre Feu</t>
        </is>
      </c>
      <c r="E277" s="29" t="inlineStr">
        <is>
          <t>Feuerstein</t>
        </is>
      </c>
      <c r="F277" s="29" t="inlineStr">
        <is>
          <t>Piedra Fuego</t>
        </is>
      </c>
      <c r="G277" s="29" t="inlineStr">
        <is>
          <t>Pietrafocaia</t>
        </is>
      </c>
      <c r="H277" s="29" t="inlineStr">
        <is>
          <t>불꽃의돌</t>
        </is>
      </c>
      <c r="I277" s="29" t="inlineStr">
        <is>
          <t>火之石</t>
        </is>
      </c>
      <c r="J277" s="29">
        <f>I277</f>
        <v/>
      </c>
      <c r="K277" s="29">
        <f>F277</f>
        <v/>
      </c>
    </row>
    <row r="278">
      <c r="A278" s="29">
        <f>CONCATENATE("NAME_ITEM_", SUBSTITUTE(SUBSTITUTE(UPPER(B278), " ", ""), ".", ""))</f>
        <v/>
      </c>
      <c r="B278" s="29" t="inlineStr">
        <is>
          <t>Thunder Stone</t>
        </is>
      </c>
      <c r="C278" s="29" t="inlineStr">
        <is>
          <t>かみなりのいし</t>
        </is>
      </c>
      <c r="D278" s="29" t="inlineStr">
        <is>
          <t>Pierre Foudre</t>
        </is>
      </c>
      <c r="E278" s="29" t="inlineStr">
        <is>
          <t>Donnerstein</t>
        </is>
      </c>
      <c r="F278" s="29" t="inlineStr">
        <is>
          <t>Piedra Trueno</t>
        </is>
      </c>
      <c r="G278" s="29" t="inlineStr">
        <is>
          <t>Pietratuono</t>
        </is>
      </c>
      <c r="H278" s="29" t="inlineStr">
        <is>
          <t>천둥의돌</t>
        </is>
      </c>
      <c r="I278" s="29" t="inlineStr">
        <is>
          <t>雷之石</t>
        </is>
      </c>
      <c r="J278" s="29">
        <f>I278</f>
        <v/>
      </c>
      <c r="K278" s="29">
        <f>F278</f>
        <v/>
      </c>
    </row>
    <row r="279">
      <c r="A279" s="29">
        <f>CONCATENATE("NAME_ITEM_", SUBSTITUTE(SUBSTITUTE(UPPER(B279), " ", ""), ".", ""))</f>
        <v/>
      </c>
      <c r="B279" s="29" t="inlineStr">
        <is>
          <t>Water Stone</t>
        </is>
      </c>
      <c r="C279" s="29" t="inlineStr">
        <is>
          <t>みずのいし</t>
        </is>
      </c>
      <c r="D279" s="29" t="inlineStr">
        <is>
          <t>Pierre Eau</t>
        </is>
      </c>
      <c r="E279" s="29" t="inlineStr">
        <is>
          <t>Wasserstein</t>
        </is>
      </c>
      <c r="F279" s="29" t="inlineStr">
        <is>
          <t>Piedra Agua</t>
        </is>
      </c>
      <c r="G279" s="29" t="inlineStr">
        <is>
          <t>Pietraidrica</t>
        </is>
      </c>
      <c r="H279" s="29" t="inlineStr">
        <is>
          <t>물의돌</t>
        </is>
      </c>
      <c r="I279" s="29" t="inlineStr">
        <is>
          <t>水之石</t>
        </is>
      </c>
      <c r="J279" s="29">
        <f>I279</f>
        <v/>
      </c>
      <c r="K279" s="29">
        <f>F279</f>
        <v/>
      </c>
    </row>
    <row r="280">
      <c r="A280" s="29">
        <f>CONCATENATE("NAME_ITEM_", SUBSTITUTE(SUBSTITUTE(UPPER(B280), " ", ""), ".", ""))</f>
        <v/>
      </c>
      <c r="B280" s="29" t="inlineStr">
        <is>
          <t>Leaf Stone</t>
        </is>
      </c>
      <c r="C280" s="29" t="inlineStr">
        <is>
          <t>リーフのいし</t>
        </is>
      </c>
      <c r="D280" s="29" t="inlineStr">
        <is>
          <t>Pierre Plante</t>
        </is>
      </c>
      <c r="E280" s="29" t="inlineStr">
        <is>
          <t>Blattstein</t>
        </is>
      </c>
      <c r="F280" s="29" t="inlineStr">
        <is>
          <t>Piedra Hoja</t>
        </is>
      </c>
      <c r="G280" s="29" t="inlineStr">
        <is>
          <t>Pietrafoglia</t>
        </is>
      </c>
      <c r="H280" s="29" t="inlineStr">
        <is>
          <t>리프의돌</t>
        </is>
      </c>
      <c r="I280" s="29" t="inlineStr">
        <is>
          <t>葉之石</t>
        </is>
      </c>
      <c r="J280" s="29">
        <f>IFERROR(__xludf.DUMMYFUNCTION("GOOGLETRANSLATE(I280,""zh_HANT"",""zh_HANS"")"),"叶之石")</f>
        <v/>
      </c>
      <c r="K280" s="29">
        <f>F280</f>
        <v/>
      </c>
    </row>
    <row r="281">
      <c r="A281" s="29">
        <f>CONCATENATE("NAME_ITEM_", SUBSTITUTE(SUBSTITUTE(UPPER(B281), " ", ""), ".", ""))</f>
        <v/>
      </c>
      <c r="B281" s="29" t="inlineStr">
        <is>
          <t>Sun Stone</t>
        </is>
      </c>
      <c r="C281" s="29" t="inlineStr">
        <is>
          <t>たいようのいし</t>
        </is>
      </c>
      <c r="D281" s="29" t="inlineStr">
        <is>
          <t>Pierre Soleil</t>
        </is>
      </c>
      <c r="E281" s="29" t="inlineStr">
        <is>
          <t>Sonnenstein</t>
        </is>
      </c>
      <c r="F281" s="29" t="inlineStr">
        <is>
          <t>Piedra Solar</t>
        </is>
      </c>
      <c r="G281" s="29" t="inlineStr">
        <is>
          <t>Pietrasolare</t>
        </is>
      </c>
      <c r="H281" s="29" t="inlineStr">
        <is>
          <t>태양의돌</t>
        </is>
      </c>
      <c r="I281" s="29" t="inlineStr">
        <is>
          <t>日之石</t>
        </is>
      </c>
      <c r="J281" s="29">
        <f>I281</f>
        <v/>
      </c>
      <c r="K281" s="29">
        <f>F281</f>
        <v/>
      </c>
    </row>
    <row r="282">
      <c r="A282" s="29">
        <f>CONCATENATE("NAME_ITEM_", SUBSTITUTE(SUBSTITUTE(UPPER(B282), " ", ""), ".", ""))</f>
        <v/>
      </c>
      <c r="B282" s="29" t="inlineStr">
        <is>
          <t>Shiny Stone</t>
        </is>
      </c>
      <c r="C282" s="29" t="inlineStr">
        <is>
          <t>ひかりのいし</t>
        </is>
      </c>
      <c r="D282" s="29" t="inlineStr">
        <is>
          <t>Pierre Éclat</t>
        </is>
      </c>
      <c r="E282" s="29" t="inlineStr">
        <is>
          <t>Leuchstein</t>
        </is>
      </c>
      <c r="F282" s="29" t="inlineStr">
        <is>
          <t>Piedra Dia</t>
        </is>
      </c>
      <c r="G282" s="29" t="inlineStr">
        <is>
          <t>Pietrabrillo</t>
        </is>
      </c>
      <c r="H282" s="29" t="inlineStr">
        <is>
          <t>빛의돌</t>
        </is>
      </c>
      <c r="I282" s="29" t="inlineStr">
        <is>
          <t>光之石</t>
        </is>
      </c>
      <c r="J282" s="29">
        <f>I282</f>
        <v/>
      </c>
      <c r="K282" s="29">
        <f>F282</f>
        <v/>
      </c>
    </row>
    <row r="283">
      <c r="A283" s="29">
        <f>CONCATENATE("NAME_ITEM_", SUBSTITUTE(SUBSTITUTE(UPPER(B283), " ", ""), ".", ""))</f>
        <v/>
      </c>
      <c r="B283" s="29" t="inlineStr">
        <is>
          <t>Dusk Stone</t>
        </is>
      </c>
      <c r="C283" s="29" t="inlineStr">
        <is>
          <t>やみのいし</t>
        </is>
      </c>
      <c r="D283" s="29" t="inlineStr">
        <is>
          <t>Pierre Nuit</t>
        </is>
      </c>
      <c r="E283" s="29" t="inlineStr">
        <is>
          <t>Finsterstein</t>
        </is>
      </c>
      <c r="F283" s="29" t="inlineStr">
        <is>
          <t>Piedra Noche</t>
        </is>
      </c>
      <c r="G283" s="29" t="inlineStr">
        <is>
          <t>Neropretra</t>
        </is>
      </c>
      <c r="H283" s="29" t="inlineStr">
        <is>
          <t>어둠의돌</t>
        </is>
      </c>
      <c r="I283" s="29" t="inlineStr">
        <is>
          <t>暗之石</t>
        </is>
      </c>
      <c r="J283" s="29">
        <f>I283</f>
        <v/>
      </c>
      <c r="K283" s="29">
        <f>F283</f>
        <v/>
      </c>
    </row>
    <row r="284">
      <c r="A284" s="29">
        <f>CONCATENATE("NAME_ITEM_", SUBSTITUTE(SUBSTITUTE(UPPER(B284), " ", ""), ".", ""))</f>
        <v/>
      </c>
      <c r="B284" s="29" t="inlineStr">
        <is>
          <t>Dawn Stone</t>
        </is>
      </c>
      <c r="C284" s="29" t="inlineStr">
        <is>
          <t>めざめのいし</t>
        </is>
      </c>
      <c r="D284" s="29" t="inlineStr">
        <is>
          <t>Pierre Aube</t>
        </is>
      </c>
      <c r="E284" s="29" t="inlineStr">
        <is>
          <t>Funkelstein</t>
        </is>
      </c>
      <c r="F284" s="29" t="inlineStr">
        <is>
          <t>Piedra Alba</t>
        </is>
      </c>
      <c r="G284" s="29" t="inlineStr">
        <is>
          <t>Pietralbore</t>
        </is>
      </c>
      <c r="H284" s="29" t="inlineStr">
        <is>
          <t>각성의돌</t>
        </is>
      </c>
      <c r="I284" s="29" t="inlineStr">
        <is>
          <t>覺醒之石</t>
        </is>
      </c>
      <c r="J284" s="29">
        <f>IFERROR(__xludf.DUMMYFUNCTION("GOOGLETRANSLATE(I284,""zh_HANT"",""zh_HANS"")"),"觉醒之石")</f>
        <v/>
      </c>
      <c r="K284" s="29">
        <f>F284</f>
        <v/>
      </c>
    </row>
    <row r="285">
      <c r="A285" s="29">
        <f>CONCATENATE("NAME_ITEM_", SUBSTITUTE(SUBSTITUTE(UPPER(B285), " ", ""), ".", ""))</f>
        <v/>
      </c>
      <c r="B285" s="29" t="inlineStr">
        <is>
          <t>Ice Stone</t>
        </is>
      </c>
      <c r="C285" s="29" t="inlineStr">
        <is>
          <t>こおりのいし</t>
        </is>
      </c>
      <c r="D285" s="29" t="inlineStr">
        <is>
          <t>Pierre Glace</t>
        </is>
      </c>
      <c r="E285" s="29" t="inlineStr">
        <is>
          <t>Eisstein</t>
        </is>
      </c>
      <c r="F285" s="29" t="inlineStr">
        <is>
          <t>Piedra Hielo</t>
        </is>
      </c>
      <c r="G285" s="29" t="inlineStr">
        <is>
          <t>Pietragelo</t>
        </is>
      </c>
      <c r="H285" s="29" t="inlineStr">
        <is>
          <t>얼음의돌</t>
        </is>
      </c>
      <c r="I285" s="29" t="inlineStr">
        <is>
          <t>冰之石</t>
        </is>
      </c>
      <c r="J285" s="29">
        <f>I285</f>
        <v/>
      </c>
      <c r="K285" s="29">
        <f>F285</f>
        <v/>
      </c>
    </row>
    <row r="286">
      <c r="A286" s="29">
        <f>CONCATENATE("NAME_ITEM_", SUBSTITUTE(SUBSTITUTE(UPPER(B286), " ", ""), ".", ""))</f>
        <v/>
      </c>
      <c r="B286" s="29" t="inlineStr">
        <is>
          <t>Bright Powder</t>
        </is>
      </c>
      <c r="C286" s="29" t="inlineStr">
        <is>
          <t>ひかりのこな</t>
        </is>
      </c>
      <c r="D286" s="29" t="inlineStr">
        <is>
          <t>Poudre Claire</t>
        </is>
      </c>
      <c r="E286" s="29" t="inlineStr">
        <is>
          <t>Blendpuder</t>
        </is>
      </c>
      <c r="F286" s="29" t="inlineStr">
        <is>
          <t>Polvo Brillo</t>
        </is>
      </c>
      <c r="G286" s="29" t="inlineStr">
        <is>
          <t>Luminpolvere</t>
        </is>
      </c>
      <c r="H286" s="29" t="inlineStr">
        <is>
          <t>반짝가루</t>
        </is>
      </c>
      <c r="I286" s="29" t="inlineStr">
        <is>
          <t>光粉</t>
        </is>
      </c>
      <c r="J286" s="29">
        <f>I286</f>
        <v/>
      </c>
      <c r="K286" s="29">
        <f>F286</f>
        <v/>
      </c>
    </row>
    <row r="287">
      <c r="A287" s="29">
        <f>CONCATENATE("NAME_ITEM_", SUBSTITUTE(SUBSTITUTE(UPPER(B287), " ", ""), ".", ""))</f>
        <v/>
      </c>
      <c r="B287" s="29" t="inlineStr">
        <is>
          <t>Quick Claw</t>
        </is>
      </c>
      <c r="C287" s="29" t="inlineStr">
        <is>
          <t>せんせいのツメ</t>
        </is>
      </c>
      <c r="D287" s="29" t="inlineStr">
        <is>
          <t>Vive Griffe</t>
        </is>
      </c>
      <c r="E287" s="29" t="inlineStr">
        <is>
          <t>Flinkklaue</t>
        </is>
      </c>
      <c r="F287" s="29" t="inlineStr">
        <is>
          <t>Garra Rápida</t>
        </is>
      </c>
      <c r="G287" s="29" t="inlineStr">
        <is>
          <t>Rapidartigli</t>
        </is>
      </c>
      <c r="H287" s="29" t="inlineStr">
        <is>
          <t>선제공격손톱</t>
        </is>
      </c>
      <c r="I287" s="29" t="inlineStr">
        <is>
          <t>先制之爪</t>
        </is>
      </c>
      <c r="J287" s="29">
        <f>I287</f>
        <v/>
      </c>
      <c r="K287" s="29">
        <f>F287</f>
        <v/>
      </c>
    </row>
    <row r="288">
      <c r="A288" s="29" t="inlineStr">
        <is>
          <t>NAME_ITEM_KINGSROCK</t>
        </is>
      </c>
      <c r="B288" s="29" t="inlineStr">
        <is>
          <t>King's Rock</t>
        </is>
      </c>
      <c r="C288" s="29" t="inlineStr">
        <is>
          <t>おうじゃのしるし</t>
        </is>
      </c>
      <c r="D288" s="29" t="inlineStr">
        <is>
          <t>Roche Royale</t>
        </is>
      </c>
      <c r="E288" s="29" t="inlineStr">
        <is>
          <t>King-Stein</t>
        </is>
      </c>
      <c r="F288" s="29" t="inlineStr">
        <is>
          <t>Roca del Rey</t>
        </is>
      </c>
      <c r="G288" s="29" t="inlineStr">
        <is>
          <t>Roccia Di Re</t>
        </is>
      </c>
      <c r="H288" s="29" t="inlineStr">
        <is>
          <t>왕의징표석</t>
        </is>
      </c>
      <c r="I288" s="29" t="inlineStr">
        <is>
          <t>王者之證</t>
        </is>
      </c>
      <c r="J288" s="29">
        <f>IFERROR(__xludf.DUMMYFUNCTION("GOOGLETRANSLATE(I288,""zh_HANT"",""zh_HANS"")"),"王者之证")</f>
        <v/>
      </c>
      <c r="K288" s="29">
        <f>F288</f>
        <v/>
      </c>
    </row>
    <row r="289">
      <c r="A289" s="29">
        <f>CONCATENATE("NAME_ITEM_", SUBSTITUTE(SUBSTITUTE(UPPER(B289), " ", ""), ".", ""))</f>
        <v/>
      </c>
      <c r="B289" s="29" t="inlineStr">
        <is>
          <t>Silver Powder</t>
        </is>
      </c>
      <c r="C289" s="29" t="inlineStr">
        <is>
          <t>ぎんのこな</t>
        </is>
      </c>
      <c r="D289" s="29" t="inlineStr">
        <is>
          <t>Poudre Argentée</t>
        </is>
      </c>
      <c r="E289" s="29" t="inlineStr">
        <is>
          <t>Silberstaub</t>
        </is>
      </c>
      <c r="F289" s="29" t="inlineStr">
        <is>
          <t>Polvo Plata</t>
        </is>
      </c>
      <c r="G289" s="29" t="inlineStr">
        <is>
          <t>Argenpolvere</t>
        </is>
      </c>
      <c r="H289" s="29" t="inlineStr">
        <is>
          <t>은빛가루</t>
        </is>
      </c>
      <c r="I289" s="29" t="inlineStr">
        <is>
          <t>銀粉</t>
        </is>
      </c>
      <c r="J289" s="29">
        <f>IFERROR(__xludf.DUMMYFUNCTION("GOOGLETRANSLATE(I289,""zh_HANT"",""zh_HANS"")"),"银粉")</f>
        <v/>
      </c>
      <c r="K289" s="29">
        <f>F289</f>
        <v/>
      </c>
    </row>
    <row r="290">
      <c r="A290" s="29">
        <f>CONCATENATE("NAME_ITEM_", SUBSTITUTE(SUBSTITUTE(UPPER(B290), " ", ""), ".", ""))</f>
        <v/>
      </c>
      <c r="B290" s="29" t="inlineStr">
        <is>
          <t>Amulet Coin</t>
        </is>
      </c>
      <c r="C290" s="29" t="inlineStr">
        <is>
          <t>おまもりこばん</t>
        </is>
      </c>
      <c r="D290" s="29" t="inlineStr">
        <is>
          <t>Pièce Rune</t>
        </is>
      </c>
      <c r="E290" s="29" t="inlineStr">
        <is>
          <t>Münzamulett</t>
        </is>
      </c>
      <c r="F290" s="29" t="inlineStr">
        <is>
          <t>Moneda Amuleto</t>
        </is>
      </c>
      <c r="G290" s="29" t="inlineStr">
        <is>
          <t>Monetamuleto</t>
        </is>
      </c>
      <c r="H290" s="29" t="inlineStr">
        <is>
          <t>부적금화</t>
        </is>
      </c>
      <c r="I290" s="29" t="inlineStr">
        <is>
          <t>護符金幣</t>
        </is>
      </c>
      <c r="J290" s="29">
        <f>IFERROR(__xludf.DUMMYFUNCTION("GOOGLETRANSLATE(I290,""zh_HANT"",""zh_HANS"")"),"护符金币")</f>
        <v/>
      </c>
      <c r="K290" s="29">
        <f>F290</f>
        <v/>
      </c>
    </row>
    <row r="291">
      <c r="A291" s="29">
        <f>CONCATENATE("NAME_ITEM_", SUBSTITUTE(SUBSTITUTE(UPPER(B291), " ", ""), ".", ""))</f>
        <v/>
      </c>
      <c r="B291" s="29" t="inlineStr">
        <is>
          <t>Cleanse Tag</t>
        </is>
      </c>
      <c r="C291" s="29" t="inlineStr">
        <is>
          <t>きよめのおふだ</t>
        </is>
      </c>
      <c r="D291" s="29" t="inlineStr">
        <is>
          <t>Rune Purifiante</t>
        </is>
      </c>
      <c r="E291" s="29" t="inlineStr">
        <is>
          <t>Schutzband</t>
        </is>
      </c>
      <c r="F291" s="29" t="inlineStr">
        <is>
          <t>Amuleto</t>
        </is>
      </c>
      <c r="G291" s="29" t="inlineStr">
        <is>
          <t>Velopuro</t>
        </is>
      </c>
      <c r="H291" s="29" t="inlineStr">
        <is>
          <t>순결의부적</t>
        </is>
      </c>
      <c r="I291" s="29" t="inlineStr">
        <is>
          <t>潔淨之符</t>
        </is>
      </c>
      <c r="J291" s="29">
        <f>IFERROR(__xludf.DUMMYFUNCTION("GOOGLETRANSLATE(I291,""zh_HANT"",""zh_HANS"")"),"洁净之符")</f>
        <v/>
      </c>
      <c r="K291" s="29">
        <f>F291</f>
        <v/>
      </c>
    </row>
    <row r="292">
      <c r="A292" s="29">
        <f>CONCATENATE("NAME_ITEM_", SUBSTITUTE(SUBSTITUTE(UPPER(B292), " ", ""), ".", ""))</f>
        <v/>
      </c>
      <c r="B292" s="29" t="inlineStr">
        <is>
          <t>Smoke Ball</t>
        </is>
      </c>
      <c r="C292" s="29" t="inlineStr">
        <is>
          <t>けむりだま</t>
        </is>
      </c>
      <c r="D292" s="29" t="inlineStr">
        <is>
          <t>Boule Fumée</t>
        </is>
      </c>
      <c r="E292" s="29" t="inlineStr">
        <is>
          <t>Rauchball</t>
        </is>
      </c>
      <c r="F292" s="29" t="inlineStr">
        <is>
          <t>Bola Humo</t>
        </is>
      </c>
      <c r="G292" s="29" t="inlineStr">
        <is>
          <t>Palla Fumo</t>
        </is>
      </c>
      <c r="H292" s="29" t="inlineStr">
        <is>
          <t>연막탄</t>
        </is>
      </c>
      <c r="I292" s="29" t="inlineStr">
        <is>
          <t>煙霧球</t>
        </is>
      </c>
      <c r="J292" s="29">
        <f>IFERROR(__xludf.DUMMYFUNCTION("GOOGLETRANSLATE(I292,""zh_HANT"",""zh_HANS"")"),"烟雾球")</f>
        <v/>
      </c>
      <c r="K292" s="29">
        <f>F292</f>
        <v/>
      </c>
    </row>
    <row r="293">
      <c r="A293" s="29">
        <f>CONCATENATE("NAME_ITEM_", SUBSTITUTE(SUBSTITUTE(UPPER(B293), " ", ""), ".", ""))</f>
        <v/>
      </c>
      <c r="B293" s="29" t="inlineStr">
        <is>
          <t>Everstone</t>
        </is>
      </c>
      <c r="C293" s="29" t="inlineStr">
        <is>
          <t>かわらずのいし</t>
        </is>
      </c>
      <c r="D293" s="29" t="inlineStr">
        <is>
          <t>Pierre Stase</t>
        </is>
      </c>
      <c r="E293" s="29" t="inlineStr">
        <is>
          <t>Ewigstein</t>
        </is>
      </c>
      <c r="F293" s="29" t="inlineStr">
        <is>
          <t>Piedra Eterna</t>
        </is>
      </c>
      <c r="G293" s="29" t="inlineStr">
        <is>
          <t>Pietrastante</t>
        </is>
      </c>
      <c r="H293" s="29" t="inlineStr">
        <is>
          <t>변함없는돌</t>
        </is>
      </c>
      <c r="I293" s="29" t="inlineStr">
        <is>
          <t>不變之石</t>
        </is>
      </c>
      <c r="J293" s="29">
        <f>IFERROR(__xludf.DUMMYFUNCTION("GOOGLETRANSLATE(I293,""zh_HANT"",""zh_HANS"")"),"不变之石")</f>
        <v/>
      </c>
      <c r="K293" s="29">
        <f>F293</f>
        <v/>
      </c>
    </row>
    <row r="294">
      <c r="A294" s="29">
        <f>CONCATENATE("NAME_ITEM_", SUBSTITUTE(SUBSTITUTE(UPPER(B294), " ", ""), ".", ""))</f>
        <v/>
      </c>
      <c r="B294" s="29" t="inlineStr">
        <is>
          <t>Focus Band</t>
        </is>
      </c>
      <c r="C294" s="29" t="inlineStr">
        <is>
          <t>きあいのハチマキ</t>
        </is>
      </c>
      <c r="D294" s="29" t="inlineStr">
        <is>
          <t>Bandeau</t>
        </is>
      </c>
      <c r="E294" s="29" t="inlineStr">
        <is>
          <t>Fokus-Band</t>
        </is>
      </c>
      <c r="F294" s="29" t="inlineStr">
        <is>
          <t>Cinta Focus</t>
        </is>
      </c>
      <c r="G294" s="29" t="inlineStr">
        <is>
          <t>Bandana</t>
        </is>
      </c>
      <c r="H294" s="29" t="inlineStr">
        <is>
          <t>기합의머리띠</t>
        </is>
      </c>
      <c r="I294" s="29" t="inlineStr">
        <is>
          <t>氣勢頭帶</t>
        </is>
      </c>
      <c r="J294" s="29">
        <f>IFERROR(__xludf.DUMMYFUNCTION("GOOGLETRANSLATE(I294,""zh_HANT"",""zh_HANS"")"),"气势头带")</f>
        <v/>
      </c>
      <c r="K294" s="29">
        <f>F294</f>
        <v/>
      </c>
    </row>
    <row r="295">
      <c r="A295" s="29">
        <f>CONCATENATE("NAME_ITEM_", SUBSTITUTE(SUBSTITUTE(UPPER(B295), " ", ""), ".", ""))</f>
        <v/>
      </c>
      <c r="B295" s="29" t="inlineStr">
        <is>
          <t>Lucky Egg</t>
        </is>
      </c>
      <c r="C295" s="29" t="inlineStr">
        <is>
          <t>しあわせタマゴ</t>
        </is>
      </c>
      <c r="D295" s="29" t="inlineStr">
        <is>
          <t>Œuf Chance</t>
        </is>
      </c>
      <c r="E295" s="29" t="inlineStr">
        <is>
          <t>Glücks-Ei</t>
        </is>
      </c>
      <c r="F295" s="29" t="inlineStr">
        <is>
          <t>Huevo Suerte</t>
        </is>
      </c>
      <c r="G295" s="29" t="inlineStr">
        <is>
          <t>Fortunuovo</t>
        </is>
      </c>
      <c r="H295" s="29" t="inlineStr">
        <is>
          <t>행복의알</t>
        </is>
      </c>
      <c r="I295" s="29" t="inlineStr">
        <is>
          <t>幸運蛋</t>
        </is>
      </c>
      <c r="J295" s="29">
        <f>IFERROR(__xludf.DUMMYFUNCTION("GOOGLETRANSLATE(I295,""zh_HANT"",""zh_HANS"")"),"幸运蛋")</f>
        <v/>
      </c>
      <c r="K295" s="29">
        <f>F295</f>
        <v/>
      </c>
    </row>
    <row r="296">
      <c r="A296" s="29">
        <f>CONCATENATE("NAME_ITEM_", SUBSTITUTE(SUBSTITUTE(UPPER(B296), " ", ""), ".", ""))</f>
        <v/>
      </c>
      <c r="B296" s="29" t="inlineStr">
        <is>
          <t>Scope Lens</t>
        </is>
      </c>
      <c r="C296" s="29" t="inlineStr">
        <is>
          <t>ピントレンズ</t>
        </is>
      </c>
      <c r="D296" s="29" t="inlineStr">
        <is>
          <t>Lentilscope</t>
        </is>
      </c>
      <c r="E296" s="29" t="inlineStr">
        <is>
          <t>Scope-Linse</t>
        </is>
      </c>
      <c r="F296" s="29" t="inlineStr">
        <is>
          <t>Periscopio</t>
        </is>
      </c>
      <c r="G296" s="29" t="inlineStr">
        <is>
          <t>Mirino</t>
        </is>
      </c>
      <c r="H296" s="29" t="inlineStr">
        <is>
          <t>초점렌즈</t>
        </is>
      </c>
      <c r="I296" s="29" t="inlineStr">
        <is>
          <t>焦點鏡</t>
        </is>
      </c>
      <c r="J296" s="29">
        <f>IFERROR(__xludf.DUMMYFUNCTION("GOOGLETRANSLATE(I296,""zh_HANT"",""zh_HANS"")"),"焦点镜")</f>
        <v/>
      </c>
      <c r="K296" s="29">
        <f>F296</f>
        <v/>
      </c>
    </row>
    <row r="297">
      <c r="A297" s="29">
        <f>CONCATENATE("NAME_ITEM_", SUBSTITUTE(SUBSTITUTE(UPPER(B297), " ", ""), ".", ""))</f>
        <v/>
      </c>
      <c r="B297" s="29" t="inlineStr">
        <is>
          <t>Metal Coat</t>
        </is>
      </c>
      <c r="C297" s="29" t="inlineStr">
        <is>
          <t>メタルコート</t>
        </is>
      </c>
      <c r="D297" s="29" t="inlineStr">
        <is>
          <t>Peau Métal</t>
        </is>
      </c>
      <c r="E297" s="29" t="inlineStr">
        <is>
          <t>Metallmantel</t>
        </is>
      </c>
      <c r="F297" s="29" t="inlineStr">
        <is>
          <t>Revest. Metálico</t>
        </is>
      </c>
      <c r="G297" s="29" t="inlineStr">
        <is>
          <t>Metalcoperta</t>
        </is>
      </c>
      <c r="H297" s="29" t="inlineStr">
        <is>
          <t>금속코트</t>
        </is>
      </c>
      <c r="I297" s="29" t="inlineStr">
        <is>
          <t>金屬膜</t>
        </is>
      </c>
      <c r="J297" s="29">
        <f>IFERROR(__xludf.DUMMYFUNCTION("GOOGLETRANSLATE(I297,""zh_HANT"",""zh_HANS"")"),"金属膜")</f>
        <v/>
      </c>
      <c r="K297" s="29">
        <f>F297</f>
        <v/>
      </c>
    </row>
    <row r="298">
      <c r="A298" s="29">
        <f>CONCATENATE("NAME_ITEM_", SUBSTITUTE(SUBSTITUTE(UPPER(B298), " ", ""), ".", ""))</f>
        <v/>
      </c>
      <c r="B298" s="29" t="inlineStr">
        <is>
          <t>Leftovers</t>
        </is>
      </c>
      <c r="C298" s="29" t="inlineStr">
        <is>
          <t>たべのこし</t>
        </is>
      </c>
      <c r="D298" s="29" t="inlineStr">
        <is>
          <t>Restes</t>
        </is>
      </c>
      <c r="E298" s="29" t="inlineStr">
        <is>
          <t>Überreste</t>
        </is>
      </c>
      <c r="F298" s="29" t="inlineStr">
        <is>
          <t>Restos</t>
        </is>
      </c>
      <c r="G298" s="29" t="inlineStr">
        <is>
          <t>Avanzi</t>
        </is>
      </c>
      <c r="H298" s="29" t="inlineStr">
        <is>
          <t>먹다남은음식</t>
        </is>
      </c>
      <c r="I298" s="29" t="inlineStr">
        <is>
          <t>吃剩的東西</t>
        </is>
      </c>
      <c r="J298" s="29">
        <f>IFERROR(__xludf.DUMMYFUNCTION("GOOGLETRANSLATE(I298,""zh_HANT"",""zh_HANS"")"),"吃剩的东西")</f>
        <v/>
      </c>
      <c r="K298" s="29">
        <f>F298</f>
        <v/>
      </c>
    </row>
    <row r="299">
      <c r="A299" s="29">
        <f>CONCATENATE("NAME_ITEM_", SUBSTITUTE(SUBSTITUTE(UPPER(B299), " ", ""), ".", ""))</f>
        <v/>
      </c>
      <c r="B299" s="29" t="inlineStr">
        <is>
          <t>Dragon Scale</t>
        </is>
      </c>
      <c r="C299" s="29" t="inlineStr">
        <is>
          <t>りゅうのウロコ</t>
        </is>
      </c>
      <c r="D299" s="29" t="inlineStr">
        <is>
          <t>Écaille Draco</t>
        </is>
      </c>
      <c r="E299" s="29" t="inlineStr">
        <is>
          <t>Drachenhaut</t>
        </is>
      </c>
      <c r="F299" s="29" t="inlineStr">
        <is>
          <t>Escamadragón</t>
        </is>
      </c>
      <c r="G299" s="29" t="inlineStr">
        <is>
          <t>Squama Drago</t>
        </is>
      </c>
      <c r="H299" s="29" t="inlineStr">
        <is>
          <t>용의비늘</t>
        </is>
      </c>
      <c r="I299" s="29" t="inlineStr">
        <is>
          <t>龍之鱗片</t>
        </is>
      </c>
      <c r="J299" s="29">
        <f>IFERROR(__xludf.DUMMYFUNCTION("GOOGLETRANSLATE(I299,""zh_HANT"",""zh_HANS"")"),"龙之鳞片")</f>
        <v/>
      </c>
      <c r="K299" s="29">
        <f>F299</f>
        <v/>
      </c>
    </row>
    <row r="300">
      <c r="A300" s="29">
        <f>CONCATENATE("NAME_ITEM_", SUBSTITUTE(SUBSTITUTE(UPPER(B300), " ", ""), ".", ""))</f>
        <v/>
      </c>
      <c r="B300" s="29" t="inlineStr">
        <is>
          <t>Light Ball</t>
        </is>
      </c>
      <c r="C300" s="29" t="inlineStr">
        <is>
          <t>でんきだま</t>
        </is>
      </c>
      <c r="D300" s="29" t="inlineStr">
        <is>
          <t>Balle Lumière</t>
        </is>
      </c>
      <c r="E300" s="29" t="inlineStr">
        <is>
          <t>Kugelblitz</t>
        </is>
      </c>
      <c r="F300" s="29" t="inlineStr">
        <is>
          <t>Bolaluminosa</t>
        </is>
      </c>
      <c r="G300" s="29" t="inlineStr">
        <is>
          <t>Elettropalla</t>
        </is>
      </c>
      <c r="H300" s="29" t="inlineStr">
        <is>
          <t>전기구슬</t>
        </is>
      </c>
      <c r="I300" s="29" t="inlineStr">
        <is>
          <t>電氣球</t>
        </is>
      </c>
      <c r="J300" s="29">
        <f>IFERROR(__xludf.DUMMYFUNCTION("GOOGLETRANSLATE(I300,""zh_HANT"",""zh_HANS"")"),"电气球")</f>
        <v/>
      </c>
      <c r="K300" s="29">
        <f>F300</f>
        <v/>
      </c>
    </row>
    <row r="301">
      <c r="A301" s="29">
        <f>CONCATENATE("NAME_ITEM_", SUBSTITUTE(SUBSTITUTE(UPPER(B301), " ", ""), ".", ""))</f>
        <v/>
      </c>
      <c r="B301" s="29" t="inlineStr">
        <is>
          <t>Soft Sand</t>
        </is>
      </c>
      <c r="C301" s="29" t="inlineStr">
        <is>
          <t>やわらかいすな</t>
        </is>
      </c>
      <c r="D301" s="29" t="inlineStr">
        <is>
          <t>Sable Doux</t>
        </is>
      </c>
      <c r="E301" s="29" t="inlineStr">
        <is>
          <t>Pundersand</t>
        </is>
      </c>
      <c r="F301" s="29" t="inlineStr">
        <is>
          <t>Arena Fina</t>
        </is>
      </c>
      <c r="G301" s="29" t="inlineStr">
        <is>
          <t>Sabbia Soffice</t>
        </is>
      </c>
      <c r="H301" s="29" t="inlineStr">
        <is>
          <t>부드러운모래</t>
        </is>
      </c>
      <c r="I301" s="29" t="inlineStr">
        <is>
          <t>柔軟沙子</t>
        </is>
      </c>
      <c r="J301" s="29">
        <f>IFERROR(__xludf.DUMMYFUNCTION("GOOGLETRANSLATE(I301,""zh_HANT"",""zh_HANS"")"),"柔软沙子")</f>
        <v/>
      </c>
      <c r="K301" s="29">
        <f>F301</f>
        <v/>
      </c>
    </row>
    <row r="302">
      <c r="A302" s="29">
        <f>CONCATENATE("NAME_ITEM_", SUBSTITUTE(SUBSTITUTE(UPPER(B302), " ", ""), ".", ""))</f>
        <v/>
      </c>
      <c r="B302" s="29" t="inlineStr">
        <is>
          <t>Hard Stone</t>
        </is>
      </c>
      <c r="C302" s="29" t="inlineStr">
        <is>
          <t>かたいいし</t>
        </is>
      </c>
      <c r="D302" s="29" t="inlineStr">
        <is>
          <t>Pierre Dure</t>
        </is>
      </c>
      <c r="E302" s="29" t="inlineStr">
        <is>
          <t>Granitstein</t>
        </is>
      </c>
      <c r="F302" s="29" t="inlineStr">
        <is>
          <t>Piedra Dura</t>
        </is>
      </c>
      <c r="G302" s="29" t="inlineStr">
        <is>
          <t>Pietradura</t>
        </is>
      </c>
      <c r="H302" s="29" t="inlineStr">
        <is>
          <t>딱딱한돌</t>
        </is>
      </c>
      <c r="I302" s="29" t="inlineStr">
        <is>
          <t>硬石頭</t>
        </is>
      </c>
      <c r="J302" s="29">
        <f>IFERROR(__xludf.DUMMYFUNCTION("GOOGLETRANSLATE(I302,""zh_HANT"",""zh_HANS"")"),"硬石头")</f>
        <v/>
      </c>
      <c r="K302" s="29">
        <f>F302</f>
        <v/>
      </c>
    </row>
    <row r="303">
      <c r="A303" s="29">
        <f>CONCATENATE("NAME_ITEM_", SUBSTITUTE(SUBSTITUTE(UPPER(B303), " ", ""), ".", ""))</f>
        <v/>
      </c>
      <c r="B303" s="29" t="inlineStr">
        <is>
          <t>Miracle Seed</t>
        </is>
      </c>
      <c r="C303" s="29" t="inlineStr">
        <is>
          <t>きせきのタネ</t>
        </is>
      </c>
      <c r="D303" s="29" t="inlineStr">
        <is>
          <t>Graine Miracle</t>
        </is>
      </c>
      <c r="E303" s="29" t="inlineStr">
        <is>
          <t>Wundersaat</t>
        </is>
      </c>
      <c r="F303" s="29" t="inlineStr">
        <is>
          <t>Semilla Milagro</t>
        </is>
      </c>
      <c r="G303" s="29" t="inlineStr">
        <is>
          <t>Miracolseme</t>
        </is>
      </c>
      <c r="H303" s="29" t="inlineStr">
        <is>
          <t>기적의씨</t>
        </is>
      </c>
      <c r="I303" s="29" t="inlineStr">
        <is>
          <t>奇跡種子</t>
        </is>
      </c>
      <c r="J303" s="29">
        <f>IFERROR(__xludf.DUMMYFUNCTION("GOOGLETRANSLATE(I303,""zh_HANT"",""zh_HANS"")"),"奇迹种子")</f>
        <v/>
      </c>
      <c r="K303" s="29">
        <f>F303</f>
        <v/>
      </c>
    </row>
    <row r="304">
      <c r="A304" s="29">
        <f>CONCATENATE("NAME_ITEM_", SUBSTITUTE(SUBSTITUTE(UPPER(B304), " ", ""), ".", ""))</f>
        <v/>
      </c>
      <c r="B304" s="29" t="inlineStr">
        <is>
          <t>Black Glasses</t>
        </is>
      </c>
      <c r="C304" s="29" t="inlineStr">
        <is>
          <t>くろいメガネ</t>
        </is>
      </c>
      <c r="D304" s="29" t="inlineStr">
        <is>
          <t>Lunettes Noires</t>
        </is>
      </c>
      <c r="E304" s="29" t="inlineStr">
        <is>
          <t>Schattenglas</t>
        </is>
      </c>
      <c r="F304" s="29" t="inlineStr">
        <is>
          <t>Gafas de Sol</t>
        </is>
      </c>
      <c r="G304" s="29" t="inlineStr">
        <is>
          <t>Occhialineri</t>
        </is>
      </c>
      <c r="H304" s="29" t="inlineStr">
        <is>
          <t>검은안경</t>
        </is>
      </c>
      <c r="I304" s="29" t="inlineStr">
        <is>
          <t>黑色眼鏡</t>
        </is>
      </c>
      <c r="J304" s="29">
        <f>IFERROR(__xludf.DUMMYFUNCTION("GOOGLETRANSLATE(I304,""zh_HANT"",""zh_HANS"")"),"黑色眼镜")</f>
        <v/>
      </c>
      <c r="K304" s="29">
        <f>F304</f>
        <v/>
      </c>
    </row>
    <row r="305">
      <c r="A305" s="29">
        <f>CONCATENATE("NAME_ITEM_", SUBSTITUTE(SUBSTITUTE(UPPER(B305), " ", ""), ".", ""))</f>
        <v/>
      </c>
      <c r="B305" s="29" t="inlineStr">
        <is>
          <t>Black Belt</t>
        </is>
      </c>
      <c r="C305" s="29" t="inlineStr">
        <is>
          <t>くろおび</t>
        </is>
      </c>
      <c r="D305" s="29" t="inlineStr">
        <is>
          <t>Ceinture Noire</t>
        </is>
      </c>
      <c r="E305" s="29" t="inlineStr">
        <is>
          <t>Schwarzgurt</t>
        </is>
      </c>
      <c r="F305" s="29" t="inlineStr">
        <is>
          <t>Cinturón Negro</t>
        </is>
      </c>
      <c r="G305" s="29" t="inlineStr">
        <is>
          <t>Cinturanera</t>
        </is>
      </c>
      <c r="H305" s="29" t="inlineStr">
        <is>
          <t>검은띠</t>
        </is>
      </c>
      <c r="I305" s="29" t="inlineStr">
        <is>
          <t>黑帶</t>
        </is>
      </c>
      <c r="J305" s="29">
        <f>IFERROR(__xludf.DUMMYFUNCTION("GOOGLETRANSLATE(I305,""zh_HANT"",""zh_HANS"")"),"黑带")</f>
        <v/>
      </c>
      <c r="K305" s="29">
        <f>F305</f>
        <v/>
      </c>
    </row>
    <row r="306">
      <c r="A306" s="29">
        <f>CONCATENATE("NAME_ITEM_", SUBSTITUTE(SUBSTITUTE(UPPER(B306), " ", ""), ".", ""))</f>
        <v/>
      </c>
      <c r="B306" s="29" t="inlineStr">
        <is>
          <t>Magnet</t>
        </is>
      </c>
      <c r="C306" s="29" t="inlineStr">
        <is>
          <t>じしゃく</t>
        </is>
      </c>
      <c r="D306" s="29" t="inlineStr">
        <is>
          <t>Aimant</t>
        </is>
      </c>
      <c r="E306" s="29">
        <f>B306</f>
        <v/>
      </c>
      <c r="F306" s="29" t="inlineStr">
        <is>
          <t>Imán</t>
        </is>
      </c>
      <c r="G306" s="29" t="inlineStr">
        <is>
          <t>Calamita</t>
        </is>
      </c>
      <c r="H306" s="29" t="inlineStr">
        <is>
          <t>자석</t>
        </is>
      </c>
      <c r="I306" s="29" t="inlineStr">
        <is>
          <t>磁鐵</t>
        </is>
      </c>
      <c r="J306" s="29">
        <f>IFERROR(__xludf.DUMMYFUNCTION("GOOGLETRANSLATE(I306,""zh_HANT"",""zh_HANS"")"),"磁铁")</f>
        <v/>
      </c>
      <c r="K306" s="29">
        <f>F306</f>
        <v/>
      </c>
    </row>
    <row r="307">
      <c r="A307" s="29">
        <f>CONCATENATE("NAME_ITEM_", SUBSTITUTE(SUBSTITUTE(UPPER(B307), " ", ""), ".", ""))</f>
        <v/>
      </c>
      <c r="B307" s="29" t="inlineStr">
        <is>
          <t>Mystic Water</t>
        </is>
      </c>
      <c r="C307" s="29" t="inlineStr">
        <is>
          <t>しんぴのしずく</t>
        </is>
      </c>
      <c r="D307" s="29" t="inlineStr">
        <is>
          <t>Eau Mystique</t>
        </is>
      </c>
      <c r="E307" s="29" t="inlineStr">
        <is>
          <t>Zauberwasser</t>
        </is>
      </c>
      <c r="F307" s="29" t="inlineStr">
        <is>
          <t>Agua Mística</t>
        </is>
      </c>
      <c r="G307" s="29" t="inlineStr">
        <is>
          <t>Acqua Magica</t>
        </is>
      </c>
      <c r="H307" s="29" t="inlineStr">
        <is>
          <t>신비의물방울</t>
        </is>
      </c>
      <c r="I307" s="29" t="inlineStr">
        <is>
          <t>神秘水滴</t>
        </is>
      </c>
      <c r="J307" s="29">
        <f>I307</f>
        <v/>
      </c>
      <c r="K307" s="29">
        <f>F307</f>
        <v/>
      </c>
    </row>
    <row r="308">
      <c r="A308" s="29">
        <f>CONCATENATE("NAME_ITEM_", SUBSTITUTE(SUBSTITUTE(UPPER(B308), " ", ""), ".", ""))</f>
        <v/>
      </c>
      <c r="B308" s="29" t="inlineStr">
        <is>
          <t>Sharp Beak</t>
        </is>
      </c>
      <c r="C308" s="29" t="inlineStr">
        <is>
          <t>するどいくちばし</t>
        </is>
      </c>
      <c r="D308" s="29" t="inlineStr">
        <is>
          <t>Bec Pointu</t>
        </is>
      </c>
      <c r="E308" s="29" t="inlineStr">
        <is>
          <t>Hackattack</t>
        </is>
      </c>
      <c r="F308" s="29" t="inlineStr">
        <is>
          <t>Pico Afilado</t>
        </is>
      </c>
      <c r="G308" s="29" t="inlineStr">
        <is>
          <t>Beccaffilato</t>
        </is>
      </c>
      <c r="H308" s="29" t="inlineStr">
        <is>
          <t>예리한부리</t>
        </is>
      </c>
      <c r="I308" s="29" t="inlineStr">
        <is>
          <t>銳利鳥嘴</t>
        </is>
      </c>
      <c r="J308" s="29">
        <f>IFERROR(__xludf.DUMMYFUNCTION("GOOGLETRANSLATE(I308,""zh_HANT"",""zh_HANS"")"),"锐利鸟嘴")</f>
        <v/>
      </c>
      <c r="K308" s="29">
        <f>F308</f>
        <v/>
      </c>
    </row>
    <row r="309">
      <c r="A309" s="29">
        <f>CONCATENATE("NAME_ITEM_", SUBSTITUTE(SUBSTITUTE(UPPER(B309), " ", ""), ".", ""))</f>
        <v/>
      </c>
      <c r="B309" s="29" t="inlineStr">
        <is>
          <t>Poison Barb</t>
        </is>
      </c>
      <c r="C309" s="29" t="inlineStr">
        <is>
          <t>どくバリ</t>
        </is>
      </c>
      <c r="D309" s="29" t="inlineStr">
        <is>
          <t>Pic Venin</t>
        </is>
      </c>
      <c r="E309" s="29" t="inlineStr">
        <is>
          <t>Giftstich</t>
        </is>
      </c>
      <c r="F309" s="29" t="inlineStr">
        <is>
          <t>Flecha Venenosa</t>
        </is>
      </c>
      <c r="G309" s="29" t="inlineStr">
        <is>
          <t>Velenaculeo</t>
        </is>
      </c>
      <c r="H309" s="29" t="inlineStr">
        <is>
          <t>독바늘</t>
        </is>
      </c>
      <c r="I309" s="29" t="inlineStr">
        <is>
          <t>毒針</t>
        </is>
      </c>
      <c r="J309" s="29">
        <f>IFERROR(__xludf.DUMMYFUNCTION("GOOGLETRANSLATE(I309,""zh_HANT"",""zh_HANS"")"),"毒针")</f>
        <v/>
      </c>
      <c r="K309" s="29">
        <f>F309</f>
        <v/>
      </c>
    </row>
    <row r="310">
      <c r="A310" s="29" t="inlineStr">
        <is>
          <t>NAME_ITEM_NEVERMELTICE</t>
        </is>
      </c>
      <c r="B310" s="29" t="inlineStr">
        <is>
          <t>Never-Melt Ice</t>
        </is>
      </c>
      <c r="C310" s="29" t="inlineStr">
        <is>
          <t>とけないこおり</t>
        </is>
      </c>
      <c r="D310" s="29" t="inlineStr">
        <is>
          <t>Glace Éternelle</t>
        </is>
      </c>
      <c r="E310" s="29" t="inlineStr">
        <is>
          <t>Ewiges Eis</t>
        </is>
      </c>
      <c r="F310" s="29" t="inlineStr">
        <is>
          <t>Antiderretir</t>
        </is>
      </c>
      <c r="G310" s="29" t="inlineStr">
        <is>
          <t>Gelomai</t>
        </is>
      </c>
      <c r="H310" s="29" t="inlineStr">
        <is>
          <t>녹지않는얼음</t>
        </is>
      </c>
      <c r="I310" s="29" t="inlineStr">
        <is>
          <t>不融冰</t>
        </is>
      </c>
      <c r="J310" s="29">
        <f>I310</f>
        <v/>
      </c>
      <c r="K310" s="29">
        <f>F310</f>
        <v/>
      </c>
    </row>
    <row r="311">
      <c r="A311" s="29">
        <f>CONCATENATE("NAME_ITEM_", SUBSTITUTE(SUBSTITUTE(UPPER(B311), " ", ""), ".", ""))</f>
        <v/>
      </c>
      <c r="B311" s="29" t="inlineStr">
        <is>
          <t>Spell Tag</t>
        </is>
      </c>
      <c r="C311" s="29" t="inlineStr">
        <is>
          <t>のろいのおふだ</t>
        </is>
      </c>
      <c r="D311" s="29" t="inlineStr">
        <is>
          <t>Rune Sort</t>
        </is>
      </c>
      <c r="E311" s="29" t="inlineStr">
        <is>
          <t>Bannsticker</t>
        </is>
      </c>
      <c r="F311" s="29" t="inlineStr">
        <is>
          <t>Hechizo</t>
        </is>
      </c>
      <c r="G311" s="29" t="inlineStr">
        <is>
          <t>Spettrotarga</t>
        </is>
      </c>
      <c r="H311" s="29" t="inlineStr">
        <is>
          <t>저주의부적</t>
        </is>
      </c>
      <c r="I311" s="29" t="inlineStr">
        <is>
          <t>詛咒之符</t>
        </is>
      </c>
      <c r="J311" s="29">
        <f>IFERROR(__xludf.DUMMYFUNCTION("GOOGLETRANSLATE(I311,""zh_HANT"",""zh_HANS"")"),"诅咒之符")</f>
        <v/>
      </c>
      <c r="K311" s="29">
        <f>F311</f>
        <v/>
      </c>
    </row>
    <row r="312">
      <c r="A312" s="29">
        <f>CONCATENATE("NAME_ITEM_", SUBSTITUTE(SUBSTITUTE(UPPER(B312), " ", ""), ".", ""))</f>
        <v/>
      </c>
      <c r="B312" s="29" t="inlineStr">
        <is>
          <t>Twisted Spoon</t>
        </is>
      </c>
      <c r="C312" s="29" t="inlineStr">
        <is>
          <t>まがったスプーン</t>
        </is>
      </c>
      <c r="D312" s="29" t="inlineStr">
        <is>
          <t>Cuillère Tordue</t>
        </is>
      </c>
      <c r="E312" s="29" t="inlineStr">
        <is>
          <t>Krümmlöffel</t>
        </is>
      </c>
      <c r="F312" s="29" t="inlineStr">
        <is>
          <t>Cuchara Torcida</t>
        </is>
      </c>
      <c r="G312" s="29" t="inlineStr">
        <is>
          <t>Cucchiaio Torto</t>
        </is>
      </c>
      <c r="H312" s="29" t="inlineStr">
        <is>
          <t>휘어진스푼</t>
        </is>
      </c>
      <c r="I312" s="29" t="inlineStr">
        <is>
          <t>彎曲的湯匙</t>
        </is>
      </c>
      <c r="J312" s="29">
        <f>IFERROR(__xludf.DUMMYFUNCTION("GOOGLETRANSLATE(I312,""zh_HANT"",""zh_HANS"")"),"弯曲的汤匙")</f>
        <v/>
      </c>
      <c r="K312" s="29">
        <f>F312</f>
        <v/>
      </c>
    </row>
    <row r="313">
      <c r="A313" s="29">
        <f>CONCATENATE("NAME_ITEM_", SUBSTITUTE(SUBSTITUTE(UPPER(B313), " ", ""), ".", ""))</f>
        <v/>
      </c>
      <c r="B313" s="29" t="inlineStr">
        <is>
          <t>Charcoal</t>
        </is>
      </c>
      <c r="C313" s="29" t="inlineStr">
        <is>
          <t>もくたん</t>
        </is>
      </c>
      <c r="D313" s="29" t="inlineStr">
        <is>
          <t>Charbon</t>
        </is>
      </c>
      <c r="E313" s="29" t="inlineStr">
        <is>
          <t>Holzkohle</t>
        </is>
      </c>
      <c r="F313" s="29" t="inlineStr">
        <is>
          <t>Carbón</t>
        </is>
      </c>
      <c r="G313" s="29" t="inlineStr">
        <is>
          <t>Carbonella</t>
        </is>
      </c>
      <c r="H313" s="29" t="inlineStr">
        <is>
          <t>목탄</t>
        </is>
      </c>
      <c r="I313" s="29" t="inlineStr">
        <is>
          <t>木炭</t>
        </is>
      </c>
      <c r="J313" s="29">
        <f>I313</f>
        <v/>
      </c>
      <c r="K313" s="29">
        <f>F313</f>
        <v/>
      </c>
    </row>
    <row r="314">
      <c r="A314" s="29">
        <f>CONCATENATE("NAME_ITEM_", SUBSTITUTE(SUBSTITUTE(UPPER(B314), " ", ""), ".", ""))</f>
        <v/>
      </c>
      <c r="B314" s="29" t="inlineStr">
        <is>
          <t>Dragon Fang</t>
        </is>
      </c>
      <c r="C314" s="29" t="inlineStr">
        <is>
          <t>りゅうのキバ</t>
        </is>
      </c>
      <c r="D314" s="29" t="inlineStr">
        <is>
          <t>Croc Dragon</t>
        </is>
      </c>
      <c r="E314" s="29" t="inlineStr">
        <is>
          <t>Drachenzahn</t>
        </is>
      </c>
      <c r="F314" s="29" t="inlineStr">
        <is>
          <t>Colmillo Dragón</t>
        </is>
      </c>
      <c r="G314" s="29" t="inlineStr">
        <is>
          <t>Dentedidrago</t>
        </is>
      </c>
      <c r="H314" s="29" t="inlineStr">
        <is>
          <t>용의이빨</t>
        </is>
      </c>
      <c r="I314" s="29" t="inlineStr">
        <is>
          <t>龍之牙</t>
        </is>
      </c>
      <c r="J314" s="29">
        <f>IFERROR(__xludf.DUMMYFUNCTION("GOOGLETRANSLATE(I314,""zh_HANT"",""zh_HANS"")"),"龙之牙")</f>
        <v/>
      </c>
      <c r="K314" s="29">
        <f>F314</f>
        <v/>
      </c>
    </row>
    <row r="315">
      <c r="A315" s="29">
        <f>CONCATENATE("NAME_ITEM_", SUBSTITUTE(SUBSTITUTE(UPPER(B315), " ", ""), ".", ""))</f>
        <v/>
      </c>
      <c r="B315" s="29" t="inlineStr">
        <is>
          <t>Upgrade</t>
        </is>
      </c>
      <c r="C315" s="29" t="inlineStr">
        <is>
          <t>アップグレード</t>
        </is>
      </c>
      <c r="D315" s="29" t="inlineStr">
        <is>
          <t>Améliorator</t>
        </is>
      </c>
      <c r="E315" s="29" t="inlineStr">
        <is>
          <t>Up-Grade</t>
        </is>
      </c>
      <c r="F315" s="29" t="inlineStr">
        <is>
          <t>Mejora</t>
        </is>
      </c>
      <c r="G315" s="29">
        <f>B315</f>
        <v/>
      </c>
      <c r="H315" s="29" t="inlineStr">
        <is>
          <t>업그레이드</t>
        </is>
      </c>
      <c r="I315" s="29" t="inlineStr">
        <is>
          <t>升級資料</t>
        </is>
      </c>
      <c r="J315" s="29" t="inlineStr">
        <is>
          <t>升级数据</t>
        </is>
      </c>
      <c r="K315" s="29">
        <f>F315</f>
        <v/>
      </c>
    </row>
    <row r="316">
      <c r="A316" s="29">
        <f>CONCATENATE("NAME_ITEM_", SUBSTITUTE(SUBSTITUTE(UPPER(B316), " ", ""), ".", ""))</f>
        <v/>
      </c>
      <c r="B316" s="29" t="inlineStr">
        <is>
          <t>Lucky Punch</t>
        </is>
      </c>
      <c r="C316" s="29" t="inlineStr">
        <is>
          <t>ラッキーパンチ</t>
        </is>
      </c>
      <c r="D316" s="29" t="inlineStr">
        <is>
          <t>Poing Chance</t>
        </is>
      </c>
      <c r="E316" s="29">
        <f>B316</f>
        <v/>
      </c>
      <c r="F316" s="29" t="inlineStr">
        <is>
          <t>Puño Suerte</t>
        </is>
      </c>
      <c r="G316" s="29" t="inlineStr">
        <is>
          <t>Fortunpugno</t>
        </is>
      </c>
      <c r="H316" s="29" t="inlineStr">
        <is>
          <t>럭키펀치</t>
        </is>
      </c>
      <c r="I316" s="29" t="inlineStr">
        <is>
          <t>吉利拳</t>
        </is>
      </c>
      <c r="J316" s="29">
        <f>I316</f>
        <v/>
      </c>
      <c r="K316" s="29">
        <f>F316</f>
        <v/>
      </c>
    </row>
    <row r="317">
      <c r="A317" s="29">
        <f>CONCATENATE("NAME_ITEM_", SUBSTITUTE(SUBSTITUTE(UPPER(B317), " ", ""), ".", ""))</f>
        <v/>
      </c>
      <c r="B317" s="29" t="inlineStr">
        <is>
          <t>Metal Powder</t>
        </is>
      </c>
      <c r="C317" s="29" t="inlineStr">
        <is>
          <t>メタルパウダー</t>
        </is>
      </c>
      <c r="D317" s="29" t="inlineStr">
        <is>
          <t>Poudre Métal</t>
        </is>
      </c>
      <c r="E317" s="29" t="inlineStr">
        <is>
          <t>Metallstaub</t>
        </is>
      </c>
      <c r="F317" s="29" t="inlineStr">
        <is>
          <t>Polvo Metálico</t>
        </is>
      </c>
      <c r="G317" s="29" t="inlineStr">
        <is>
          <t>Metalpolvere</t>
        </is>
      </c>
      <c r="H317" s="29" t="inlineStr">
        <is>
          <t>금속파우더</t>
        </is>
      </c>
      <c r="I317" s="29" t="inlineStr">
        <is>
          <t>金屬粉</t>
        </is>
      </c>
      <c r="J317" s="29">
        <f>IFERROR(__xludf.DUMMYFUNCTION("GOOGLETRANSLATE(I317,""zh_HANT"",""zh_HANS"")"),"金属粉")</f>
        <v/>
      </c>
      <c r="K317" s="29">
        <f>F317</f>
        <v/>
      </c>
    </row>
    <row r="318">
      <c r="A318" s="29">
        <f>CONCATENATE("NAME_ITEM_", SUBSTITUTE(SUBSTITUTE(UPPER(B318), " ", ""), ".", ""))</f>
        <v/>
      </c>
      <c r="B318" s="29" t="inlineStr">
        <is>
          <t>Thick Club</t>
        </is>
      </c>
      <c r="C318" s="29" t="inlineStr">
        <is>
          <t>ふといホネ</t>
        </is>
      </c>
      <c r="D318" s="29" t="inlineStr">
        <is>
          <t>Masse Os</t>
        </is>
      </c>
      <c r="E318" s="29" t="inlineStr">
        <is>
          <t>Kampfknochen</t>
        </is>
      </c>
      <c r="F318" s="29" t="inlineStr">
        <is>
          <t>Hueso Grueso</t>
        </is>
      </c>
      <c r="G318" s="29" t="inlineStr">
        <is>
          <t>Ossospesso</t>
        </is>
      </c>
      <c r="H318" s="29" t="inlineStr">
        <is>
          <t>굵은뼈</t>
        </is>
      </c>
      <c r="I318" s="29" t="inlineStr">
        <is>
          <t>粗骨頭</t>
        </is>
      </c>
      <c r="J318" s="29">
        <f>IFERROR(__xludf.DUMMYFUNCTION("GOOGLETRANSLATE(I318,""zh_HANT"",""zh_HANS"")"),"粗骨头")</f>
        <v/>
      </c>
      <c r="K318" s="29">
        <f>F318</f>
        <v/>
      </c>
    </row>
    <row r="319">
      <c r="A319" s="29">
        <f>CONCATENATE("NAME_ITEM_", SUBSTITUTE(SUBSTITUTE(UPPER(B319), " ", ""), ".", ""))</f>
        <v/>
      </c>
      <c r="B319" s="29" t="inlineStr">
        <is>
          <t>Leek</t>
        </is>
      </c>
      <c r="C319" s="29" t="inlineStr">
        <is>
          <t>ながねぎ</t>
        </is>
      </c>
      <c r="D319" s="29" t="inlineStr">
        <is>
          <t>Poireau</t>
        </is>
      </c>
      <c r="E319" s="29" t="inlineStr">
        <is>
          <t>Lauchstange</t>
        </is>
      </c>
      <c r="F319" s="29" t="inlineStr">
        <is>
          <t>Palo</t>
        </is>
      </c>
      <c r="G319" s="29" t="inlineStr">
        <is>
          <t>Gambo</t>
        </is>
      </c>
      <c r="H319" s="29" t="inlineStr">
        <is>
          <t>대파</t>
        </is>
      </c>
      <c r="I319" s="29" t="inlineStr">
        <is>
          <t>大蔥</t>
        </is>
      </c>
      <c r="J319" s="29">
        <f>IFERROR(__xludf.DUMMYFUNCTION("GOOGLETRANSLATE(I319,""zh_HANT"",""zh_HANS"")"),"大葱")</f>
        <v/>
      </c>
      <c r="K319" s="29">
        <f>F319</f>
        <v/>
      </c>
    </row>
    <row r="320">
      <c r="A320" s="29">
        <f>CONCATENATE("NAME_ITEM_", SUBSTITUTE(SUBSTITUTE(UPPER(B320), " ", ""), ".", ""))</f>
        <v/>
      </c>
      <c r="B320" s="29" t="inlineStr">
        <is>
          <t>White Herb</t>
        </is>
      </c>
      <c r="C320" s="29" t="inlineStr">
        <is>
          <t>しろいハーブ</t>
        </is>
      </c>
      <c r="D320" s="29" t="inlineStr">
        <is>
          <t>Herbe Blanche</t>
        </is>
      </c>
      <c r="E320" s="29" t="inlineStr">
        <is>
          <t>Schlohkraut</t>
        </is>
      </c>
      <c r="F320" s="29" t="inlineStr">
        <is>
          <t>Hierba Blanca</t>
        </is>
      </c>
      <c r="G320" s="29" t="inlineStr">
        <is>
          <t>Erbachiara</t>
        </is>
      </c>
      <c r="H320" s="29" t="inlineStr">
        <is>
          <t>하양허브</t>
        </is>
      </c>
      <c r="I320" s="29" t="inlineStr">
        <is>
          <t>白色香草</t>
        </is>
      </c>
      <c r="J320" s="29">
        <f>I320</f>
        <v/>
      </c>
      <c r="K320" s="29">
        <f>F320</f>
        <v/>
      </c>
    </row>
    <row r="321">
      <c r="A321" s="29">
        <f>CONCATENATE("NAME_ITEM_", SUBSTITUTE(SUBSTITUTE(UPPER(B321), " ", ""), ".", ""))</f>
        <v/>
      </c>
      <c r="B321" s="29" t="inlineStr">
        <is>
          <t>Macho Brace</t>
        </is>
      </c>
      <c r="C321" s="29" t="inlineStr">
        <is>
          <t>きょうせいギプス</t>
        </is>
      </c>
      <c r="D321" s="29" t="inlineStr">
        <is>
          <t>Bracelet Macho</t>
        </is>
      </c>
      <c r="E321" s="29" t="inlineStr">
        <is>
          <t>Machoband</t>
        </is>
      </c>
      <c r="F321" s="29" t="inlineStr">
        <is>
          <t>Brazal Firme</t>
        </is>
      </c>
      <c r="G321" s="29" t="inlineStr">
        <is>
          <t>Crescicappa</t>
        </is>
      </c>
      <c r="H321" s="29" t="inlineStr">
        <is>
          <t>교정깁스</t>
        </is>
      </c>
      <c r="I321" s="29" t="inlineStr">
        <is>
          <t>強制鍛鍊器</t>
        </is>
      </c>
      <c r="J321" s="29">
        <f>IFERROR(__xludf.DUMMYFUNCTION("GOOGLETRANSLATE(I321,""zh_HANT"",""zh_HANS"")"),"强制锻炼器")</f>
        <v/>
      </c>
      <c r="K321" s="29">
        <f>F321</f>
        <v/>
      </c>
    </row>
    <row r="322">
      <c r="A322" s="29">
        <f>CONCATENATE("NAME_ITEM_", SUBSTITUTE(SUBSTITUTE(UPPER(B322), " ", ""), ".", ""))</f>
        <v/>
      </c>
      <c r="B322" s="29" t="inlineStr">
        <is>
          <t>Soothe Bell</t>
        </is>
      </c>
      <c r="C322" s="29" t="inlineStr">
        <is>
          <t>やすらぎのすず</t>
        </is>
      </c>
      <c r="D322" s="29" t="inlineStr">
        <is>
          <t>Grelot Zen</t>
        </is>
      </c>
      <c r="E322" s="29" t="inlineStr">
        <is>
          <t>Sanftglocke</t>
        </is>
      </c>
      <c r="F322" s="29" t="inlineStr">
        <is>
          <t>Campana Alivio</t>
        </is>
      </c>
      <c r="G322" s="29" t="inlineStr">
        <is>
          <t>Calmanella</t>
        </is>
      </c>
      <c r="H322" s="29" t="inlineStr">
        <is>
          <t>평온의방울</t>
        </is>
      </c>
      <c r="I322" s="29" t="inlineStr">
        <is>
          <t>安撫之鈴</t>
        </is>
      </c>
      <c r="J322" s="29">
        <f>IFERROR(__xludf.DUMMYFUNCTION("GOOGLETRANSLATE(I322,""zh_HANT"",""zh_HANS"")"),"安抚之铃")</f>
        <v/>
      </c>
      <c r="K322" s="29">
        <f>F322</f>
        <v/>
      </c>
    </row>
    <row r="323">
      <c r="A323" s="29">
        <f>CONCATENATE("NAME_ITEM_", SUBSTITUTE(SUBSTITUTE(UPPER(B323), " ", ""), ".", ""))</f>
        <v/>
      </c>
      <c r="B323" s="29" t="inlineStr">
        <is>
          <t>Mental Herb</t>
        </is>
      </c>
      <c r="C323" s="29" t="inlineStr">
        <is>
          <t>メンタルハーブ</t>
        </is>
      </c>
      <c r="D323" s="29" t="inlineStr">
        <is>
          <t>Herbe Mental</t>
        </is>
      </c>
      <c r="E323" s="29" t="inlineStr">
        <is>
          <t>Mentalkraut</t>
        </is>
      </c>
      <c r="F323" s="29" t="inlineStr">
        <is>
          <t>Hierba Mental</t>
        </is>
      </c>
      <c r="G323" s="29" t="inlineStr">
        <is>
          <t>Mentalerba</t>
        </is>
      </c>
      <c r="H323" s="29" t="inlineStr">
        <is>
          <t>멘탈허브</t>
        </is>
      </c>
      <c r="I323" s="29" t="inlineStr">
        <is>
          <t>心靈香草</t>
        </is>
      </c>
      <c r="J323" s="29">
        <f>IFERROR(__xludf.DUMMYFUNCTION("GOOGLETRANSLATE(I323,""zh_HANT"",""zh_HANS"")"),"心灵香草")</f>
        <v/>
      </c>
      <c r="K323" s="29">
        <f>F323</f>
        <v/>
      </c>
    </row>
    <row r="324">
      <c r="A324" s="29">
        <f>CONCATENATE("NAME_ITEM_", SUBSTITUTE(SUBSTITUTE(UPPER(B324), " ", ""), ".", ""))</f>
        <v/>
      </c>
      <c r="B324" s="29" t="inlineStr">
        <is>
          <t>Choice Band</t>
        </is>
      </c>
      <c r="C324" s="11" t="inlineStr">
        <is>
          <t>こだわりハチマキ</t>
        </is>
      </c>
      <c r="D324" s="29" t="inlineStr">
        <is>
          <t>Bandeau Choix</t>
        </is>
      </c>
      <c r="E324" s="29" t="inlineStr">
        <is>
          <t>Wahlband</t>
        </is>
      </c>
      <c r="F324" s="29" t="inlineStr">
        <is>
          <t>Cinta Elegida</t>
        </is>
      </c>
      <c r="G324" s="29" t="inlineStr">
        <is>
          <t>Bendascelta</t>
        </is>
      </c>
      <c r="H324" s="29" t="inlineStr">
        <is>
          <t>구애머리띠</t>
        </is>
      </c>
      <c r="I324" s="29" t="inlineStr">
        <is>
          <t>講究頭帶</t>
        </is>
      </c>
      <c r="J324" s="29">
        <f>IFERROR(__xludf.DUMMYFUNCTION("GOOGLETRANSLATE(I324,""zh_HANT"",""zh_HANS"")"),"讲究头带")</f>
        <v/>
      </c>
      <c r="K324" s="29">
        <f>F324</f>
        <v/>
      </c>
    </row>
    <row r="325">
      <c r="A325" s="29">
        <f>CONCATENATE("NAME_ITEM_", SUBSTITUTE(SUBSTITUTE(UPPER(B325), " ", ""), ".", ""))</f>
        <v/>
      </c>
      <c r="B325" s="29" t="inlineStr">
        <is>
          <t>Soul Dew</t>
        </is>
      </c>
      <c r="C325" s="29" t="inlineStr">
        <is>
          <t>こころのしずく</t>
        </is>
      </c>
      <c r="D325" s="29" t="inlineStr">
        <is>
          <t>Rosée Âme</t>
        </is>
      </c>
      <c r="E325" s="29" t="inlineStr">
        <is>
          <t>Seelentau</t>
        </is>
      </c>
      <c r="F325" s="29" t="inlineStr">
        <is>
          <t>Rocío Bondad</t>
        </is>
      </c>
      <c r="G325" s="29" t="inlineStr">
        <is>
          <t>Cuorugiada</t>
        </is>
      </c>
      <c r="H325" s="29" t="inlineStr">
        <is>
          <t>마음의물방울</t>
        </is>
      </c>
      <c r="I325" s="29">
        <f>J325</f>
        <v/>
      </c>
      <c r="J325" s="29" t="inlineStr">
        <is>
          <t>心之水滴</t>
        </is>
      </c>
      <c r="K325" s="29">
        <f>F325</f>
        <v/>
      </c>
    </row>
    <row r="326">
      <c r="A326" s="29">
        <f>CONCATENATE("NAME_ITEM_", SUBSTITUTE(SUBSTITUTE(UPPER(B326), " ", ""), ".", ""))</f>
        <v/>
      </c>
      <c r="B326" s="29" t="inlineStr">
        <is>
          <t>Deep Sea Tooth</t>
        </is>
      </c>
      <c r="C326" s="29" t="inlineStr">
        <is>
          <t>しんかいのキバ</t>
        </is>
      </c>
      <c r="D326" s="29" t="inlineStr">
        <is>
          <t>Dent Océan</t>
        </is>
      </c>
      <c r="E326" s="29" t="inlineStr">
        <is>
          <t>Abysszahn</t>
        </is>
      </c>
      <c r="F326" s="29" t="inlineStr">
        <is>
          <t>Diente Marino</t>
        </is>
      </c>
      <c r="G326" s="29" t="inlineStr">
        <is>
          <t>Dente Abissi</t>
        </is>
      </c>
      <c r="H326" s="29" t="inlineStr">
        <is>
          <t>심해의이빨</t>
        </is>
      </c>
      <c r="I326" s="29" t="inlineStr">
        <is>
          <t>深海之牙</t>
        </is>
      </c>
      <c r="J326" s="29">
        <f>I326</f>
        <v/>
      </c>
      <c r="K326" s="29">
        <f>F326</f>
        <v/>
      </c>
    </row>
    <row r="327">
      <c r="A327" s="29">
        <f>CONCATENATE("NAME_ITEM_", SUBSTITUTE(SUBSTITUTE(UPPER(B327), " ", ""), ".", ""))</f>
        <v/>
      </c>
      <c r="B327" s="29" t="inlineStr">
        <is>
          <t>Deep Sea Scale</t>
        </is>
      </c>
      <c r="C327" s="29" t="inlineStr">
        <is>
          <t>しんかいのウロコ</t>
        </is>
      </c>
      <c r="D327" s="29" t="inlineStr">
        <is>
          <t>Écaille Océan</t>
        </is>
      </c>
      <c r="E327" s="29" t="inlineStr">
        <is>
          <t>Abyssplatte</t>
        </is>
      </c>
      <c r="F327" s="29" t="inlineStr">
        <is>
          <t>Escama Marina</t>
        </is>
      </c>
      <c r="G327" s="29" t="inlineStr">
        <is>
          <t>Squamaabissi</t>
        </is>
      </c>
      <c r="H327" s="29" t="inlineStr">
        <is>
          <t>심해의비늘</t>
        </is>
      </c>
      <c r="I327" s="29" t="inlineStr">
        <is>
          <t>深海鱗片</t>
        </is>
      </c>
      <c r="J327" s="29">
        <f>IFERROR(__xludf.DUMMYFUNCTION("GOOGLETRANSLATE(I327,""zh_HANT"",""zh_HANS"")"),"深海鳞片")</f>
        <v/>
      </c>
      <c r="K327" s="29">
        <f>F327</f>
        <v/>
      </c>
    </row>
    <row r="328">
      <c r="A328" s="29">
        <f>CONCATENATE("NAME_ITEM_", SUBSTITUTE(SUBSTITUTE(UPPER(B328), " ", ""), ".", ""))</f>
        <v/>
      </c>
      <c r="B328" s="29" t="inlineStr">
        <is>
          <t>Silk Scarf</t>
        </is>
      </c>
      <c r="C328" s="29" t="inlineStr">
        <is>
          <t>シルクのスカーフ</t>
        </is>
      </c>
      <c r="D328" s="29" t="inlineStr">
        <is>
          <t>Mouchoir Soie</t>
        </is>
      </c>
      <c r="E328" s="29" t="inlineStr">
        <is>
          <t>Seidenschal</t>
        </is>
      </c>
      <c r="F328" s="29" t="inlineStr">
        <is>
          <t>Pañuelo Seda</t>
        </is>
      </c>
      <c r="G328" s="29" t="inlineStr">
        <is>
          <t>Sciarpa Seta</t>
        </is>
      </c>
      <c r="H328" s="29" t="inlineStr">
        <is>
          <t>실크스카프</t>
        </is>
      </c>
      <c r="I328" s="29" t="inlineStr">
        <is>
          <t>絲綢圍巾</t>
        </is>
      </c>
      <c r="J328" s="29">
        <f>IFERROR(__xludf.DUMMYFUNCTION("GOOGLETRANSLATE(I328,""zh_HANT"",""zh_HANS"")"),"丝绸围巾")</f>
        <v/>
      </c>
      <c r="K328" s="29">
        <f>F328</f>
        <v/>
      </c>
    </row>
    <row r="329">
      <c r="A329" s="29">
        <f>CONCATENATE("NAME_ITEM_", SUBSTITUTE(SUBSTITUTE(UPPER(B329), " ", ""), ".", ""))</f>
        <v/>
      </c>
      <c r="B329" s="29" t="inlineStr">
        <is>
          <t>Shell Bell</t>
        </is>
      </c>
      <c r="C329" s="29" t="inlineStr">
        <is>
          <t>かいがらのすず</t>
        </is>
      </c>
      <c r="D329" s="29" t="inlineStr">
        <is>
          <t>Grelot Coque</t>
        </is>
      </c>
      <c r="E329" s="29" t="inlineStr">
        <is>
          <t>Seegesang</t>
        </is>
      </c>
      <c r="F329" s="29" t="inlineStr">
        <is>
          <t>Campana Concha</t>
        </is>
      </c>
      <c r="G329" s="29" t="inlineStr">
        <is>
          <t>Conchinella</t>
        </is>
      </c>
      <c r="H329" s="29" t="inlineStr">
        <is>
          <t>조개껍질방울</t>
        </is>
      </c>
      <c r="I329" s="29" t="inlineStr">
        <is>
          <t>貝殼之鈴</t>
        </is>
      </c>
      <c r="J329" s="29">
        <f>IFERROR(__xludf.DUMMYFUNCTION("GOOGLETRANSLATE(I329,""zh_HANT"",""zh_HANS"")"),"贝壳之铃")</f>
        <v/>
      </c>
      <c r="K329" s="29">
        <f>F329</f>
        <v/>
      </c>
    </row>
    <row r="330">
      <c r="A330" s="29">
        <f>CONCATENATE("NAME_ITEM_", SUBSTITUTE(SUBSTITUTE(UPPER(B330), " ", ""), ".", ""))</f>
        <v/>
      </c>
      <c r="B330" s="29" t="inlineStr">
        <is>
          <t>Sea Incense</t>
        </is>
      </c>
      <c r="C330" s="29" t="inlineStr">
        <is>
          <t>うしおのおこう</t>
        </is>
      </c>
      <c r="D330" s="29" t="inlineStr">
        <is>
          <t>Encens Mer</t>
        </is>
      </c>
      <c r="E330" s="29" t="inlineStr">
        <is>
          <t>Seerauch</t>
        </is>
      </c>
      <c r="F330" s="29" t="inlineStr">
        <is>
          <t>Incienso Marino</t>
        </is>
      </c>
      <c r="G330" s="29" t="inlineStr">
        <is>
          <t>Marearoma</t>
        </is>
      </c>
      <c r="H330" s="29" t="inlineStr">
        <is>
          <t>바닷물향로</t>
        </is>
      </c>
      <c r="I330" s="29" t="inlineStr">
        <is>
          <t>海潮薰香</t>
        </is>
      </c>
      <c r="J330" s="29">
        <f>I330</f>
        <v/>
      </c>
      <c r="K330" s="29">
        <f>F330</f>
        <v/>
      </c>
    </row>
    <row r="331">
      <c r="A331" s="29">
        <f>CONCATENATE("NAME_ITEM_", SUBSTITUTE(SUBSTITUTE(UPPER(B331), " ", ""), ".", ""))</f>
        <v/>
      </c>
      <c r="B331" s="29" t="inlineStr">
        <is>
          <t>Lax Incense</t>
        </is>
      </c>
      <c r="C331" s="29" t="inlineStr">
        <is>
          <t>のんきのおこう</t>
        </is>
      </c>
      <c r="D331" s="29" t="inlineStr">
        <is>
          <t>Encens Doux</t>
        </is>
      </c>
      <c r="E331" s="29" t="inlineStr">
        <is>
          <t>Laxrauch</t>
        </is>
      </c>
      <c r="F331" s="29" t="inlineStr">
        <is>
          <t>Incienso Suave</t>
        </is>
      </c>
      <c r="G331" s="29" t="inlineStr">
        <is>
          <t>Distraroma</t>
        </is>
      </c>
      <c r="H331" s="29" t="inlineStr">
        <is>
          <t>무사태평향로</t>
        </is>
      </c>
      <c r="I331" s="29" t="inlineStr">
        <is>
          <t>悠閒薰香</t>
        </is>
      </c>
      <c r="J331" s="29">
        <f>IFERROR(__xludf.DUMMYFUNCTION("GOOGLETRANSLATE(I331,""zh_HANT"",""zh_HANS"")"),"悠闲薰香")</f>
        <v/>
      </c>
      <c r="K331" s="29">
        <f>F331</f>
        <v/>
      </c>
    </row>
    <row r="332">
      <c r="A332" s="29">
        <f>CONCATENATE("NAME_ITEM_", SUBSTITUTE(SUBSTITUTE(UPPER(B332), " ", ""), ".", ""))</f>
        <v/>
      </c>
      <c r="B332" s="29" t="inlineStr">
        <is>
          <t>Red Scarf</t>
        </is>
      </c>
      <c r="C332" s="29" t="inlineStr">
        <is>
          <t>あかいバンダナ</t>
        </is>
      </c>
      <c r="D332" s="29" t="inlineStr">
        <is>
          <t>Foulard Rouge</t>
        </is>
      </c>
      <c r="E332" s="29" t="inlineStr">
        <is>
          <t>Roter Schal</t>
        </is>
      </c>
      <c r="F332" s="29" t="inlineStr">
        <is>
          <t>Pañuelo Rojo</t>
        </is>
      </c>
      <c r="G332" s="29" t="inlineStr">
        <is>
          <t>Fascia Rossa</t>
        </is>
      </c>
      <c r="H332" s="29" t="inlineStr">
        <is>
          <t>빨강밴드</t>
        </is>
      </c>
      <c r="I332" s="29" t="inlineStr">
        <is>
          <t>紅色頭巾</t>
        </is>
      </c>
      <c r="J332" s="29">
        <f>IFERROR(__xludf.DUMMYFUNCTION("GOOGLETRANSLATE(I332,""zh_HANT"",""zh_HANS"")"),"红色头巾")</f>
        <v/>
      </c>
      <c r="K332" s="29">
        <f>F332</f>
        <v/>
      </c>
    </row>
    <row r="333">
      <c r="A333" s="29">
        <f>CONCATENATE("NAME_ITEM_", SUBSTITUTE(SUBSTITUTE(UPPER(B333), " ", ""), ".", ""))</f>
        <v/>
      </c>
      <c r="B333" s="29" t="inlineStr">
        <is>
          <t>Blue Scarf</t>
        </is>
      </c>
      <c r="C333" s="29" t="inlineStr">
        <is>
          <t>あおいバンダナ</t>
        </is>
      </c>
      <c r="D333" s="29" t="inlineStr">
        <is>
          <t>Foulard Bleu</t>
        </is>
      </c>
      <c r="E333" s="29" t="inlineStr">
        <is>
          <t>Blauer Schal</t>
        </is>
      </c>
      <c r="F333" s="29" t="inlineStr">
        <is>
          <t>Pañuelo Azul</t>
        </is>
      </c>
      <c r="G333" s="29" t="inlineStr">
        <is>
          <t>Fascia Blu</t>
        </is>
      </c>
      <c r="H333" s="29" t="inlineStr">
        <is>
          <t>파랑밴드</t>
        </is>
      </c>
      <c r="I333" s="29" t="inlineStr">
        <is>
          <t>藍色頭巾</t>
        </is>
      </c>
      <c r="J333" s="29">
        <f>IFERROR(__xludf.DUMMYFUNCTION("GOOGLETRANSLATE(I333,""zh_HANT"",""zh_HANS"")"),"蓝色头巾")</f>
        <v/>
      </c>
      <c r="K333" s="29">
        <f>F333</f>
        <v/>
      </c>
    </row>
    <row r="334">
      <c r="A334" s="29">
        <f>CONCATENATE("NAME_ITEM_", SUBSTITUTE(SUBSTITUTE(UPPER(B334), " ", ""), ".", ""))</f>
        <v/>
      </c>
      <c r="B334" s="29" t="inlineStr">
        <is>
          <t>Pink Scarf</t>
        </is>
      </c>
      <c r="C334" s="29" t="inlineStr">
        <is>
          <t>ピンクのバンダナ</t>
        </is>
      </c>
      <c r="D334" s="29" t="inlineStr">
        <is>
          <t>Foulard Rose</t>
        </is>
      </c>
      <c r="E334" s="29" t="inlineStr">
        <is>
          <t>Rosa Schal</t>
        </is>
      </c>
      <c r="F334" s="29" t="inlineStr">
        <is>
          <t>Pañuelo Rosa</t>
        </is>
      </c>
      <c r="G334" s="29" t="inlineStr">
        <is>
          <t>Fascia Rosa</t>
        </is>
      </c>
      <c r="H334" s="29" t="inlineStr">
        <is>
          <t>분홍밴드</t>
        </is>
      </c>
      <c r="I334" s="29" t="inlineStr">
        <is>
          <t>粉紅頭巾</t>
        </is>
      </c>
      <c r="J334" s="29">
        <f>IFERROR(__xludf.DUMMYFUNCTION("GOOGLETRANSLATE(I334,""zh_HANT"",""zh_HANS"")"),"粉红头巾")</f>
        <v/>
      </c>
      <c r="K334" s="29">
        <f>F334</f>
        <v/>
      </c>
    </row>
    <row r="335">
      <c r="A335" s="29">
        <f>CONCATENATE("NAME_ITEM_", SUBSTITUTE(SUBSTITUTE(UPPER(B335), " ", ""), ".", ""))</f>
        <v/>
      </c>
      <c r="B335" s="29" t="inlineStr">
        <is>
          <t>Green Scarf</t>
        </is>
      </c>
      <c r="C335" s="29" t="inlineStr">
        <is>
          <t>みどりのバンダナ</t>
        </is>
      </c>
      <c r="D335" s="29" t="inlineStr">
        <is>
          <t>Foulard Vert</t>
        </is>
      </c>
      <c r="E335" s="29" t="inlineStr">
        <is>
          <t>Grüner Schal</t>
        </is>
      </c>
      <c r="F335" s="29" t="inlineStr">
        <is>
          <t>Pañuelo Verde</t>
        </is>
      </c>
      <c r="G335" s="29" t="inlineStr">
        <is>
          <t>Fascia Verde</t>
        </is>
      </c>
      <c r="H335" s="29" t="inlineStr">
        <is>
          <t>초록밴드</t>
        </is>
      </c>
      <c r="I335" s="29" t="inlineStr">
        <is>
          <t>綠色頭巾</t>
        </is>
      </c>
      <c r="J335" s="29">
        <f>IFERROR(__xludf.DUMMYFUNCTION("GOOGLETRANSLATE(I335,""zh_HANT"",""zh_HANS"")"),"绿色头巾")</f>
        <v/>
      </c>
      <c r="K335" s="29">
        <f>F335</f>
        <v/>
      </c>
    </row>
    <row r="336">
      <c r="A336" s="29">
        <f>CONCATENATE("NAME_ITEM_", SUBSTITUTE(SUBSTITUTE(UPPER(B336), " ", ""), ".", ""))</f>
        <v/>
      </c>
      <c r="B336" s="29" t="inlineStr">
        <is>
          <t>Yellow Scarf</t>
        </is>
      </c>
      <c r="C336" s="29" t="inlineStr">
        <is>
          <t>きいろのバンダナ</t>
        </is>
      </c>
      <c r="D336" s="29" t="inlineStr">
        <is>
          <t>Foulard Jaune</t>
        </is>
      </c>
      <c r="E336" s="29" t="inlineStr">
        <is>
          <t>Gelber Schal</t>
        </is>
      </c>
      <c r="F336" s="29" t="inlineStr">
        <is>
          <t>Pañuelo Amarillo</t>
        </is>
      </c>
      <c r="G336" s="29" t="inlineStr">
        <is>
          <t>Fascia Gialla</t>
        </is>
      </c>
      <c r="H336" s="29" t="inlineStr">
        <is>
          <t>노랑밴드</t>
        </is>
      </c>
      <c r="I336" s="29" t="inlineStr">
        <is>
          <t>黃色頭巾</t>
        </is>
      </c>
      <c r="J336" s="29">
        <f>IFERROR(__xludf.DUMMYFUNCTION("GOOGLETRANSLATE(I336,""zh_HANT"",""zh_HANS"")"),"黄色头巾")</f>
        <v/>
      </c>
      <c r="K336" s="29">
        <f>F336</f>
        <v/>
      </c>
    </row>
    <row r="337">
      <c r="A337" s="29">
        <f>CONCATENATE("NAME_ITEM_", SUBSTITUTE(SUBSTITUTE(UPPER(B337), " ", ""), ".", ""))</f>
        <v/>
      </c>
      <c r="B337" s="29" t="inlineStr">
        <is>
          <t>Red Orb</t>
        </is>
      </c>
      <c r="C337" s="29" t="inlineStr">
        <is>
          <t>べにいろのたま</t>
        </is>
      </c>
      <c r="D337" s="29" t="inlineStr">
        <is>
          <t>Gemme Rouge</t>
        </is>
      </c>
      <c r="E337" s="29" t="inlineStr">
        <is>
          <t>Roter Edelstein</t>
        </is>
      </c>
      <c r="F337" s="29" t="inlineStr">
        <is>
          <t>Prisma Roja</t>
        </is>
      </c>
      <c r="G337" s="29" t="inlineStr">
        <is>
          <t>Gemma Rossa</t>
        </is>
      </c>
      <c r="H337" s="29" t="inlineStr">
        <is>
          <t>주홍구슬</t>
        </is>
      </c>
      <c r="I337" s="29" t="inlineStr">
        <is>
          <t>朱紅色寶珠</t>
        </is>
      </c>
      <c r="J337" s="29">
        <f>IFERROR(__xludf.DUMMYFUNCTION("GOOGLETRANSLATE(I337,""zh_HANT"",""zh_HANS"")"),"朱红色宝珠")</f>
        <v/>
      </c>
      <c r="K337" s="29">
        <f>F337</f>
        <v/>
      </c>
    </row>
    <row r="338">
      <c r="A338" s="29">
        <f>CONCATENATE("NAME_ITEM_", SUBSTITUTE(SUBSTITUTE(UPPER(B338), " ", ""), ".", ""))</f>
        <v/>
      </c>
      <c r="B338" s="29" t="inlineStr">
        <is>
          <t>Blue Orb</t>
        </is>
      </c>
      <c r="C338" s="29" t="inlineStr">
        <is>
          <t>あいいろのたま</t>
        </is>
      </c>
      <c r="D338" s="29" t="inlineStr">
        <is>
          <t>Gemme Bleue</t>
        </is>
      </c>
      <c r="E338" s="29" t="inlineStr">
        <is>
          <t>Blauer Edelstein</t>
        </is>
      </c>
      <c r="F338" s="29" t="inlineStr">
        <is>
          <t>Prisma Azul</t>
        </is>
      </c>
      <c r="G338" s="29" t="inlineStr">
        <is>
          <t>Gemma Blu</t>
        </is>
      </c>
      <c r="H338" s="29" t="inlineStr">
        <is>
          <t>쪽빛구슬</t>
        </is>
      </c>
      <c r="I338" s="29" t="inlineStr">
        <is>
          <t>靛藍色寶珠</t>
        </is>
      </c>
      <c r="J338" s="29">
        <f>IFERROR(__xludf.DUMMYFUNCTION("GOOGLETRANSLATE(I338,""zh_HANT"",""zh_HANS"")"),"靛蓝色宝珠")</f>
        <v/>
      </c>
      <c r="K338" s="29">
        <f>F338</f>
        <v/>
      </c>
    </row>
    <row r="339">
      <c r="A339" s="29">
        <f>CONCATENATE("NAME_ITEM_", SUBSTITUTE(SUBSTITUTE(UPPER(B339), " ", ""), ".", ""))</f>
        <v/>
      </c>
      <c r="B339" s="29" t="inlineStr">
        <is>
          <t>Flame Plate</t>
        </is>
      </c>
      <c r="C339" s="29">
        <f>CONCATENATE("ひのたま","プレート")</f>
        <v/>
      </c>
      <c r="D339" s="29" t="inlineStr">
        <is>
          <t>Plaque Flamme</t>
        </is>
      </c>
      <c r="E339" s="29" t="inlineStr">
        <is>
          <t>Feuertafel</t>
        </is>
      </c>
      <c r="F339" s="29" t="inlineStr">
        <is>
          <t>Tabla Llama</t>
        </is>
      </c>
      <c r="G339" s="29" t="inlineStr">
        <is>
          <t>Lastrarogo</t>
        </is>
      </c>
      <c r="H339" s="29" t="inlineStr">
        <is>
          <t>불구슬플레이트</t>
        </is>
      </c>
      <c r="I339" s="29" t="inlineStr">
        <is>
          <t>火球石板</t>
        </is>
      </c>
      <c r="J339" s="29">
        <f>I339</f>
        <v/>
      </c>
      <c r="K339" s="29">
        <f>F339</f>
        <v/>
      </c>
    </row>
    <row r="340">
      <c r="A340" s="29">
        <f>CONCATENATE("NAME_ITEM_", SUBSTITUTE(SUBSTITUTE(UPPER(B340), " ", ""), ".", ""))</f>
        <v/>
      </c>
      <c r="B340" s="29" t="inlineStr">
        <is>
          <t>Splash Plate</t>
        </is>
      </c>
      <c r="C340" s="29">
        <f>CONCATENATE("しずく","プレート")</f>
        <v/>
      </c>
      <c r="D340" s="29" t="inlineStr">
        <is>
          <t>Plaque Hydro</t>
        </is>
      </c>
      <c r="E340" s="29" t="inlineStr">
        <is>
          <t>Wassertafel</t>
        </is>
      </c>
      <c r="F340" s="29" t="inlineStr">
        <is>
          <t>Tabla Linfa</t>
        </is>
      </c>
      <c r="G340" s="29" t="inlineStr">
        <is>
          <t>Lastraidro</t>
        </is>
      </c>
      <c r="H340" s="29" t="inlineStr">
        <is>
          <t>물방울플레이트</t>
        </is>
      </c>
      <c r="I340" s="29" t="inlineStr">
        <is>
          <t>水滴石板</t>
        </is>
      </c>
      <c r="J340" s="29">
        <f>I340</f>
        <v/>
      </c>
      <c r="K340" s="29">
        <f>F340</f>
        <v/>
      </c>
    </row>
    <row r="341">
      <c r="A341" s="29">
        <f>CONCATENATE("NAME_ITEM_", SUBSTITUTE(SUBSTITUTE(UPPER(B341), " ", ""), ".", ""))</f>
        <v/>
      </c>
      <c r="B341" s="29" t="inlineStr">
        <is>
          <t>Zap Plate</t>
        </is>
      </c>
      <c r="C341" s="29">
        <f>CONCATENATE("いかずち","プレート")</f>
        <v/>
      </c>
      <c r="D341" s="29" t="inlineStr">
        <is>
          <t>Plaque Volt</t>
        </is>
      </c>
      <c r="E341" s="29" t="inlineStr">
        <is>
          <t>Blitztafel</t>
        </is>
      </c>
      <c r="F341" s="29" t="inlineStr">
        <is>
          <t>Tabla Trueno</t>
        </is>
      </c>
      <c r="G341" s="29" t="inlineStr">
        <is>
          <t>Lastrasaetta</t>
        </is>
      </c>
      <c r="H341" s="29" t="inlineStr">
        <is>
          <t>우뢰플레이트</t>
        </is>
      </c>
      <c r="I341" s="29" t="inlineStr">
        <is>
          <t>雷電石板</t>
        </is>
      </c>
      <c r="J341" s="29">
        <f>IFERROR(__xludf.DUMMYFUNCTION("GOOGLETRANSLATE(I341,""zh_HANT"",""zh_HANS"")"),"雷电石板")</f>
        <v/>
      </c>
      <c r="K341" s="29">
        <f>F341</f>
        <v/>
      </c>
    </row>
    <row r="342">
      <c r="A342" s="29">
        <f>CONCATENATE("NAME_ITEM_", SUBSTITUTE(SUBSTITUTE(UPPER(B342), " ", ""), ".", ""))</f>
        <v/>
      </c>
      <c r="B342" s="29" t="inlineStr">
        <is>
          <t>Meadow Plate</t>
        </is>
      </c>
      <c r="C342" s="29">
        <f>CONCATENATE("みどりの","プレート")</f>
        <v/>
      </c>
      <c r="D342" s="29" t="inlineStr">
        <is>
          <t>Plaque Herbe</t>
        </is>
      </c>
      <c r="E342" s="29" t="inlineStr">
        <is>
          <t>Weisentafel</t>
        </is>
      </c>
      <c r="F342" s="29" t="inlineStr">
        <is>
          <t>Tabla Pradal</t>
        </is>
      </c>
      <c r="G342" s="29" t="inlineStr">
        <is>
          <t>Lastraprato</t>
        </is>
      </c>
      <c r="H342" s="29" t="inlineStr">
        <is>
          <t>초록플레이트</t>
        </is>
      </c>
      <c r="I342" s="29" t="inlineStr">
        <is>
          <t>碧綠石板</t>
        </is>
      </c>
      <c r="J342" s="29">
        <f>IFERROR(__xludf.DUMMYFUNCTION("GOOGLETRANSLATE(I342,""zh_HANT"",""zh_HANS"")"),"碧绿石板")</f>
        <v/>
      </c>
      <c r="K342" s="29">
        <f>F342</f>
        <v/>
      </c>
    </row>
    <row r="343">
      <c r="A343" s="29">
        <f>CONCATENATE("NAME_ITEM_", SUBSTITUTE(SUBSTITUTE(UPPER(B343), " ", ""), ".", ""))</f>
        <v/>
      </c>
      <c r="B343" s="29" t="inlineStr">
        <is>
          <t>Icicle Plate</t>
        </is>
      </c>
      <c r="C343" s="29">
        <f>CONCATENATE("つららの","プレート")</f>
        <v/>
      </c>
      <c r="D343" s="29" t="inlineStr">
        <is>
          <t>Plaque Glace</t>
        </is>
      </c>
      <c r="E343" s="29" t="inlineStr">
        <is>
          <t>Frosttafel</t>
        </is>
      </c>
      <c r="F343" s="29" t="inlineStr">
        <is>
          <t>Tabla Helada</t>
        </is>
      </c>
      <c r="G343" s="29" t="inlineStr">
        <is>
          <t>Lastragelo</t>
        </is>
      </c>
      <c r="H343" s="29" t="inlineStr">
        <is>
          <t>고드름플레이트</t>
        </is>
      </c>
      <c r="I343" s="29" t="inlineStr">
        <is>
          <t>冰柱石板</t>
        </is>
      </c>
      <c r="J343" s="29">
        <f>I343</f>
        <v/>
      </c>
      <c r="K343" s="29">
        <f>F343</f>
        <v/>
      </c>
    </row>
    <row r="344">
      <c r="A344" s="29">
        <f>CONCATENATE("NAME_ITEM_", SUBSTITUTE(SUBSTITUTE(UPPER(B344), " ", ""), ".", ""))</f>
        <v/>
      </c>
      <c r="B344" s="29" t="inlineStr">
        <is>
          <t>Fist Plate</t>
        </is>
      </c>
      <c r="C344" s="29">
        <f>CONCATENATE("こぶしの","プレート")</f>
        <v/>
      </c>
      <c r="D344" s="29" t="inlineStr">
        <is>
          <t>Plaque Poing</t>
        </is>
      </c>
      <c r="E344" s="29" t="inlineStr">
        <is>
          <t>Fausttafel</t>
        </is>
      </c>
      <c r="F344" s="29" t="inlineStr">
        <is>
          <t>Tabla Fuerte</t>
        </is>
      </c>
      <c r="G344" s="29" t="inlineStr">
        <is>
          <t>Lastrapungo</t>
        </is>
      </c>
      <c r="H344" s="29" t="inlineStr">
        <is>
          <t>주먹플레이트</t>
        </is>
      </c>
      <c r="I344" s="29" t="inlineStr">
        <is>
          <t>拳頭石板</t>
        </is>
      </c>
      <c r="J344" s="29">
        <f>IFERROR(__xludf.DUMMYFUNCTION("GOOGLETRANSLATE(I344,""zh_HANT"",""zh_HANS"")"),"拳头石板")</f>
        <v/>
      </c>
      <c r="K344" s="29">
        <f>F344</f>
        <v/>
      </c>
    </row>
    <row r="345">
      <c r="A345" s="29">
        <f>CONCATENATE("NAME_ITEM_", SUBSTITUTE(SUBSTITUTE(UPPER(B345), " ", ""), ".", ""))</f>
        <v/>
      </c>
      <c r="B345" s="29" t="inlineStr">
        <is>
          <t>Toxic Plate</t>
        </is>
      </c>
      <c r="C345" s="29">
        <f>CONCATENATE("もうどく","プレート")</f>
        <v/>
      </c>
      <c r="D345" s="29" t="inlineStr">
        <is>
          <t>Plaque Toxic</t>
        </is>
      </c>
      <c r="E345" s="29" t="inlineStr">
        <is>
          <t>Gifttafel</t>
        </is>
      </c>
      <c r="F345" s="29" t="inlineStr">
        <is>
          <t>Tabla Tóxica</t>
        </is>
      </c>
      <c r="G345" s="29" t="inlineStr">
        <is>
          <t>Lastrafiele</t>
        </is>
      </c>
      <c r="H345" s="29" t="inlineStr">
        <is>
          <t>맹독플레이트</t>
        </is>
      </c>
      <c r="I345" s="29" t="inlineStr">
        <is>
          <t>劇毒石板</t>
        </is>
      </c>
      <c r="J345" s="29">
        <f>IFERROR(__xludf.DUMMYFUNCTION("GOOGLETRANSLATE(I345,""zh_HANT"",""zh_HANS"")"),"剧毒石板")</f>
        <v/>
      </c>
      <c r="K345" s="29">
        <f>F345</f>
        <v/>
      </c>
    </row>
    <row r="346">
      <c r="A346" s="29">
        <f>CONCATENATE("NAME_ITEM_", SUBSTITUTE(SUBSTITUTE(UPPER(B346), " ", ""), ".", ""))</f>
        <v/>
      </c>
      <c r="B346" s="29" t="inlineStr">
        <is>
          <t>Earth Plate</t>
        </is>
      </c>
      <c r="C346" s="29">
        <f>CONCATENATE("だいちの","プレート")</f>
        <v/>
      </c>
      <c r="D346" s="29" t="inlineStr">
        <is>
          <t>Plaque Terre</t>
        </is>
      </c>
      <c r="E346" s="29" t="inlineStr">
        <is>
          <t>Erdtafel</t>
        </is>
      </c>
      <c r="F346" s="29" t="inlineStr">
        <is>
          <t>Tabla Terrax</t>
        </is>
      </c>
      <c r="G346" s="29" t="inlineStr">
        <is>
          <t>Lastrageo</t>
        </is>
      </c>
      <c r="H346" s="29" t="inlineStr">
        <is>
          <t>대지플레이트</t>
        </is>
      </c>
      <c r="I346" s="29" t="inlineStr">
        <is>
          <t>大地石板</t>
        </is>
      </c>
      <c r="J346" s="29">
        <f>I346</f>
        <v/>
      </c>
      <c r="K346" s="29">
        <f>F346</f>
        <v/>
      </c>
    </row>
    <row r="347">
      <c r="A347" s="29">
        <f>CONCATENATE("NAME_ITEM_", SUBSTITUTE(SUBSTITUTE(UPPER(B347), " ", ""), ".", ""))</f>
        <v/>
      </c>
      <c r="B347" s="29" t="inlineStr">
        <is>
          <t>Sky Plate</t>
        </is>
      </c>
      <c r="C347" s="29">
        <f>CONCATENATE("あおぞら","プレート")</f>
        <v/>
      </c>
      <c r="D347" s="29" t="inlineStr">
        <is>
          <t>Plaque Ciel</t>
        </is>
      </c>
      <c r="E347" s="29" t="inlineStr">
        <is>
          <t>Wolkentafel</t>
        </is>
      </c>
      <c r="F347" s="29" t="inlineStr">
        <is>
          <t>Tabla Cielo</t>
        </is>
      </c>
      <c r="G347" s="29" t="inlineStr">
        <is>
          <t>Lastracielo</t>
        </is>
      </c>
      <c r="H347" s="29" t="inlineStr">
        <is>
          <t>푸른하늘플레이트</t>
        </is>
      </c>
      <c r="I347" s="29" t="inlineStr">
        <is>
          <t>藍天石板</t>
        </is>
      </c>
      <c r="J347" s="29">
        <f>IFERROR(__xludf.DUMMYFUNCTION("GOOGLETRANSLATE(I347,""zh_HANT"",""zh_HANS"")"),"蓝天石板")</f>
        <v/>
      </c>
      <c r="K347" s="29">
        <f>F347</f>
        <v/>
      </c>
    </row>
    <row r="348">
      <c r="A348" s="29">
        <f>CONCATENATE("NAME_ITEM_", SUBSTITUTE(SUBSTITUTE(UPPER(B348), " ", ""), ".", ""))</f>
        <v/>
      </c>
      <c r="B348" s="29" t="inlineStr">
        <is>
          <t>Mind Plate</t>
        </is>
      </c>
      <c r="C348" s="29">
        <f>CONCATENATE("ふしぎの","プレート")</f>
        <v/>
      </c>
      <c r="D348" s="29" t="inlineStr">
        <is>
          <t>Plaque Esprit</t>
        </is>
      </c>
      <c r="E348" s="29" t="inlineStr">
        <is>
          <t>Hirntafel</t>
        </is>
      </c>
      <c r="F348" s="29" t="inlineStr">
        <is>
          <t>Tabla Mental</t>
        </is>
      </c>
      <c r="G348" s="29" t="inlineStr">
        <is>
          <t>Lastramente</t>
        </is>
      </c>
      <c r="H348" s="29" t="inlineStr">
        <is>
          <t>이상한플레이트</t>
        </is>
      </c>
      <c r="I348" s="29" t="inlineStr">
        <is>
          <t>神奇石板</t>
        </is>
      </c>
      <c r="J348" s="29">
        <f>I348</f>
        <v/>
      </c>
      <c r="K348" s="29">
        <f>F348</f>
        <v/>
      </c>
    </row>
    <row r="349">
      <c r="A349" s="29">
        <f>CONCATENATE("NAME_ITEM_", SUBSTITUTE(SUBSTITUTE(UPPER(B349), " ", ""), ".", ""))</f>
        <v/>
      </c>
      <c r="B349" s="29" t="inlineStr">
        <is>
          <t>Insect Plate</t>
        </is>
      </c>
      <c r="C349" s="29">
        <f>CONCATENATE("たまむし","プレート")</f>
        <v/>
      </c>
      <c r="D349" s="29" t="inlineStr">
        <is>
          <t>Plaque Insecte</t>
        </is>
      </c>
      <c r="E349" s="29" t="inlineStr">
        <is>
          <t>Käfertafel</t>
        </is>
      </c>
      <c r="F349" s="29" t="inlineStr">
        <is>
          <t>Tabla Bicho</t>
        </is>
      </c>
      <c r="G349" s="29" t="inlineStr">
        <is>
          <t>Lastrabaco</t>
        </is>
      </c>
      <c r="H349" s="29" t="inlineStr">
        <is>
          <t>비단벌레플레이트</t>
        </is>
      </c>
      <c r="I349" s="29" t="inlineStr">
        <is>
          <t>玉蟲石板</t>
        </is>
      </c>
      <c r="J349" s="29">
        <f>IFERROR(__xludf.DUMMYFUNCTION("GOOGLETRANSLATE(I349,""zh_HANT"",""zh_HANS"")"),"玉虫石板")</f>
        <v/>
      </c>
      <c r="K349" s="29">
        <f>F349</f>
        <v/>
      </c>
    </row>
    <row r="350">
      <c r="A350" s="29">
        <f>CONCATENATE("NAME_ITEM_", SUBSTITUTE(SUBSTITUTE(UPPER(B350), " ", ""), ".", ""))</f>
        <v/>
      </c>
      <c r="B350" s="29" t="inlineStr">
        <is>
          <t>Stone Plate</t>
        </is>
      </c>
      <c r="C350" s="29">
        <f>CONCATENATE("がんせき","プレート")</f>
        <v/>
      </c>
      <c r="D350" s="29" t="inlineStr">
        <is>
          <t>Plaque Roc</t>
        </is>
      </c>
      <c r="E350" s="29" t="inlineStr">
        <is>
          <t>Steintafel</t>
        </is>
      </c>
      <c r="F350" s="29" t="inlineStr">
        <is>
          <t>Tabla Pétrea</t>
        </is>
      </c>
      <c r="G350" s="29" t="inlineStr">
        <is>
          <t>Lastrapietra</t>
        </is>
      </c>
      <c r="H350" s="29" t="inlineStr">
        <is>
          <t>암석플레이트</t>
        </is>
      </c>
      <c r="I350" s="29" t="inlineStr">
        <is>
          <t>岩石石板</t>
        </is>
      </c>
      <c r="J350" s="29">
        <f>I350</f>
        <v/>
      </c>
      <c r="K350" s="29">
        <f>F350</f>
        <v/>
      </c>
    </row>
    <row r="351">
      <c r="A351" s="29">
        <f>CONCATENATE("NAME_ITEM_", SUBSTITUTE(SUBSTITUTE(UPPER(B351), " ", ""), ".", ""))</f>
        <v/>
      </c>
      <c r="B351" s="29" t="inlineStr">
        <is>
          <t>Spooky Plate</t>
        </is>
      </c>
      <c r="C351" s="29">
        <f>CONCATENATE("もののけ","プレート")</f>
        <v/>
      </c>
      <c r="D351" s="29" t="inlineStr">
        <is>
          <t>Plaque Fantôme</t>
        </is>
      </c>
      <c r="E351" s="29" t="inlineStr">
        <is>
          <t>Spuktafel</t>
        </is>
      </c>
      <c r="F351" s="29" t="inlineStr">
        <is>
          <t>Tabla Terror</t>
        </is>
      </c>
      <c r="G351" s="29" t="inlineStr">
        <is>
          <t>Lastratetra</t>
        </is>
      </c>
      <c r="H351" s="29" t="inlineStr">
        <is>
          <t>원령플레이트</t>
        </is>
      </c>
      <c r="I351" s="29" t="inlineStr">
        <is>
          <t>妖怪石板</t>
        </is>
      </c>
      <c r="J351" s="29">
        <f>I351</f>
        <v/>
      </c>
      <c r="K351" s="29">
        <f>F351</f>
        <v/>
      </c>
    </row>
    <row r="352">
      <c r="A352" s="29">
        <f>CONCATENATE("NAME_ITEM_", SUBSTITUTE(SUBSTITUTE(UPPER(B352), " ", ""), ".", ""))</f>
        <v/>
      </c>
      <c r="B352" s="29" t="inlineStr">
        <is>
          <t>Draco Plate</t>
        </is>
      </c>
      <c r="C352" s="29">
        <f>CONCATENATE("りゅうの","プレート")</f>
        <v/>
      </c>
      <c r="D352" s="29" t="inlineStr">
        <is>
          <t>Plaque Draco</t>
        </is>
      </c>
      <c r="E352" s="29" t="inlineStr">
        <is>
          <t>Dracotafel</t>
        </is>
      </c>
      <c r="F352" s="29" t="inlineStr">
        <is>
          <t>Tabla Draco</t>
        </is>
      </c>
      <c r="G352" s="29" t="inlineStr">
        <is>
          <t>Lastradrakon</t>
        </is>
      </c>
      <c r="H352" s="29" t="inlineStr">
        <is>
          <t>용의플레이트</t>
        </is>
      </c>
      <c r="I352" s="29" t="inlineStr">
        <is>
          <t>龍之石板</t>
        </is>
      </c>
      <c r="J352" s="29">
        <f>IFERROR(__xludf.DUMMYFUNCTION("GOOGLETRANSLATE(I352,""zh_HANT"",""zh_HANS"")"),"龙之石板")</f>
        <v/>
      </c>
      <c r="K352" s="29">
        <f>F352</f>
        <v/>
      </c>
    </row>
    <row r="353">
      <c r="A353" s="29">
        <f>CONCATENATE("NAME_ITEM_", SUBSTITUTE(SUBSTITUTE(UPPER(B353), " ", ""), ".", ""))</f>
        <v/>
      </c>
      <c r="B353" s="29" t="inlineStr">
        <is>
          <t>Dread Plate</t>
        </is>
      </c>
      <c r="C353" s="29">
        <f>CONCATENATE("こわもて","プレート")</f>
        <v/>
      </c>
      <c r="D353" s="29" t="inlineStr">
        <is>
          <t>Plaque Ombre</t>
        </is>
      </c>
      <c r="E353" s="29" t="inlineStr">
        <is>
          <t>Furchttafel</t>
        </is>
      </c>
      <c r="F353" s="29" t="inlineStr">
        <is>
          <t>Tabla Oscura</t>
        </is>
      </c>
      <c r="G353" s="29" t="inlineStr">
        <is>
          <t>Lastratimore</t>
        </is>
      </c>
      <c r="H353" s="29" t="inlineStr">
        <is>
          <t>공포플레이트</t>
        </is>
      </c>
      <c r="I353" s="29" t="inlineStr">
        <is>
          <t>惡顏石板</t>
        </is>
      </c>
      <c r="J353" s="29">
        <f>IFERROR(__xludf.DUMMYFUNCTION("GOOGLETRANSLATE(I353,""zh_HANT"",""zh_HANS"")"),"恶颜石板")</f>
        <v/>
      </c>
      <c r="K353" s="29">
        <f>F353</f>
        <v/>
      </c>
    </row>
    <row r="354">
      <c r="A354" s="29">
        <f>CONCATENATE("NAME_ITEM_", SUBSTITUTE(SUBSTITUTE(UPPER(B354), " ", ""), ".", ""))</f>
        <v/>
      </c>
      <c r="B354" s="29" t="inlineStr">
        <is>
          <t>Iron Plate</t>
        </is>
      </c>
      <c r="C354" s="29">
        <f>CONCATENATE("こうけつ","プレート")</f>
        <v/>
      </c>
      <c r="D354" s="29" t="inlineStr">
        <is>
          <t>Plaque Fer</t>
        </is>
      </c>
      <c r="E354" s="29" t="inlineStr">
        <is>
          <t>Eisentafel</t>
        </is>
      </c>
      <c r="F354" s="29" t="inlineStr">
        <is>
          <t>Tabla Acero</t>
        </is>
      </c>
      <c r="G354" s="29" t="inlineStr">
        <is>
          <t>Lastraferro</t>
        </is>
      </c>
      <c r="H354" s="29" t="inlineStr">
        <is>
          <t>강철플레이트</t>
        </is>
      </c>
      <c r="I354" s="29" t="inlineStr">
        <is>
          <t>鋼鐵石板</t>
        </is>
      </c>
      <c r="J354" s="29">
        <f>IFERROR(__xludf.DUMMYFUNCTION("GOOGLETRANSLATE(I354,""zh_HANT"",""zh_HANS"")"),"钢铁石板")</f>
        <v/>
      </c>
      <c r="K354" s="29">
        <f>F354</f>
        <v/>
      </c>
    </row>
    <row r="355">
      <c r="A355" s="29">
        <f>CONCATENATE("NAME_ITEM_", SUBSTITUTE(SUBSTITUTE(UPPER(B355), " ", ""), ".", ""))</f>
        <v/>
      </c>
      <c r="B355" s="29" t="inlineStr">
        <is>
          <t>Odd Incense</t>
        </is>
      </c>
      <c r="C355" s="29" t="inlineStr">
        <is>
          <t>おやしいのおこう</t>
        </is>
      </c>
      <c r="D355" s="29" t="inlineStr">
        <is>
          <t>Encens Bizarre</t>
        </is>
      </c>
      <c r="E355" s="29" t="inlineStr">
        <is>
          <t>Schrägrauch</t>
        </is>
      </c>
      <c r="F355" s="29" t="inlineStr">
        <is>
          <t>Incienso Raro</t>
        </is>
      </c>
      <c r="G355" s="29" t="inlineStr">
        <is>
          <t>Bizzoaroma</t>
        </is>
      </c>
      <c r="H355" s="29" t="inlineStr">
        <is>
          <t>괴상한향로</t>
        </is>
      </c>
      <c r="I355" s="29" t="inlineStr">
        <is>
          <t>奇異薰香</t>
        </is>
      </c>
      <c r="J355" s="29">
        <f>IFERROR(__xludf.DUMMYFUNCTION("GOOGLETRANSLATE(I355,""zh_HANT"",""zh_HANS"")"),"奇异薰香")</f>
        <v/>
      </c>
      <c r="K355" s="29">
        <f>F355</f>
        <v/>
      </c>
    </row>
    <row r="356">
      <c r="A356" s="29">
        <f>CONCATENATE("NAME_ITEM_", SUBSTITUTE(SUBSTITUTE(UPPER(B356), " ", ""), ".", ""))</f>
        <v/>
      </c>
      <c r="B356" s="29" t="inlineStr">
        <is>
          <t>Rock Incense</t>
        </is>
      </c>
      <c r="C356" s="29" t="inlineStr">
        <is>
          <t>がんせきのおこう</t>
        </is>
      </c>
      <c r="D356" s="29" t="inlineStr">
        <is>
          <t>Encens Roc</t>
        </is>
      </c>
      <c r="E356" s="29" t="inlineStr">
        <is>
          <t>Steinrauch</t>
        </is>
      </c>
      <c r="F356" s="29" t="inlineStr">
        <is>
          <t>Incienso Roca</t>
        </is>
      </c>
      <c r="G356" s="29" t="inlineStr">
        <is>
          <t>Roccioaroma</t>
        </is>
      </c>
      <c r="H356" s="29" t="inlineStr">
        <is>
          <t>암석향로</t>
        </is>
      </c>
      <c r="I356" s="29" t="inlineStr">
        <is>
          <t>岩石薰香</t>
        </is>
      </c>
      <c r="J356" s="29">
        <f>I356</f>
        <v/>
      </c>
      <c r="K356" s="29">
        <f>F356</f>
        <v/>
      </c>
    </row>
    <row r="357">
      <c r="A357" s="29">
        <f>CONCATENATE("NAME_ITEM_", SUBSTITUTE(SUBSTITUTE(UPPER(B357), " ", ""), ".", ""))</f>
        <v/>
      </c>
      <c r="B357" s="29" t="inlineStr">
        <is>
          <t>Full Incense</t>
        </is>
      </c>
      <c r="C357" s="29" t="inlineStr">
        <is>
          <t>まんぷくのおこう</t>
        </is>
      </c>
      <c r="D357" s="29" t="inlineStr">
        <is>
          <t>Encens Plein</t>
        </is>
      </c>
      <c r="E357" s="29" t="inlineStr">
        <is>
          <t>Lahmrauch</t>
        </is>
      </c>
      <c r="F357" s="29" t="inlineStr">
        <is>
          <t>Incienso Lento</t>
        </is>
      </c>
      <c r="G357" s="29" t="inlineStr">
        <is>
          <t>Gonfioaroma</t>
        </is>
      </c>
      <c r="H357" s="29" t="inlineStr">
        <is>
          <t>만복향로</t>
        </is>
      </c>
      <c r="I357" s="29" t="inlineStr">
        <is>
          <t>飽腹薰香</t>
        </is>
      </c>
      <c r="J357" s="29">
        <f>IFERROR(__xludf.DUMMYFUNCTION("GOOGLETRANSLATE(I357,""zh_HANT"",""zh_HANS"")"),"饱腹薰香")</f>
        <v/>
      </c>
      <c r="K357" s="29">
        <f>F357</f>
        <v/>
      </c>
    </row>
    <row r="358">
      <c r="A358" s="29">
        <f>CONCATENATE("NAME_ITEM_", SUBSTITUTE(SUBSTITUTE(UPPER(B358), " ", ""), ".", ""))</f>
        <v/>
      </c>
      <c r="B358" s="29" t="inlineStr">
        <is>
          <t>Wave Incense</t>
        </is>
      </c>
      <c r="C358" s="29" t="inlineStr">
        <is>
          <t>さざなみのおこう</t>
        </is>
      </c>
      <c r="D358" s="29" t="inlineStr">
        <is>
          <t>Encens Vague</t>
        </is>
      </c>
      <c r="E358" s="29" t="inlineStr">
        <is>
          <t>Wellenrauch</t>
        </is>
      </c>
      <c r="F358" s="29" t="inlineStr">
        <is>
          <t>Incienso Aqua</t>
        </is>
      </c>
      <c r="G358" s="29" t="inlineStr">
        <is>
          <t>Ondaroma</t>
        </is>
      </c>
      <c r="H358" s="29" t="inlineStr">
        <is>
          <t>잔물결향로</t>
        </is>
      </c>
      <c r="I358" s="29" t="inlineStr">
        <is>
          <t>漣漪薰香</t>
        </is>
      </c>
      <c r="J358" s="29">
        <f>IFERROR(__xludf.DUMMYFUNCTION("GOOGLETRANSLATE(I358,""zh_HANT"",""zh_HANS"")"),"涟漪薰香")</f>
        <v/>
      </c>
      <c r="K358" s="29">
        <f>F358</f>
        <v/>
      </c>
    </row>
    <row r="359">
      <c r="A359" s="29">
        <f>CONCATENATE("NAME_ITEM_", SUBSTITUTE(SUBSTITUTE(UPPER(B359), " ", ""), ".", ""))</f>
        <v/>
      </c>
      <c r="B359" s="29" t="inlineStr">
        <is>
          <t>Rose Incense</t>
        </is>
      </c>
      <c r="C359" s="29" t="inlineStr">
        <is>
          <t>おはなのおこう</t>
        </is>
      </c>
      <c r="D359" s="29" t="inlineStr">
        <is>
          <t>Encens Fleur</t>
        </is>
      </c>
      <c r="E359" s="29" t="inlineStr">
        <is>
          <t>Rosenrauch</t>
        </is>
      </c>
      <c r="F359" s="29" t="inlineStr">
        <is>
          <t>Incienso Floral</t>
        </is>
      </c>
      <c r="G359" s="29" t="inlineStr">
        <is>
          <t>Rosaroma</t>
        </is>
      </c>
      <c r="H359" s="29" t="inlineStr">
        <is>
          <t>꽃향로</t>
        </is>
      </c>
      <c r="I359" s="29" t="inlineStr">
        <is>
          <t>花朵薰香</t>
        </is>
      </c>
      <c r="J359" s="29">
        <f>I359</f>
        <v/>
      </c>
      <c r="K359" s="29">
        <f>F359</f>
        <v/>
      </c>
    </row>
    <row r="360">
      <c r="A360" s="29">
        <f>CONCATENATE("NAME_ITEM_", SUBSTITUTE(SUBSTITUTE(UPPER(B360), " ", ""), ".", ""))</f>
        <v/>
      </c>
      <c r="B360" s="29" t="inlineStr">
        <is>
          <t>Luck Incense</t>
        </is>
      </c>
      <c r="C360" s="29" t="inlineStr">
        <is>
          <t>こううんのおこう</t>
        </is>
      </c>
      <c r="D360" s="29" t="inlineStr">
        <is>
          <t>Encens Veine</t>
        </is>
      </c>
      <c r="E360" s="29" t="inlineStr">
        <is>
          <t>Glücksrauch</t>
        </is>
      </c>
      <c r="F360" s="29" t="inlineStr">
        <is>
          <t>Incienso Duplo</t>
        </is>
      </c>
      <c r="G360" s="29" t="inlineStr">
        <is>
          <t>Fortunaroma</t>
        </is>
      </c>
      <c r="H360" s="29" t="inlineStr">
        <is>
          <t>행운의향로</t>
        </is>
      </c>
      <c r="I360" s="29" t="inlineStr">
        <is>
          <t>幸運薰香</t>
        </is>
      </c>
      <c r="J360" s="29">
        <f>IFERROR(__xludf.DUMMYFUNCTION("GOOGLETRANSLATE(I360,""zh_HANT"",""zh_HANS"")"),"幸运薰香")</f>
        <v/>
      </c>
      <c r="K360" s="29">
        <f>F360</f>
        <v/>
      </c>
    </row>
    <row r="361">
      <c r="A361" s="29">
        <f>CONCATENATE("NAME_ITEM_", SUBSTITUTE(SUBSTITUTE(UPPER(B361), " ", ""), ".", ""))</f>
        <v/>
      </c>
      <c r="B361" s="29" t="inlineStr">
        <is>
          <t>Pure Incense</t>
        </is>
      </c>
      <c r="C361" s="29" t="inlineStr">
        <is>
          <t>きよめのおこう</t>
        </is>
      </c>
      <c r="D361" s="29" t="inlineStr">
        <is>
          <t>Encens Pur</t>
        </is>
      </c>
      <c r="E361" s="29" t="inlineStr">
        <is>
          <t>Scheuchrauch</t>
        </is>
      </c>
      <c r="F361" s="29" t="inlineStr">
        <is>
          <t>Incienso Puro</t>
        </is>
      </c>
      <c r="G361" s="29" t="inlineStr">
        <is>
          <t>Puroaroma</t>
        </is>
      </c>
      <c r="H361" s="29" t="inlineStr">
        <is>
          <t>순결의향로</t>
        </is>
      </c>
      <c r="I361" s="29" t="inlineStr">
        <is>
          <t>潔淨薰香</t>
        </is>
      </c>
      <c r="J361" s="29">
        <f>IFERROR(__xludf.DUMMYFUNCTION("GOOGLETRANSLATE(I361,""zh_HANT"",""zh_HANS"")"),"洁净薰香")</f>
        <v/>
      </c>
      <c r="K361" s="29">
        <f>F361</f>
        <v/>
      </c>
    </row>
    <row r="362">
      <c r="A362" s="29">
        <f>CONCATENATE("NAME_ITEM_", SUBSTITUTE(SUBSTITUTE(UPPER(B362), " ", ""), ".", ""))</f>
        <v/>
      </c>
      <c r="B362" s="29" t="inlineStr">
        <is>
          <t>Protector</t>
        </is>
      </c>
      <c r="C362" s="29" t="inlineStr">
        <is>
          <t>プロテクター</t>
        </is>
      </c>
      <c r="D362" s="29" t="inlineStr">
        <is>
          <t>Protecteur</t>
        </is>
      </c>
      <c r="E362" s="29" t="inlineStr">
        <is>
          <t>Schützer</t>
        </is>
      </c>
      <c r="F362" s="29">
        <f>B362</f>
        <v/>
      </c>
      <c r="G362" s="29" t="inlineStr">
        <is>
          <t>Copertura</t>
        </is>
      </c>
      <c r="H362" s="29" t="inlineStr">
        <is>
          <t>프로텍터</t>
        </is>
      </c>
      <c r="I362" s="29" t="inlineStr">
        <is>
          <t>護具</t>
        </is>
      </c>
      <c r="J362" s="29">
        <f>IFERROR(__xludf.DUMMYFUNCTION("GOOGLETRANSLATE(I362,""zh_HANT"",""zh_HANS"")"),"护具")</f>
        <v/>
      </c>
      <c r="K362" s="29">
        <f>F362</f>
        <v/>
      </c>
    </row>
    <row r="363">
      <c r="A363" s="29">
        <f>CONCATENATE("NAME_ITEM_", SUBSTITUTE(SUBSTITUTE(UPPER(B363), " ", ""), ".", ""))</f>
        <v/>
      </c>
      <c r="B363" s="29" t="inlineStr">
        <is>
          <t>Electirizer</t>
        </is>
      </c>
      <c r="C363" s="29" t="inlineStr">
        <is>
          <t>エレキブースター</t>
        </is>
      </c>
      <c r="D363" s="29" t="inlineStr">
        <is>
          <t>Électriseur</t>
        </is>
      </c>
      <c r="E363" s="29" t="inlineStr">
        <is>
          <t>Stromisierer</t>
        </is>
      </c>
      <c r="F363" s="29" t="inlineStr">
        <is>
          <t>Electrizador</t>
        </is>
      </c>
      <c r="G363" s="29" t="inlineStr">
        <is>
          <t>Elettritore</t>
        </is>
      </c>
      <c r="H363" s="29" t="inlineStr">
        <is>
          <t>에레키부스터</t>
        </is>
      </c>
      <c r="I363" s="29" t="inlineStr">
        <is>
          <t>電力增幅器</t>
        </is>
      </c>
      <c r="J363" s="29">
        <f>IFERROR(__xludf.DUMMYFUNCTION("GOOGLETRANSLATE(I363,""zh_HANT"",""zh_HANS"")"),"电力增幅器")</f>
        <v/>
      </c>
      <c r="K363" s="29">
        <f>F363</f>
        <v/>
      </c>
    </row>
    <row r="364">
      <c r="A364" s="29">
        <f>CONCATENATE("NAME_ITEM_", SUBSTITUTE(SUBSTITUTE(UPPER(B364), " ", ""), ".", ""))</f>
        <v/>
      </c>
      <c r="B364" s="29" t="inlineStr">
        <is>
          <t>Magmarizer</t>
        </is>
      </c>
      <c r="C364" s="29" t="inlineStr">
        <is>
          <t>マグマブースター</t>
        </is>
      </c>
      <c r="D364" s="29" t="inlineStr">
        <is>
          <t>Magmariseur</t>
        </is>
      </c>
      <c r="E364" s="29" t="inlineStr">
        <is>
          <t>Magmaisierer</t>
        </is>
      </c>
      <c r="F364" s="29" t="inlineStr">
        <is>
          <t>Magmatizador</t>
        </is>
      </c>
      <c r="G364" s="29" t="inlineStr">
        <is>
          <t>Magmatore</t>
        </is>
      </c>
      <c r="H364" s="29" t="inlineStr">
        <is>
          <t>마그마부스터</t>
        </is>
      </c>
      <c r="I364" s="29" t="inlineStr">
        <is>
          <t>熔岩增幅器</t>
        </is>
      </c>
      <c r="J364" s="29">
        <f>I364</f>
        <v/>
      </c>
      <c r="K364" s="29">
        <f>F364</f>
        <v/>
      </c>
    </row>
    <row r="365">
      <c r="A365" s="29">
        <f>CONCATENATE("NAME_ITEM_", SUBSTITUTE(SUBSTITUTE(UPPER(B365), " ", ""), ".", ""))</f>
        <v/>
      </c>
      <c r="B365" s="29" t="inlineStr">
        <is>
          <t>Dubious Disc</t>
        </is>
      </c>
      <c r="C365" s="29" t="inlineStr">
        <is>
          <t>あやしいパッチ</t>
        </is>
      </c>
      <c r="D365" s="29" t="inlineStr">
        <is>
          <t>CD Douteux</t>
        </is>
      </c>
      <c r="E365" s="29" t="inlineStr">
        <is>
          <t>Dubiosdisc</t>
        </is>
      </c>
      <c r="F365" s="29" t="inlineStr">
        <is>
          <t>Discoxtraño</t>
        </is>
      </c>
      <c r="G365" s="29" t="inlineStr">
        <is>
          <t>Dubbiodisco</t>
        </is>
      </c>
      <c r="H365" s="29" t="inlineStr">
        <is>
          <t>괴상한패치</t>
        </is>
      </c>
      <c r="I365" s="29" t="inlineStr">
        <is>
          <t>可疑補丁</t>
        </is>
      </c>
      <c r="J365" s="29">
        <f>IFERROR(__xludf.DUMMYFUNCTION("GOOGLETRANSLATE(I365,""zh_HANT"",""zh_HANS"")"),"可疑补丁")</f>
        <v/>
      </c>
      <c r="K365" s="29">
        <f>F365</f>
        <v/>
      </c>
    </row>
    <row r="366">
      <c r="A366" s="29">
        <f>CONCATENATE("NAME_ITEM_", SUBSTITUTE(SUBSTITUTE(UPPER(B366), " ", ""), ".", ""))</f>
        <v/>
      </c>
      <c r="B366" s="29" t="inlineStr">
        <is>
          <t>Reaper Cloth</t>
        </is>
      </c>
      <c r="C366" s="29" t="inlineStr">
        <is>
          <t>れいかいのぬの</t>
        </is>
      </c>
      <c r="D366" s="29" t="inlineStr">
        <is>
          <t>Tissu Fauche</t>
        </is>
      </c>
      <c r="E366" s="29" t="inlineStr">
        <is>
          <t>Düsterumhang</t>
        </is>
      </c>
      <c r="F366" s="29" t="inlineStr">
        <is>
          <t>Tela Terrible</t>
        </is>
      </c>
      <c r="G366" s="29" t="inlineStr">
        <is>
          <t>Terrorpanno</t>
        </is>
      </c>
      <c r="H366" s="29" t="inlineStr">
        <is>
          <t>영계의천</t>
        </is>
      </c>
      <c r="I366" s="29" t="inlineStr">
        <is>
          <t>靈界之布</t>
        </is>
      </c>
      <c r="J366" s="29">
        <f>IFERROR(__xludf.DUMMYFUNCTION("GOOGLETRANSLATE(I366,""zh_HANT"",""zh_HANS"")"),"灵界之布")</f>
        <v/>
      </c>
      <c r="K366" s="29">
        <f>F366</f>
        <v/>
      </c>
    </row>
    <row r="367">
      <c r="A367" s="29">
        <f>CONCATENATE("NAME_ITEM_", SUBSTITUTE(SUBSTITUTE(UPPER(B367), " ", ""), ".", ""))</f>
        <v/>
      </c>
      <c r="B367" s="29" t="inlineStr">
        <is>
          <t>Razor Claw</t>
        </is>
      </c>
      <c r="C367" s="29" t="inlineStr">
        <is>
          <t>するどいツメ</t>
        </is>
      </c>
      <c r="D367" s="29" t="inlineStr">
        <is>
          <t>Griffe Rasoir</t>
        </is>
      </c>
      <c r="E367" s="29" t="inlineStr">
        <is>
          <t>Scharfklaue</t>
        </is>
      </c>
      <c r="F367" s="29" t="inlineStr">
        <is>
          <t>Garra Afilada</t>
        </is>
      </c>
      <c r="G367" s="29" t="inlineStr">
        <is>
          <t>Affilartigli</t>
        </is>
      </c>
      <c r="H367" s="29" t="inlineStr">
        <is>
          <t>예리한손톱</t>
        </is>
      </c>
      <c r="I367" s="29" t="inlineStr">
        <is>
          <t>銳利之爪</t>
        </is>
      </c>
      <c r="J367" s="29">
        <f>IFERROR(__xludf.DUMMYFUNCTION("GOOGLETRANSLATE(I367,""zh_HANT"",""zh_HANS"")"),"锐利之爪")</f>
        <v/>
      </c>
      <c r="K367" s="29">
        <f>F367</f>
        <v/>
      </c>
    </row>
    <row r="368">
      <c r="A368" s="29">
        <f>CONCATENATE("NAME_ITEM_", SUBSTITUTE(SUBSTITUTE(UPPER(B368), " ", ""), ".", ""))</f>
        <v/>
      </c>
      <c r="B368" s="29" t="inlineStr">
        <is>
          <t>Razor Fang</t>
        </is>
      </c>
      <c r="C368" s="29" t="inlineStr">
        <is>
          <t>するどいキバ</t>
        </is>
      </c>
      <c r="D368" s="29" t="inlineStr">
        <is>
          <t>Croc Rasoir</t>
        </is>
      </c>
      <c r="E368" s="29" t="inlineStr">
        <is>
          <t>Scharfzahn</t>
        </is>
      </c>
      <c r="F368" s="29" t="inlineStr">
        <is>
          <t>Colmillo Agudo</t>
        </is>
      </c>
      <c r="G368" s="29" t="inlineStr">
        <is>
          <t>Affilodente</t>
        </is>
      </c>
      <c r="H368" s="29" t="inlineStr">
        <is>
          <t>예리한이빨</t>
        </is>
      </c>
      <c r="I368" s="29" t="inlineStr">
        <is>
          <t>銳利之牙</t>
        </is>
      </c>
      <c r="J368" s="29">
        <f>IFERROR(__xludf.DUMMYFUNCTION("GOOGLETRANSLATE(I368,""zh_HANT"",""zh_HANS"")"),"锐利之牙")</f>
        <v/>
      </c>
      <c r="K368" s="29">
        <f>F368</f>
        <v/>
      </c>
    </row>
    <row r="369">
      <c r="A369" s="29">
        <f>CONCATENATE("NAME_ITEM_", SUBSTITUTE(SUBSTITUTE(UPPER(B369), " ", ""), ".", ""))</f>
        <v/>
      </c>
      <c r="B369" s="29" t="inlineStr">
        <is>
          <t>Oval Stone</t>
        </is>
      </c>
      <c r="C369" s="29" t="inlineStr">
        <is>
          <t>まんまるいし</t>
        </is>
      </c>
      <c r="D369" s="29" t="inlineStr">
        <is>
          <t>Pierre Ovale</t>
        </is>
      </c>
      <c r="E369" s="29" t="inlineStr">
        <is>
          <t>Ovaler Stein</t>
        </is>
      </c>
      <c r="F369" s="29" t="inlineStr">
        <is>
          <t>Piedra Oval</t>
        </is>
      </c>
      <c r="G369" s="29" t="inlineStr">
        <is>
          <t>Pietraovale</t>
        </is>
      </c>
      <c r="H369" s="29" t="inlineStr">
        <is>
          <t>동글동글돌</t>
        </is>
      </c>
      <c r="I369" s="29" t="inlineStr">
        <is>
          <t>渾圓之石</t>
        </is>
      </c>
      <c r="J369" s="29">
        <f>IFERROR(__xludf.DUMMYFUNCTION("GOOGLETRANSLATE(I369,""zh_HANT"",""zh_HANS"")"),"浑圆之石")</f>
        <v/>
      </c>
      <c r="K369" s="29">
        <f>F369</f>
        <v/>
      </c>
    </row>
    <row r="370">
      <c r="A370" s="29">
        <f>CONCATENATE("NAME_ITEM_", SUBSTITUTE(SUBSTITUTE(UPPER(B370), " ", ""), ".", ""))</f>
        <v/>
      </c>
      <c r="B370" s="29" t="inlineStr">
        <is>
          <t>Adamant Orb</t>
        </is>
      </c>
      <c r="C370" s="29" t="inlineStr">
        <is>
          <t>こんごうだま</t>
        </is>
      </c>
      <c r="D370" s="29" t="inlineStr">
        <is>
          <t>Orbe Adamant</t>
        </is>
      </c>
      <c r="E370" s="29" t="inlineStr">
        <is>
          <t>Adamant-Orb</t>
        </is>
      </c>
      <c r="F370" s="29" t="inlineStr">
        <is>
          <t>Diamansfera</t>
        </is>
      </c>
      <c r="G370" s="29" t="inlineStr">
        <is>
          <t>Adamasfera</t>
        </is>
      </c>
      <c r="H370" s="29" t="inlineStr">
        <is>
          <t>금강옥</t>
        </is>
      </c>
      <c r="I370" s="29" t="inlineStr">
        <is>
          <t>金剛寶珠</t>
        </is>
      </c>
      <c r="J370" s="29">
        <f>IFERROR(__xludf.DUMMYFUNCTION("GOOGLETRANSLATE(I370,""zh_HANT"",""zh_HANS"")"),"金刚宝珠")</f>
        <v/>
      </c>
      <c r="K370" s="29">
        <f>F370</f>
        <v/>
      </c>
    </row>
    <row r="371">
      <c r="A371" s="29">
        <f>CONCATENATE("NAME_ITEM_", SUBSTITUTE(SUBSTITUTE(UPPER(B371), " ", ""), ".", ""))</f>
        <v/>
      </c>
      <c r="B371" s="29" t="inlineStr">
        <is>
          <t>Lustrous Orb</t>
        </is>
      </c>
      <c r="C371" s="29" t="inlineStr">
        <is>
          <t>しらたま</t>
        </is>
      </c>
      <c r="D371" s="29" t="inlineStr">
        <is>
          <t>Orbe Perlé</t>
        </is>
      </c>
      <c r="E371" s="29" t="inlineStr">
        <is>
          <t>Weiß-Orb</t>
        </is>
      </c>
      <c r="F371" s="29" t="inlineStr">
        <is>
          <t>Lustresfera</t>
        </is>
      </c>
      <c r="G371" s="29" t="inlineStr">
        <is>
          <t>Splendisfera</t>
        </is>
      </c>
      <c r="H371" s="29" t="inlineStr">
        <is>
          <t>백옥</t>
        </is>
      </c>
      <c r="I371" s="29" t="inlineStr">
        <is>
          <t>白玉寶珠</t>
        </is>
      </c>
      <c r="J371" s="29">
        <f>IFERROR(__xludf.DUMMYFUNCTION("GOOGLETRANSLATE(I371,""zh_HANT"",""zh_HANS"")"),"白玉宝珠")</f>
        <v/>
      </c>
      <c r="K371" s="29">
        <f>F371</f>
        <v/>
      </c>
    </row>
    <row r="372">
      <c r="A372" s="29">
        <f>CONCATENATE("NAME_ITEM_", SUBSTITUTE(SUBSTITUTE(UPPER(B372), " ", ""), ".", ""))</f>
        <v/>
      </c>
      <c r="B372" s="29" t="inlineStr">
        <is>
          <t>Griseous Orb</t>
        </is>
      </c>
      <c r="C372" s="29" t="inlineStr">
        <is>
          <t>はっきんだま</t>
        </is>
      </c>
      <c r="D372" s="29" t="inlineStr">
        <is>
          <t>Orbe Platiné</t>
        </is>
      </c>
      <c r="E372" s="29" t="inlineStr">
        <is>
          <t>Platinum-Orb</t>
        </is>
      </c>
      <c r="F372" s="29" t="inlineStr">
        <is>
          <t>Griseosfera</t>
        </is>
      </c>
      <c r="G372" s="29" t="inlineStr">
        <is>
          <t>Grigiosfera</t>
        </is>
      </c>
      <c r="H372" s="29" t="inlineStr">
        <is>
          <t>백금옥</t>
        </is>
      </c>
      <c r="I372" s="29" t="inlineStr">
        <is>
          <t>白金寶珠</t>
        </is>
      </c>
      <c r="J372" s="29">
        <f>IFERROR(__xludf.DUMMYFUNCTION("GOOGLETRANSLATE(I372,""zh_HANT"",""zh_HANS"")"),"白金宝珠")</f>
        <v/>
      </c>
      <c r="K372" s="29">
        <f>F372</f>
        <v/>
      </c>
    </row>
    <row r="373">
      <c r="A373" s="29">
        <f>CONCATENATE("NAME_ITEM_", SUBSTITUTE(SUBSTITUTE(UPPER(B373), " ", ""), ".", ""))</f>
        <v/>
      </c>
      <c r="B373" s="29" t="inlineStr">
        <is>
          <t>Wide Lens</t>
        </is>
      </c>
      <c r="C373" s="29" t="inlineStr">
        <is>
          <t>こうかくレンズ</t>
        </is>
      </c>
      <c r="D373" s="29" t="inlineStr">
        <is>
          <t>Loupe</t>
        </is>
      </c>
      <c r="E373" s="29" t="inlineStr">
        <is>
          <t>Großlinse</t>
        </is>
      </c>
      <c r="F373" s="29" t="inlineStr">
        <is>
          <t>Lupa</t>
        </is>
      </c>
      <c r="G373" s="29" t="inlineStr">
        <is>
          <t>Grandelente</t>
        </is>
      </c>
      <c r="H373" s="29" t="inlineStr">
        <is>
          <t>광각렌즈</t>
        </is>
      </c>
      <c r="I373" s="29" t="inlineStr">
        <is>
          <t>廣角鏡</t>
        </is>
      </c>
      <c r="J373" s="29">
        <f>IFERROR(__xludf.DUMMYFUNCTION("GOOGLETRANSLATE(I373,""zh_HANT"",""zh_HANS"")"),"广角镜")</f>
        <v/>
      </c>
      <c r="K373" s="29">
        <f>F373</f>
        <v/>
      </c>
    </row>
    <row r="374">
      <c r="A374" s="29">
        <f>CONCATENATE("NAME_ITEM_", SUBSTITUTE(SUBSTITUTE(UPPER(B374), " ", ""), ".", ""))</f>
        <v/>
      </c>
      <c r="B374" s="29" t="inlineStr">
        <is>
          <t>Muscle Band</t>
        </is>
      </c>
      <c r="C374" s="29" t="inlineStr">
        <is>
          <t>ちからのハチマキ</t>
        </is>
      </c>
      <c r="D374" s="29" t="inlineStr">
        <is>
          <t>Bandeau Muscle</t>
        </is>
      </c>
      <c r="E374" s="29" t="inlineStr">
        <is>
          <t>Muskelband</t>
        </is>
      </c>
      <c r="F374" s="29" t="inlineStr">
        <is>
          <t>Cinta Fuerte</t>
        </is>
      </c>
      <c r="G374" s="29" t="inlineStr">
        <is>
          <t>Muscolbanda</t>
        </is>
      </c>
      <c r="H374" s="29" t="inlineStr">
        <is>
          <t>힘의머리띠</t>
        </is>
      </c>
      <c r="I374" s="29" t="inlineStr">
        <is>
          <t>力量頭帶</t>
        </is>
      </c>
      <c r="J374" s="29">
        <f>IFERROR(__xludf.DUMMYFUNCTION("GOOGLETRANSLATE(I374,""zh_HANT"",""zh_HANS"")"),"力量头带")</f>
        <v/>
      </c>
      <c r="K374" s="29">
        <f>F374</f>
        <v/>
      </c>
    </row>
    <row r="375">
      <c r="A375" s="29">
        <f>CONCATENATE("NAME_ITEM_", SUBSTITUTE(SUBSTITUTE(UPPER(B375), " ", ""), ".", ""))</f>
        <v/>
      </c>
      <c r="B375" s="29" t="inlineStr">
        <is>
          <t>Wise Glasses</t>
        </is>
      </c>
      <c r="C375" s="29" t="inlineStr">
        <is>
          <t>ものしりメガネ</t>
        </is>
      </c>
      <c r="D375" s="29" t="inlineStr">
        <is>
          <t>Lunettes Sages</t>
        </is>
      </c>
      <c r="E375" s="29" t="inlineStr">
        <is>
          <t>Schlauglas</t>
        </is>
      </c>
      <c r="F375" s="29" t="inlineStr">
        <is>
          <t>Gafas Especiales</t>
        </is>
      </c>
      <c r="G375" s="29" t="inlineStr">
        <is>
          <t>Saviocchiali</t>
        </is>
      </c>
      <c r="H375" s="29" t="inlineStr">
        <is>
          <t>박식안경</t>
        </is>
      </c>
      <c r="I375" s="29" t="inlineStr">
        <is>
          <t>博識眼鏡</t>
        </is>
      </c>
      <c r="J375" s="29">
        <f>IFERROR(__xludf.DUMMYFUNCTION("GOOGLETRANSLATE(I375,""zh_HANT"",""zh_HANS"")"),"博识眼镜")</f>
        <v/>
      </c>
      <c r="K375" s="29">
        <f>F375</f>
        <v/>
      </c>
    </row>
    <row r="376">
      <c r="A376" s="29">
        <f>CONCATENATE("NAME_ITEM_", SUBSTITUTE(SUBSTITUTE(UPPER(B376), " ", ""), ".", ""))</f>
        <v/>
      </c>
      <c r="B376" s="29" t="inlineStr">
        <is>
          <t>Expert Belt</t>
        </is>
      </c>
      <c r="C376" s="29" t="inlineStr">
        <is>
          <t>たつじんのおび</t>
        </is>
      </c>
      <c r="D376" s="29" t="inlineStr">
        <is>
          <t>Ceinture Pro</t>
        </is>
      </c>
      <c r="E376" s="29" t="inlineStr">
        <is>
          <t>Expertengurt</t>
        </is>
      </c>
      <c r="F376" s="29" t="inlineStr">
        <is>
          <t>Cinta Experto</t>
        </is>
      </c>
      <c r="G376" s="29" t="inlineStr">
        <is>
          <t>Abilcintura</t>
        </is>
      </c>
      <c r="H376" s="29" t="inlineStr">
        <is>
          <t>달인의띠</t>
        </is>
      </c>
      <c r="I376" s="29" t="inlineStr">
        <is>
          <t>達人帶</t>
        </is>
      </c>
      <c r="J376" s="29">
        <f>IFERROR(__xludf.DUMMYFUNCTION("GOOGLETRANSLATE(I376,""zh_HANT"",""zh_HANS"")"),"达人带")</f>
        <v/>
      </c>
      <c r="K376" s="29">
        <f>F376</f>
        <v/>
      </c>
    </row>
    <row r="377">
      <c r="A377" s="29">
        <f>CONCATENATE("NAME_ITEM_", SUBSTITUTE(SUBSTITUTE(UPPER(B377), " ", ""), ".", ""))</f>
        <v/>
      </c>
      <c r="B377" s="29" t="inlineStr">
        <is>
          <t>Light Clay</t>
        </is>
      </c>
      <c r="C377" s="29" t="inlineStr">
        <is>
          <t>ひかりのねんど</t>
        </is>
      </c>
      <c r="D377" s="29" t="inlineStr">
        <is>
          <t>Lumargile</t>
        </is>
      </c>
      <c r="E377" s="29" t="inlineStr">
        <is>
          <t>Lichtlehm</t>
        </is>
      </c>
      <c r="F377" s="29" t="inlineStr">
        <is>
          <t>Refleluz</t>
        </is>
      </c>
      <c r="G377" s="29" t="inlineStr">
        <is>
          <t>Creta Luce</t>
        </is>
      </c>
      <c r="H377" s="29" t="inlineStr">
        <is>
          <t>빛의점토</t>
        </is>
      </c>
      <c r="I377" s="29" t="inlineStr">
        <is>
          <t>光之黏土</t>
        </is>
      </c>
      <c r="J377" s="29">
        <f>I377</f>
        <v/>
      </c>
      <c r="K377" s="29">
        <f>F377</f>
        <v/>
      </c>
    </row>
    <row r="378">
      <c r="A378" s="29">
        <f>CONCATENATE("NAME_ITEM_", SUBSTITUTE(SUBSTITUTE(UPPER(B378), " ", ""), ".", ""))</f>
        <v/>
      </c>
      <c r="B378" s="29" t="inlineStr">
        <is>
          <t>Life Orb</t>
        </is>
      </c>
      <c r="C378" s="29" t="inlineStr">
        <is>
          <t>いこちのたま</t>
        </is>
      </c>
      <c r="D378" s="29" t="inlineStr">
        <is>
          <t>Orbe Vie</t>
        </is>
      </c>
      <c r="E378" s="29" t="inlineStr">
        <is>
          <t>Leben-Orb</t>
        </is>
      </c>
      <c r="F378" s="29" t="inlineStr">
        <is>
          <t>Vidasfera</t>
        </is>
      </c>
      <c r="G378" s="29" t="inlineStr">
        <is>
          <t>Assorbisfera</t>
        </is>
      </c>
      <c r="H378" s="29" t="inlineStr">
        <is>
          <t>생명의구슬</t>
        </is>
      </c>
      <c r="I378" s="29" t="inlineStr">
        <is>
          <t>生命寶珠</t>
        </is>
      </c>
      <c r="J378" s="29">
        <f>IFERROR(__xludf.DUMMYFUNCTION("GOOGLETRANSLATE(I378,""zh_HANT"",""zh_HANS"")"),"生命宝珠")</f>
        <v/>
      </c>
      <c r="K378" s="29">
        <f>F378</f>
        <v/>
      </c>
    </row>
    <row r="379">
      <c r="A379" s="29">
        <f>CONCATENATE("NAME_ITEM_", SUBSTITUTE(SUBSTITUTE(UPPER(B379), " ", ""), ".", ""))</f>
        <v/>
      </c>
      <c r="B379" s="29" t="inlineStr">
        <is>
          <t>Power Herb</t>
        </is>
      </c>
      <c r="C379" s="29" t="inlineStr">
        <is>
          <t>パワフルハーブ</t>
        </is>
      </c>
      <c r="D379" s="29" t="inlineStr">
        <is>
          <t>Herbe Pouvoir</t>
        </is>
      </c>
      <c r="E379" s="29" t="inlineStr">
        <is>
          <t>Energiekraut</t>
        </is>
      </c>
      <c r="F379" s="29" t="inlineStr">
        <is>
          <t>Hierba Única</t>
        </is>
      </c>
      <c r="G379" s="29" t="inlineStr">
        <is>
          <t>Vigorerba</t>
        </is>
      </c>
      <c r="H379" s="29" t="inlineStr">
        <is>
          <t>파워풀허브</t>
        </is>
      </c>
      <c r="I379" s="29" t="inlineStr">
        <is>
          <t>強力香草</t>
        </is>
      </c>
      <c r="J379" s="29">
        <f>IFERROR(__xludf.DUMMYFUNCTION("GOOGLETRANSLATE(I379,""zh_HANT"",""zh_HANS"")"),"强力香草")</f>
        <v/>
      </c>
      <c r="K379" s="29">
        <f>F379</f>
        <v/>
      </c>
    </row>
    <row r="380">
      <c r="A380" s="29">
        <f>CONCATENATE("NAME_ITEM_", SUBSTITUTE(SUBSTITUTE(UPPER(B380), " ", ""), ".", ""))</f>
        <v/>
      </c>
      <c r="B380" s="29" t="inlineStr">
        <is>
          <t>Toxic Orb</t>
        </is>
      </c>
      <c r="C380" s="29" t="inlineStr">
        <is>
          <t>どくどくだま</t>
        </is>
      </c>
      <c r="D380" s="29" t="inlineStr">
        <is>
          <t>Orbe Toxique</t>
        </is>
      </c>
      <c r="E380" s="29" t="inlineStr">
        <is>
          <t>Toxik-Orb</t>
        </is>
      </c>
      <c r="F380" s="29" t="inlineStr">
        <is>
          <t>Toxisfera</t>
        </is>
      </c>
      <c r="G380" s="29" t="inlineStr">
        <is>
          <t>Tossicsfera</t>
        </is>
      </c>
      <c r="H380" s="29" t="inlineStr">
        <is>
          <t>맹독구슬</t>
        </is>
      </c>
      <c r="I380" s="29" t="inlineStr">
        <is>
          <t>劇毒寶珠</t>
        </is>
      </c>
      <c r="J380" s="29">
        <f>IFERROR(__xludf.DUMMYFUNCTION("GOOGLETRANSLATE(I380,""zh_HANT"",""zh_HANS"")"),"剧毒宝珠")</f>
        <v/>
      </c>
      <c r="K380" s="29">
        <f>F380</f>
        <v/>
      </c>
    </row>
    <row r="381">
      <c r="A381" s="29">
        <f>CONCATENATE("NAME_ITEM_", SUBSTITUTE(SUBSTITUTE(UPPER(B381), " ", ""), ".", ""))</f>
        <v/>
      </c>
      <c r="B381" s="29" t="inlineStr">
        <is>
          <t>Flame Orb</t>
        </is>
      </c>
      <c r="C381" s="29" t="inlineStr">
        <is>
          <t>かえんだま</t>
        </is>
      </c>
      <c r="D381" s="29" t="inlineStr">
        <is>
          <t>Orbe Flamme</t>
        </is>
      </c>
      <c r="E381" s="29" t="inlineStr">
        <is>
          <t>Heiß-Orb</t>
        </is>
      </c>
      <c r="F381" s="29" t="inlineStr">
        <is>
          <t>Llamasfera</t>
        </is>
      </c>
      <c r="G381" s="29" t="inlineStr">
        <is>
          <t>Fiammosfera</t>
        </is>
      </c>
      <c r="H381" s="29" t="inlineStr">
        <is>
          <t>화염구슬</t>
        </is>
      </c>
      <c r="I381" s="29" t="inlineStr">
        <is>
          <t>火焰寶珠</t>
        </is>
      </c>
      <c r="J381" s="29">
        <f>IFERROR(__xludf.DUMMYFUNCTION("GOOGLETRANSLATE(I381,""zh_HANT"",""zh_HANS"")"),"火焰宝珠")</f>
        <v/>
      </c>
      <c r="K381" s="29">
        <f>F381</f>
        <v/>
      </c>
    </row>
    <row r="382">
      <c r="A382" s="29">
        <f>CONCATENATE("NAME_ITEM_", SUBSTITUTE(SUBSTITUTE(UPPER(B382), " ", ""), ".", ""))</f>
        <v/>
      </c>
      <c r="B382" s="29" t="inlineStr">
        <is>
          <t>Quick Powder</t>
        </is>
      </c>
      <c r="C382" s="29" t="inlineStr">
        <is>
          <t>スピードパウダー</t>
        </is>
      </c>
      <c r="D382" s="29" t="inlineStr">
        <is>
          <t>Poudre Vite</t>
        </is>
      </c>
      <c r="E382" s="29" t="inlineStr">
        <is>
          <t>Flottstaub</t>
        </is>
      </c>
      <c r="F382" s="29" t="inlineStr">
        <is>
          <t>Polvo Veloz</t>
        </is>
      </c>
      <c r="G382" s="29" t="inlineStr">
        <is>
          <t>Velopolvere</t>
        </is>
      </c>
      <c r="H382" s="29" t="inlineStr">
        <is>
          <t>스피드파우더</t>
        </is>
      </c>
      <c r="I382" s="29" t="inlineStr">
        <is>
          <t>速度粉</t>
        </is>
      </c>
      <c r="J382" s="29">
        <f>I382</f>
        <v/>
      </c>
      <c r="K382" s="29">
        <f>F382</f>
        <v/>
      </c>
    </row>
    <row r="383">
      <c r="A383" s="29">
        <f>CONCATENATE("NAME_ITEM_", SUBSTITUTE(SUBSTITUTE(UPPER(B383), " ", ""), ".", ""))</f>
        <v/>
      </c>
      <c r="B383" s="29" t="inlineStr">
        <is>
          <t>Focus Sash</t>
        </is>
      </c>
      <c r="C383" s="29" t="inlineStr">
        <is>
          <t>きあいのタスキ</t>
        </is>
      </c>
      <c r="D383" s="29" t="inlineStr">
        <is>
          <t>Ceinture Force</t>
        </is>
      </c>
      <c r="E383" s="29" t="inlineStr">
        <is>
          <t>Fokusgurt</t>
        </is>
      </c>
      <c r="F383" s="29" t="inlineStr">
        <is>
          <t>Banda Focus</t>
        </is>
      </c>
      <c r="G383" s="29" t="inlineStr">
        <is>
          <t>Focalnastro</t>
        </is>
      </c>
      <c r="H383" s="29" t="inlineStr">
        <is>
          <t>기합의띠</t>
        </is>
      </c>
      <c r="I383" s="29" t="inlineStr">
        <is>
          <t>氣勢披帶</t>
        </is>
      </c>
      <c r="J383" s="29">
        <f>IFERROR(__xludf.DUMMYFUNCTION("GOOGLETRANSLATE(I383,""zh_HANT"",""zh_HANS"")"),"气势披带")</f>
        <v/>
      </c>
      <c r="K383" s="29">
        <f>F383</f>
        <v/>
      </c>
    </row>
    <row r="384">
      <c r="A384" s="29">
        <f>CONCATENATE("NAME_ITEM_", SUBSTITUTE(SUBSTITUTE(UPPER(B384), " ", ""), ".", ""))</f>
        <v/>
      </c>
      <c r="B384" s="29" t="inlineStr">
        <is>
          <t>Zoom Lens</t>
        </is>
      </c>
      <c r="C384" s="29" t="inlineStr">
        <is>
          <t>フォーカスレンズ</t>
        </is>
      </c>
      <c r="D384" s="29" t="inlineStr">
        <is>
          <t>Lentille Zoom</t>
        </is>
      </c>
      <c r="E384" s="29" t="inlineStr">
        <is>
          <t>Zoomlinse</t>
        </is>
      </c>
      <c r="F384" s="29" t="inlineStr">
        <is>
          <t>Telescopio</t>
        </is>
      </c>
      <c r="G384" s="29" t="inlineStr">
        <is>
          <t>Zoomlente</t>
        </is>
      </c>
      <c r="H384" s="29" t="inlineStr">
        <is>
          <t>포커스렌즈</t>
        </is>
      </c>
      <c r="I384" s="29" t="inlineStr">
        <is>
          <t>對焦鏡</t>
        </is>
      </c>
      <c r="J384" s="29">
        <f>IFERROR(__xludf.DUMMYFUNCTION("GOOGLETRANSLATE(I384,""zh_HANT"",""zh_HANS"")"),"对焦镜")</f>
        <v/>
      </c>
      <c r="K384" s="29">
        <f>F384</f>
        <v/>
      </c>
    </row>
    <row r="385">
      <c r="A385" s="29">
        <f>CONCATENATE("NAME_ITEM_", SUBSTITUTE(SUBSTITUTE(UPPER(B385), " ", ""), ".", ""))</f>
        <v/>
      </c>
      <c r="B385" s="29">
        <f>Moves!B119</f>
        <v/>
      </c>
      <c r="C385" s="29" t="inlineStr">
        <is>
          <t>メトロノーム</t>
        </is>
      </c>
      <c r="D385" s="29">
        <f>Moves!D119</f>
        <v/>
      </c>
      <c r="E385" s="29">
        <f>Moves!E119</f>
        <v/>
      </c>
      <c r="F385" s="29">
        <f>Moves!F119</f>
        <v/>
      </c>
      <c r="G385" s="29" t="inlineStr">
        <is>
          <t>Plessimetro</t>
        </is>
      </c>
      <c r="H385" s="29" t="inlineStr">
        <is>
          <t>메트로놈</t>
        </is>
      </c>
      <c r="I385" s="29" t="inlineStr">
        <is>
          <t>節拍器</t>
        </is>
      </c>
      <c r="J385" s="29">
        <f>IFERROR(__xludf.DUMMYFUNCTION("GOOGLETRANSLATE(I385,""zh_HANT"",""zh_HANS"")"),"节拍器")</f>
        <v/>
      </c>
      <c r="K385" s="29">
        <f>F385</f>
        <v/>
      </c>
    </row>
    <row r="386">
      <c r="A386" s="29">
        <f>CONCATENATE("NAME_ITEM_", SUBSTITUTE(SUBSTITUTE(UPPER(B386), " ", ""), ".", ""))</f>
        <v/>
      </c>
      <c r="B386" s="29" t="inlineStr">
        <is>
          <t>Iron Ball</t>
        </is>
      </c>
      <c r="C386" s="29" t="inlineStr">
        <is>
          <t>くろいてっきゅう</t>
        </is>
      </c>
      <c r="D386" s="29" t="inlineStr">
        <is>
          <t>Balle Fer</t>
        </is>
      </c>
      <c r="E386" s="29" t="inlineStr">
        <is>
          <t>Eisenkugel</t>
        </is>
      </c>
      <c r="F386" s="29" t="inlineStr">
        <is>
          <t>Bola Férrea</t>
        </is>
      </c>
      <c r="G386" s="29" t="inlineStr">
        <is>
          <t>Ferropalla</t>
        </is>
      </c>
      <c r="H386" s="29" t="inlineStr">
        <is>
          <t>검은철구</t>
        </is>
      </c>
      <c r="I386" s="29" t="inlineStr">
        <is>
          <t>黑色鐵球</t>
        </is>
      </c>
      <c r="J386" s="29">
        <f>IFERROR(__xludf.DUMMYFUNCTION("GOOGLETRANSLATE(I386,""zh_HANT"",""zh_HANS"")"),"黑色铁球")</f>
        <v/>
      </c>
      <c r="K386" s="29">
        <f>F386</f>
        <v/>
      </c>
    </row>
    <row r="387">
      <c r="A387" s="29">
        <f>CONCATENATE("NAME_ITEM_", SUBSTITUTE(SUBSTITUTE(UPPER(B387), " ", ""), ".", ""))</f>
        <v/>
      </c>
      <c r="B387" s="29" t="inlineStr">
        <is>
          <t>Lagging Tail</t>
        </is>
      </c>
      <c r="C387" s="29" t="inlineStr">
        <is>
          <t>こうこうのしっぽ</t>
        </is>
      </c>
      <c r="D387" s="29" t="inlineStr">
        <is>
          <t>Ralentiqueue</t>
        </is>
      </c>
      <c r="E387" s="29" t="inlineStr">
        <is>
          <t>Schwerschweif</t>
        </is>
      </c>
      <c r="F387" s="29" t="inlineStr">
        <is>
          <t>Cola Plúmbea</t>
        </is>
      </c>
      <c r="G387" s="29" t="inlineStr">
        <is>
          <t>Rallentocoda</t>
        </is>
      </c>
      <c r="H387" s="29" t="inlineStr">
        <is>
          <t>느림보꼬리</t>
        </is>
      </c>
      <c r="I387" s="29" t="inlineStr">
        <is>
          <t>後攻之尾</t>
        </is>
      </c>
      <c r="J387" s="29">
        <f>IFERROR(__xludf.DUMMYFUNCTION("GOOGLETRANSLATE(I387,""zh_HANT"",""zh_HANS"")"),"后攻之尾")</f>
        <v/>
      </c>
      <c r="K387" s="29">
        <f>F387</f>
        <v/>
      </c>
    </row>
    <row r="388">
      <c r="A388" s="29">
        <f>CONCATENATE("NAME_ITEM_", SUBSTITUTE(SUBSTITUTE(UPPER(B388), " ", ""), ".", ""))</f>
        <v/>
      </c>
      <c r="B388" s="29" t="inlineStr">
        <is>
          <t>Destiny Knot</t>
        </is>
      </c>
      <c r="C388" s="29" t="inlineStr">
        <is>
          <t>あかいいと</t>
        </is>
      </c>
      <c r="D388" s="29" t="inlineStr">
        <is>
          <t>Nœud Destin</t>
        </is>
      </c>
      <c r="E388" s="29" t="inlineStr">
        <is>
          <t>Fatumknoten</t>
        </is>
      </c>
      <c r="F388" s="29" t="inlineStr">
        <is>
          <t>Lazo Destino</t>
        </is>
      </c>
      <c r="G388" s="29" t="inlineStr">
        <is>
          <t>Destincomune</t>
        </is>
      </c>
      <c r="H388" s="29" t="inlineStr">
        <is>
          <t>빨간실</t>
        </is>
      </c>
      <c r="I388" s="29" t="inlineStr">
        <is>
          <t>紅線</t>
        </is>
      </c>
      <c r="J388" s="29">
        <f>IFERROR(__xludf.DUMMYFUNCTION("GOOGLETRANSLATE(I388,""zh_HANT"",""zh_HANS"")"),"红线")</f>
        <v/>
      </c>
      <c r="K388" s="29">
        <f>F388</f>
        <v/>
      </c>
    </row>
    <row r="389">
      <c r="A389" s="29">
        <f>CONCATENATE("NAME_ITEM_", SUBSTITUTE(SUBSTITUTE(UPPER(B389), " ", ""), ".", ""))</f>
        <v/>
      </c>
      <c r="B389" s="29" t="inlineStr">
        <is>
          <t>Black Sludge</t>
        </is>
      </c>
      <c r="C389" s="29" t="inlineStr">
        <is>
          <t>くろいヘドロ</t>
        </is>
      </c>
      <c r="D389" s="29" t="inlineStr">
        <is>
          <t>Boue Noire</t>
        </is>
      </c>
      <c r="E389" s="29" t="inlineStr">
        <is>
          <t>Giftschleim</t>
        </is>
      </c>
      <c r="F389" s="29" t="inlineStr">
        <is>
          <t>Lodo Negro</t>
        </is>
      </c>
      <c r="G389" s="29" t="inlineStr">
        <is>
          <t>Fangopece</t>
        </is>
      </c>
      <c r="H389" s="29" t="inlineStr">
        <is>
          <t>검은진흙</t>
        </is>
      </c>
      <c r="I389" s="29" t="inlineStr">
        <is>
          <t>黑色污泥</t>
        </is>
      </c>
      <c r="J389" s="29">
        <f>I389</f>
        <v/>
      </c>
      <c r="K389" s="29">
        <f>F389</f>
        <v/>
      </c>
    </row>
    <row r="390">
      <c r="A390" s="29">
        <f>CONCATENATE("NAME_ITEM_", SUBSTITUTE(SUBSTITUTE(UPPER(B390), " ", ""), ".", ""))</f>
        <v/>
      </c>
      <c r="B390" s="29" t="inlineStr">
        <is>
          <t>Icy Rock</t>
        </is>
      </c>
      <c r="C390" s="29" t="inlineStr">
        <is>
          <t>つめたいいわ</t>
        </is>
      </c>
      <c r="D390" s="29" t="inlineStr">
        <is>
          <t>Roche Glace</t>
        </is>
      </c>
      <c r="E390" s="29" t="inlineStr">
        <is>
          <t>Eisbrocken</t>
        </is>
      </c>
      <c r="F390" s="29" t="inlineStr">
        <is>
          <t>Roca Helada</t>
        </is>
      </c>
      <c r="G390" s="29" t="inlineStr">
        <is>
          <t>Rocciafredda</t>
        </is>
      </c>
      <c r="H390" s="29" t="inlineStr">
        <is>
          <t>차가운바위</t>
        </is>
      </c>
      <c r="I390" s="29" t="inlineStr">
        <is>
          <t>冰冷岩石</t>
        </is>
      </c>
      <c r="J390" s="29">
        <f>I390</f>
        <v/>
      </c>
      <c r="K390" s="29">
        <f>F390</f>
        <v/>
      </c>
    </row>
    <row r="391">
      <c r="A391" s="29">
        <f>CONCATENATE("NAME_ITEM_", SUBSTITUTE(SUBSTITUTE(UPPER(B391), " ", ""), ".", ""))</f>
        <v/>
      </c>
      <c r="B391" s="29" t="inlineStr">
        <is>
          <t>Smooth Rock</t>
        </is>
      </c>
      <c r="C391" s="29" t="inlineStr">
        <is>
          <t>さらさらいわ</t>
        </is>
      </c>
      <c r="D391" s="29" t="inlineStr">
        <is>
          <t>Roche Lisse</t>
        </is>
      </c>
      <c r="E391" s="29" t="inlineStr">
        <is>
          <t>Glattbrocken</t>
        </is>
      </c>
      <c r="F391" s="29" t="inlineStr">
        <is>
          <t>Roca Suave</t>
        </is>
      </c>
      <c r="G391" s="29" t="inlineStr">
        <is>
          <t>Roccialiscia</t>
        </is>
      </c>
      <c r="H391" s="29" t="inlineStr">
        <is>
          <t>보송보송바위</t>
        </is>
      </c>
      <c r="I391" s="29" t="inlineStr">
        <is>
          <t>沙沙岩石</t>
        </is>
      </c>
      <c r="J391" s="29">
        <f>I391</f>
        <v/>
      </c>
      <c r="K391" s="29">
        <f>F391</f>
        <v/>
      </c>
    </row>
    <row r="392">
      <c r="A392" s="29">
        <f>CONCATENATE("NAME_ITEM_", SUBSTITUTE(SUBSTITUTE(UPPER(B392), " ", ""), ".", ""))</f>
        <v/>
      </c>
      <c r="B392" s="29" t="inlineStr">
        <is>
          <t>Heat Rock</t>
        </is>
      </c>
      <c r="C392" s="29" t="inlineStr">
        <is>
          <t>あついいわ</t>
        </is>
      </c>
      <c r="D392" s="29" t="inlineStr">
        <is>
          <t>Roche Chaude</t>
        </is>
      </c>
      <c r="E392" s="29" t="inlineStr">
        <is>
          <t>Heißbrocken</t>
        </is>
      </c>
      <c r="F392" s="29" t="inlineStr">
        <is>
          <t>Roca Calor</t>
        </is>
      </c>
      <c r="G392" s="29" t="inlineStr">
        <is>
          <t>Rocciacalda</t>
        </is>
      </c>
      <c r="H392" s="29" t="inlineStr">
        <is>
          <t>뜨거운바위</t>
        </is>
      </c>
      <c r="I392" s="29" t="inlineStr">
        <is>
          <t>熾熱岩石</t>
        </is>
      </c>
      <c r="J392" s="29">
        <f>IFERROR(__xludf.DUMMYFUNCTION("GOOGLETRANSLATE(I392,""zh_HANT"",""zh_HANS"")"),"炽热岩石")</f>
        <v/>
      </c>
      <c r="K392" s="29">
        <f>F392</f>
        <v/>
      </c>
    </row>
    <row r="393">
      <c r="A393" s="29">
        <f>CONCATENATE("NAME_ITEM_", SUBSTITUTE(SUBSTITUTE(UPPER(B393), " ", ""), ".", ""))</f>
        <v/>
      </c>
      <c r="B393" s="29" t="inlineStr">
        <is>
          <t>Damp Rock</t>
        </is>
      </c>
      <c r="C393" s="29" t="inlineStr">
        <is>
          <t>しめったいわ</t>
        </is>
      </c>
      <c r="D393" s="29" t="inlineStr">
        <is>
          <t>Roche Humide</t>
        </is>
      </c>
      <c r="E393" s="29" t="inlineStr">
        <is>
          <t>Nassbrocken</t>
        </is>
      </c>
      <c r="F393" s="29" t="inlineStr">
        <is>
          <t>Roca Lluvia</t>
        </is>
      </c>
      <c r="G393" s="29" t="inlineStr">
        <is>
          <t>Rocciaumida</t>
        </is>
      </c>
      <c r="H393" s="29" t="inlineStr">
        <is>
          <t>축축한바위</t>
        </is>
      </c>
      <c r="I393" s="29" t="inlineStr">
        <is>
          <t>潮濕岩石</t>
        </is>
      </c>
      <c r="J393" s="29">
        <f>IFERROR(__xludf.DUMMYFUNCTION("GOOGLETRANSLATE(I393,""zh_HANT"",""zh_HANS"")"),"潮湿岩石")</f>
        <v/>
      </c>
      <c r="K393" s="29">
        <f>F393</f>
        <v/>
      </c>
    </row>
    <row r="394">
      <c r="A394" s="29">
        <f>CONCATENATE("NAME_ITEM_", SUBSTITUTE(SUBSTITUTE(UPPER(B394), " ", ""), ".", ""))</f>
        <v/>
      </c>
      <c r="B394" s="29" t="inlineStr">
        <is>
          <t>Grip Claw</t>
        </is>
      </c>
      <c r="C394" s="29" t="inlineStr">
        <is>
          <t>ねばりのかぎづめ</t>
        </is>
      </c>
      <c r="D394" s="29" t="inlineStr">
        <is>
          <t>Accro Griffe</t>
        </is>
      </c>
      <c r="E394" s="29" t="inlineStr">
        <is>
          <t>Griffklaue</t>
        </is>
      </c>
      <c r="F394" s="29" t="inlineStr">
        <is>
          <t>Garra Garfio</t>
        </is>
      </c>
      <c r="G394" s="29" t="inlineStr">
        <is>
          <t>Presartigli</t>
        </is>
      </c>
      <c r="H394" s="29" t="inlineStr">
        <is>
          <t>끈기갈고리손톱</t>
        </is>
      </c>
      <c r="I394" s="29" t="inlineStr">
        <is>
          <t>緊纏鈎爪</t>
        </is>
      </c>
      <c r="J394" s="29">
        <f>IFERROR(__xludf.DUMMYFUNCTION("GOOGLETRANSLATE(I394,""zh_HANT"",""zh_HANS"")"),"紧缠钩爪")</f>
        <v/>
      </c>
      <c r="K394" s="29">
        <f>F394</f>
        <v/>
      </c>
    </row>
    <row r="395">
      <c r="A395" s="29">
        <f>CONCATENATE("NAME_ITEM_", SUBSTITUTE(SUBSTITUTE(UPPER(B395), " ", ""), ".", ""))</f>
        <v/>
      </c>
      <c r="B395" s="29" t="inlineStr">
        <is>
          <t>Choice Scarf</t>
        </is>
      </c>
      <c r="C395" s="29" t="inlineStr">
        <is>
          <t>こだわりスカーフ</t>
        </is>
      </c>
      <c r="D395" s="29" t="inlineStr">
        <is>
          <t>Mouchoir Choix</t>
        </is>
      </c>
      <c r="E395" s="29" t="inlineStr">
        <is>
          <t>Wahlschal</t>
        </is>
      </c>
      <c r="F395" s="29" t="inlineStr">
        <is>
          <t>Pañuelo Elegido</t>
        </is>
      </c>
      <c r="G395" s="29" t="inlineStr">
        <is>
          <t>Stolascelta</t>
        </is>
      </c>
      <c r="H395" s="29" t="inlineStr">
        <is>
          <t>구애스카프</t>
        </is>
      </c>
      <c r="I395" s="29" t="inlineStr">
        <is>
          <t>講究圍巾</t>
        </is>
      </c>
      <c r="J395" s="29">
        <f>IFERROR(__xludf.DUMMYFUNCTION("GOOGLETRANSLATE(I395,""zh_HANT"",""zh_HANS"")"),"讲究围巾")</f>
        <v/>
      </c>
      <c r="K395" s="29">
        <f>F395</f>
        <v/>
      </c>
    </row>
    <row r="396">
      <c r="A396" s="29">
        <f>CONCATENATE("NAME_ITEM_", SUBSTITUTE(SUBSTITUTE(UPPER(B396), " ", ""), ".", ""))</f>
        <v/>
      </c>
      <c r="B396" s="29" t="inlineStr">
        <is>
          <t>Sticky Barb</t>
        </is>
      </c>
      <c r="C396" s="29" t="inlineStr">
        <is>
          <t>くっつきバリ</t>
        </is>
      </c>
      <c r="D396" s="29" t="inlineStr">
        <is>
          <t>Piquants</t>
        </is>
      </c>
      <c r="E396" s="29" t="inlineStr">
        <is>
          <t>Klettdorn</t>
        </is>
      </c>
      <c r="F396" s="29" t="inlineStr">
        <is>
          <t>Toxiestrella</t>
        </is>
      </c>
      <c r="G396" s="29" t="inlineStr">
        <is>
          <t>Vischiopunta</t>
        </is>
      </c>
      <c r="H396" s="29" t="inlineStr">
        <is>
          <t>끈적끈적바늘</t>
        </is>
      </c>
      <c r="I396" s="29" t="inlineStr">
        <is>
          <t>附著針</t>
        </is>
      </c>
      <c r="J396" s="29">
        <f>IFERROR(__xludf.DUMMYFUNCTION("GOOGLETRANSLATE(I396,""zh_HANT"",""zh_HANS"")"),"附着针")</f>
        <v/>
      </c>
      <c r="K396" s="29">
        <f>F396</f>
        <v/>
      </c>
    </row>
    <row r="397">
      <c r="A397" s="29">
        <f>CONCATENATE("NAME_ITEM_", SUBSTITUTE(SUBSTITUTE(UPPER(B397), " ", ""), ".", ""))</f>
        <v/>
      </c>
      <c r="B397" s="29" t="inlineStr">
        <is>
          <t>Power Bracer</t>
        </is>
      </c>
      <c r="C397" s="29" t="inlineStr">
        <is>
          <t>パワーリスト</t>
        </is>
      </c>
      <c r="D397" s="29" t="inlineStr">
        <is>
          <t>Poignée Pouvoir</t>
        </is>
      </c>
      <c r="E397" s="29" t="inlineStr">
        <is>
          <t>Machtreif</t>
        </is>
      </c>
      <c r="F397" s="29" t="inlineStr">
        <is>
          <t>Brazal Recio</t>
        </is>
      </c>
      <c r="G397" s="29" t="inlineStr">
        <is>
          <t>Vigorcerchio</t>
        </is>
      </c>
      <c r="H397" s="29" t="inlineStr">
        <is>
          <t>파워리스트</t>
        </is>
      </c>
      <c r="I397" s="29" t="inlineStr">
        <is>
          <t>力量護腕</t>
        </is>
      </c>
      <c r="J397" s="29">
        <f>IFERROR(__xludf.DUMMYFUNCTION("GOOGLETRANSLATE(I397,""zh_HANT"",""zh_HANS"")"),"力量护腕")</f>
        <v/>
      </c>
      <c r="K397" s="29">
        <f>F397</f>
        <v/>
      </c>
    </row>
    <row r="398">
      <c r="A398" s="29">
        <f>CONCATENATE("NAME_ITEM_", SUBSTITUTE(SUBSTITUTE(UPPER(B398), " ", ""), ".", ""))</f>
        <v/>
      </c>
      <c r="B398" s="29" t="inlineStr">
        <is>
          <t>Power Belt</t>
        </is>
      </c>
      <c r="C398" s="29" t="inlineStr">
        <is>
          <t>パワーベルト</t>
        </is>
      </c>
      <c r="D398" s="29" t="inlineStr">
        <is>
          <t>Ceinture Pouvoir</t>
        </is>
      </c>
      <c r="E398" s="29" t="inlineStr">
        <is>
          <t>Machtgurt</t>
        </is>
      </c>
      <c r="F398" s="29" t="inlineStr">
        <is>
          <t>Cinto Recio</t>
        </is>
      </c>
      <c r="G398" s="29" t="inlineStr">
        <is>
          <t>Vigorfascia</t>
        </is>
      </c>
      <c r="H398" s="29" t="inlineStr">
        <is>
          <t>파워벨트</t>
        </is>
      </c>
      <c r="I398" s="29" t="inlineStr">
        <is>
          <t>力量腰帶</t>
        </is>
      </c>
      <c r="J398" s="29">
        <f>IFERROR(__xludf.DUMMYFUNCTION("GOOGLETRANSLATE(I398,""zh_HANT"",""zh_HANS"")"),"力量腰带")</f>
        <v/>
      </c>
      <c r="K398" s="29">
        <f>F398</f>
        <v/>
      </c>
    </row>
    <row r="399">
      <c r="A399" s="29">
        <f>CONCATENATE("NAME_ITEM_", SUBSTITUTE(SUBSTITUTE(UPPER(B399), " ", ""), ".", ""))</f>
        <v/>
      </c>
      <c r="B399" s="29" t="inlineStr">
        <is>
          <t>Power Lens</t>
        </is>
      </c>
      <c r="C399" s="29" t="inlineStr">
        <is>
          <t>パワーレンズ</t>
        </is>
      </c>
      <c r="D399" s="29" t="inlineStr">
        <is>
          <t>Lentille Pouvoir</t>
        </is>
      </c>
      <c r="E399" s="29" t="inlineStr">
        <is>
          <t>Machtlinse</t>
        </is>
      </c>
      <c r="F399" s="29" t="inlineStr">
        <is>
          <t>Lente Recia</t>
        </is>
      </c>
      <c r="G399" s="29" t="inlineStr">
        <is>
          <t>Vigorlente</t>
        </is>
      </c>
      <c r="H399" s="29" t="inlineStr">
        <is>
          <t>파워렌즈</t>
        </is>
      </c>
      <c r="I399" s="29" t="inlineStr">
        <is>
          <t>力量鏡</t>
        </is>
      </c>
      <c r="J399" s="29">
        <f>IFERROR(__xludf.DUMMYFUNCTION("GOOGLETRANSLATE(I399,""zh_HANT"",""zh_HANS"")"),"力量镜")</f>
        <v/>
      </c>
      <c r="K399" s="29">
        <f>F399</f>
        <v/>
      </c>
    </row>
    <row r="400">
      <c r="A400" s="29">
        <f>CONCATENATE("NAME_ITEM_", SUBSTITUTE(SUBSTITUTE(UPPER(B400), " ", ""), ".", ""))</f>
        <v/>
      </c>
      <c r="B400" s="29" t="inlineStr">
        <is>
          <t>Power Band</t>
        </is>
      </c>
      <c r="C400" s="29" t="inlineStr">
        <is>
          <t>パワーバンド</t>
        </is>
      </c>
      <c r="D400" s="29" t="inlineStr">
        <is>
          <t>Bandeau Pouvoir</t>
        </is>
      </c>
      <c r="E400" s="29" t="inlineStr">
        <is>
          <t>Machtband</t>
        </is>
      </c>
      <c r="F400" s="29" t="inlineStr">
        <is>
          <t>Banda Recia</t>
        </is>
      </c>
      <c r="G400" s="29" t="inlineStr">
        <is>
          <t>Vigorbanda</t>
        </is>
      </c>
      <c r="H400" s="29" t="inlineStr">
        <is>
          <t>파워밴드</t>
        </is>
      </c>
      <c r="I400" s="29" t="inlineStr">
        <is>
          <t>力量束帶</t>
        </is>
      </c>
      <c r="J400" s="29">
        <f>IFERROR(__xludf.DUMMYFUNCTION("GOOGLETRANSLATE(I400,""zh_HANT"",""zh_HANS"")"),"力量束带")</f>
        <v/>
      </c>
      <c r="K400" s="29">
        <f>F400</f>
        <v/>
      </c>
    </row>
    <row r="401">
      <c r="A401" s="29">
        <f>CONCATENATE("NAME_ITEM_", SUBSTITUTE(SUBSTITUTE(UPPER(B401), " ", ""), ".", ""))</f>
        <v/>
      </c>
      <c r="B401" s="29" t="inlineStr">
        <is>
          <t>Power Anklet</t>
        </is>
      </c>
      <c r="C401" s="29" t="inlineStr">
        <is>
          <t>パワーアンクル</t>
        </is>
      </c>
      <c r="D401" s="29" t="inlineStr">
        <is>
          <t>Chaîne Pouvoir</t>
        </is>
      </c>
      <c r="E401" s="29" t="inlineStr">
        <is>
          <t>Machtkette</t>
        </is>
      </c>
      <c r="F401" s="29" t="inlineStr">
        <is>
          <t>Franja Recia</t>
        </is>
      </c>
      <c r="G401" s="29" t="inlineStr">
        <is>
          <t>Vigorgliera</t>
        </is>
      </c>
      <c r="H401" s="29" t="inlineStr">
        <is>
          <t>파워앵클릿</t>
        </is>
      </c>
      <c r="I401" s="29" t="inlineStr">
        <is>
          <t>力量護踝</t>
        </is>
      </c>
      <c r="J401" s="29">
        <f>IFERROR(__xludf.DUMMYFUNCTION("GOOGLETRANSLATE(I401,""zh_HANT"",""zh_HANS"")"),"力量护踝")</f>
        <v/>
      </c>
      <c r="K401" s="29">
        <f>F401</f>
        <v/>
      </c>
    </row>
    <row r="402">
      <c r="A402" s="29">
        <f>CONCATENATE("NAME_ITEM_", SUBSTITUTE(SUBSTITUTE(UPPER(B402), " ", ""), ".", ""))</f>
        <v/>
      </c>
      <c r="B402" s="29" t="inlineStr">
        <is>
          <t>Power Weight</t>
        </is>
      </c>
      <c r="C402" s="29" t="inlineStr">
        <is>
          <t>パワーウエイト</t>
        </is>
      </c>
      <c r="D402" s="29" t="inlineStr">
        <is>
          <t>Poids Pouvoir</t>
        </is>
      </c>
      <c r="E402" s="29" t="inlineStr">
        <is>
          <t>Machtgewicht</t>
        </is>
      </c>
      <c r="F402" s="29" t="inlineStr">
        <is>
          <t>Pesa Recia</t>
        </is>
      </c>
      <c r="G402" s="29" t="inlineStr">
        <is>
          <t>Vigorpeso</t>
        </is>
      </c>
      <c r="H402" s="29" t="inlineStr">
        <is>
          <t>파워웨이트</t>
        </is>
      </c>
      <c r="I402" s="29" t="inlineStr">
        <is>
          <t>力量負重</t>
        </is>
      </c>
      <c r="J402" s="29">
        <f>IFERROR(__xludf.DUMMYFUNCTION("GOOGLETRANSLATE(I402,""zh_HANT"",""zh_HANS"")"),"力量负重")</f>
        <v/>
      </c>
      <c r="K402" s="29">
        <f>F402</f>
        <v/>
      </c>
    </row>
    <row r="403">
      <c r="A403" s="29">
        <f>CONCATENATE("NAME_ITEM_", SUBSTITUTE(SUBSTITUTE(UPPER(B403), " ", ""), ".", ""))</f>
        <v/>
      </c>
      <c r="B403" s="29" t="inlineStr">
        <is>
          <t>Shed Shell</t>
        </is>
      </c>
      <c r="C403" s="29" t="inlineStr">
        <is>
          <t>きれいなぬけがら</t>
        </is>
      </c>
      <c r="D403" s="29" t="inlineStr">
        <is>
          <t>Carapace Mue</t>
        </is>
      </c>
      <c r="E403" s="29" t="inlineStr">
        <is>
          <t>Wechselhülle</t>
        </is>
      </c>
      <c r="F403" s="29" t="inlineStr">
        <is>
          <t>Muda Concha</t>
        </is>
      </c>
      <c r="G403" s="29" t="inlineStr">
        <is>
          <t>Disfoguscio</t>
        </is>
      </c>
      <c r="H403" s="29" t="inlineStr">
        <is>
          <t>아름다운허물</t>
        </is>
      </c>
      <c r="I403" s="29" t="inlineStr">
        <is>
          <t>美麗空殼</t>
        </is>
      </c>
      <c r="J403" s="29">
        <f>IFERROR(__xludf.DUMMYFUNCTION("GOOGLETRANSLATE(I403,""zh_HANT"",""zh_HANS"")"),"美丽空壳")</f>
        <v/>
      </c>
      <c r="K403" s="29">
        <f>F403</f>
        <v/>
      </c>
    </row>
    <row r="404">
      <c r="A404" s="29">
        <f>CONCATENATE("NAME_ITEM_", SUBSTITUTE(SUBSTITUTE(UPPER(B404), " ", ""), ".", ""))</f>
        <v/>
      </c>
      <c r="B404" s="29" t="inlineStr">
        <is>
          <t>Big Root</t>
        </is>
      </c>
      <c r="C404" s="29" t="inlineStr">
        <is>
          <t>おおきなねっこ</t>
        </is>
      </c>
      <c r="D404" s="29" t="inlineStr">
        <is>
          <t>Grosse Racine</t>
        </is>
      </c>
      <c r="E404" s="29" t="inlineStr">
        <is>
          <t>Großwurzel</t>
        </is>
      </c>
      <c r="F404" s="29" t="inlineStr">
        <is>
          <t>Raíz Grande</t>
        </is>
      </c>
      <c r="G404" s="29" t="inlineStr">
        <is>
          <t>Granradice</t>
        </is>
      </c>
      <c r="H404" s="29" t="inlineStr">
        <is>
          <t>큰뿌리</t>
        </is>
      </c>
      <c r="I404" s="29" t="inlineStr">
        <is>
          <t>大根莖</t>
        </is>
      </c>
      <c r="J404" s="29">
        <f>IFERROR(__xludf.DUMMYFUNCTION("GOOGLETRANSLATE(I404,""zh_HANT"",""zh_HANS"")"),"大根茎")</f>
        <v/>
      </c>
      <c r="K404" s="29">
        <f>F404</f>
        <v/>
      </c>
    </row>
    <row r="405">
      <c r="A405" s="29">
        <f>CONCATENATE("NAME_ITEM_", SUBSTITUTE(SUBSTITUTE(UPPER(B405), " ", ""), ".", ""))</f>
        <v/>
      </c>
      <c r="B405" s="29" t="inlineStr">
        <is>
          <t>Choice Specs</t>
        </is>
      </c>
      <c r="C405" s="29" t="inlineStr">
        <is>
          <t>こだわりメガネ</t>
        </is>
      </c>
      <c r="D405" s="29" t="inlineStr">
        <is>
          <t>Lunettes Choix</t>
        </is>
      </c>
      <c r="E405" s="29" t="inlineStr">
        <is>
          <t>Wahlglas</t>
        </is>
      </c>
      <c r="F405" s="29" t="inlineStr">
        <is>
          <t>Gafas Elegid</t>
        </is>
      </c>
      <c r="G405" s="29" t="inlineStr">
        <is>
          <t>Lentiscelta</t>
        </is>
      </c>
      <c r="H405" s="29" t="inlineStr">
        <is>
          <t>구애안경</t>
        </is>
      </c>
      <c r="I405" s="29" t="inlineStr">
        <is>
          <t>講究眼鏡</t>
        </is>
      </c>
      <c r="J405" s="29">
        <f>IFERROR(__xludf.DUMMYFUNCTION("GOOGLETRANSLATE(I405,""zh_HANT"",""zh_HANS"")"),"讲究眼镜")</f>
        <v/>
      </c>
      <c r="K405" s="29">
        <f>F405</f>
        <v/>
      </c>
    </row>
    <row r="406">
      <c r="A406" s="29">
        <f>CONCATENATE("NAME_ITEM_", SUBSTITUTE(SUBSTITUTE(UPPER(B406), " ", ""), ".", ""))</f>
        <v/>
      </c>
      <c r="B406" s="29" t="inlineStr">
        <is>
          <t>Douse Drive</t>
        </is>
      </c>
      <c r="C406" s="29" t="inlineStr">
        <is>
          <t>アクアカセット</t>
        </is>
      </c>
      <c r="D406" s="29" t="inlineStr">
        <is>
          <t>Module Aqua</t>
        </is>
      </c>
      <c r="E406" s="29" t="inlineStr">
        <is>
          <t>Aquamodul</t>
        </is>
      </c>
      <c r="F406" s="29" t="inlineStr">
        <is>
          <t>HidroROM</t>
        </is>
      </c>
      <c r="G406" s="29" t="inlineStr">
        <is>
          <t>Idromodulo</t>
        </is>
      </c>
      <c r="H406" s="29" t="inlineStr">
        <is>
          <t>아쿠아카세트</t>
        </is>
      </c>
      <c r="I406" s="29" t="inlineStr">
        <is>
          <t>水流卡帶</t>
        </is>
      </c>
      <c r="J406" s="29">
        <f>IFERROR(__xludf.DUMMYFUNCTION("GOOGLETRANSLATE(I406,""zh_HANT"",""zh_HANS"")"),"水流卡带")</f>
        <v/>
      </c>
      <c r="K406" s="29">
        <f>F406</f>
        <v/>
      </c>
    </row>
    <row r="407">
      <c r="A407" s="29">
        <f>CONCATENATE("NAME_ITEM_", SUBSTITUTE(SUBSTITUTE(UPPER(B407), " ", ""), ".", ""))</f>
        <v/>
      </c>
      <c r="B407" s="29" t="inlineStr">
        <is>
          <t>Shock Drive</t>
        </is>
      </c>
      <c r="C407" s="29" t="inlineStr">
        <is>
          <t>イナズマカセット</t>
        </is>
      </c>
      <c r="D407" s="29" t="inlineStr">
        <is>
          <t>Module Choc</t>
        </is>
      </c>
      <c r="E407" s="29" t="inlineStr">
        <is>
          <t>Blitzmodul</t>
        </is>
      </c>
      <c r="F407" s="29" t="inlineStr">
        <is>
          <t>FulgoROM</t>
        </is>
      </c>
      <c r="G407" s="29" t="inlineStr">
        <is>
          <t>Voltmodulo</t>
        </is>
      </c>
      <c r="H407" s="29" t="inlineStr">
        <is>
          <t>번개카세트</t>
        </is>
      </c>
      <c r="I407" s="29" t="inlineStr">
        <is>
          <t>閃電卡帶</t>
        </is>
      </c>
      <c r="J407" s="29">
        <f>IFERROR(__xludf.DUMMYFUNCTION("GOOGLETRANSLATE(I407,""zh_HANT"",""zh_HANS"")"),"闪电卡带")</f>
        <v/>
      </c>
      <c r="K407" s="29">
        <f>F407</f>
        <v/>
      </c>
    </row>
    <row r="408">
      <c r="A408" s="29">
        <f>CONCATENATE("NAME_ITEM_", SUBSTITUTE(SUBSTITUTE(UPPER(B408), " ", ""), ".", ""))</f>
        <v/>
      </c>
      <c r="B408" s="29" t="inlineStr">
        <is>
          <t>Burn Drive</t>
        </is>
      </c>
      <c r="C408" s="29" t="inlineStr">
        <is>
          <t>ブレイズカセット</t>
        </is>
      </c>
      <c r="D408" s="29" t="inlineStr">
        <is>
          <t>Module Pyro</t>
        </is>
      </c>
      <c r="E408" s="29" t="inlineStr">
        <is>
          <t>Flammenmodul</t>
        </is>
      </c>
      <c r="F408" s="29" t="inlineStr">
        <is>
          <t>PiroROM</t>
        </is>
      </c>
      <c r="G408" s="29" t="inlineStr">
        <is>
          <t>Piromodulo</t>
        </is>
      </c>
      <c r="H408" s="29" t="inlineStr">
        <is>
          <t>블레이즈카세트</t>
        </is>
      </c>
      <c r="I408" s="29" t="inlineStr">
        <is>
          <t>火焰卡帶</t>
        </is>
      </c>
      <c r="J408" s="29">
        <f>IFERROR(__xludf.DUMMYFUNCTION("GOOGLETRANSLATE(I408,""zh_HANT"",""zh_HANS"")"),"火焰卡带")</f>
        <v/>
      </c>
      <c r="K408" s="29">
        <f>F408</f>
        <v/>
      </c>
    </row>
    <row r="409">
      <c r="A409" s="29">
        <f>CONCATENATE("NAME_ITEM_", SUBSTITUTE(SUBSTITUTE(UPPER(B409), " ", ""), ".", ""))</f>
        <v/>
      </c>
      <c r="B409" s="29" t="inlineStr">
        <is>
          <t>Chill Drive</t>
        </is>
      </c>
      <c r="C409" s="29" t="inlineStr">
        <is>
          <t>フリーズカセット</t>
        </is>
      </c>
      <c r="D409" s="29" t="inlineStr">
        <is>
          <t>Module Cryo</t>
        </is>
      </c>
      <c r="E409" s="29" t="inlineStr">
        <is>
          <t>Gefriermodul</t>
        </is>
      </c>
      <c r="F409" s="29" t="inlineStr">
        <is>
          <t>CrioROM</t>
        </is>
      </c>
      <c r="G409" s="29" t="inlineStr">
        <is>
          <t>Gelomodulo</t>
        </is>
      </c>
      <c r="H409" s="29" t="inlineStr">
        <is>
          <t>프리즈카세트</t>
        </is>
      </c>
      <c r="I409" s="29" t="inlineStr">
        <is>
          <t>冰凍卡帶</t>
        </is>
      </c>
      <c r="J409" s="29">
        <f>IFERROR(__xludf.DUMMYFUNCTION("GOOGLETRANSLATE(I409,""zh_HANT"",""zh_HANS"")"),"冰冻卡带")</f>
        <v/>
      </c>
      <c r="K409" s="29">
        <f>F409</f>
        <v/>
      </c>
    </row>
    <row r="410">
      <c r="A410" s="29">
        <f>CONCATENATE("NAME_ITEM_", SUBSTITUTE(SUBSTITUTE(UPPER(B410), " ", ""), ".", ""))</f>
        <v/>
      </c>
      <c r="B410" s="29" t="inlineStr">
        <is>
          <t>Prism Scale</t>
        </is>
      </c>
      <c r="C410" s="29" t="inlineStr">
        <is>
          <t>きれいなウロコ</t>
        </is>
      </c>
      <c r="D410" s="29" t="inlineStr">
        <is>
          <t>Bel'Écaille</t>
        </is>
      </c>
      <c r="E410" s="29" t="inlineStr">
        <is>
          <t>Schönschuppe</t>
        </is>
      </c>
      <c r="F410" s="29" t="inlineStr">
        <is>
          <t>Escama Bella</t>
        </is>
      </c>
      <c r="G410" s="29" t="inlineStr">
        <is>
          <t>Squama Bella</t>
        </is>
      </c>
      <c r="H410" s="29" t="inlineStr">
        <is>
          <t>고운비늘</t>
        </is>
      </c>
      <c r="I410" s="29" t="inlineStr">
        <is>
          <t>美麗鱗片</t>
        </is>
      </c>
      <c r="J410" s="29">
        <f>IFERROR(__xludf.DUMMYFUNCTION("GOOGLETRANSLATE(I410,""zh_HANT"",""zh_HANS"")"),"美丽鳞片")</f>
        <v/>
      </c>
      <c r="K410" s="29">
        <f>F410</f>
        <v/>
      </c>
    </row>
    <row r="411">
      <c r="A411" s="29">
        <f>CONCATENATE("NAME_ITEM_", SUBSTITUTE(SUBSTITUTE(UPPER(B411), " ", ""), ".", ""))</f>
        <v/>
      </c>
      <c r="B411" s="29" t="inlineStr">
        <is>
          <t>Eviolite</t>
        </is>
      </c>
      <c r="C411" s="29" t="inlineStr">
        <is>
          <t>しんかのきせき</t>
        </is>
      </c>
      <c r="D411" s="29" t="inlineStr">
        <is>
          <t>Évoluroc</t>
        </is>
      </c>
      <c r="E411" s="29" t="inlineStr">
        <is>
          <t>Evolith</t>
        </is>
      </c>
      <c r="F411" s="29" t="inlineStr">
        <is>
          <t>Mineral Evol</t>
        </is>
      </c>
      <c r="G411" s="29" t="inlineStr">
        <is>
          <t>Evolcondensa</t>
        </is>
      </c>
      <c r="H411" s="29" t="inlineStr">
        <is>
          <t>진화의 휘석</t>
        </is>
      </c>
      <c r="I411" s="29" t="inlineStr">
        <is>
          <t>進化奇石</t>
        </is>
      </c>
      <c r="J411" s="29">
        <f>IFERROR(__xludf.DUMMYFUNCTION("GOOGLETRANSLATE(I411,""zh_HANT"",""zh_HANS"")"),"进化奇石")</f>
        <v/>
      </c>
      <c r="K411" s="29">
        <f>F411</f>
        <v/>
      </c>
    </row>
    <row r="412">
      <c r="A412" s="29">
        <f>CONCATENATE("NAME_ITEM_", SUBSTITUTE(SUBSTITUTE(UPPER(B412), " ", ""), ".", ""))</f>
        <v/>
      </c>
      <c r="B412" s="29" t="inlineStr">
        <is>
          <t>Float Stone</t>
        </is>
      </c>
      <c r="C412" s="29" t="inlineStr">
        <is>
          <t>かるいし</t>
        </is>
      </c>
      <c r="D412" s="29" t="inlineStr">
        <is>
          <t>Pierrallégée</t>
        </is>
      </c>
      <c r="E412" s="29" t="inlineStr">
        <is>
          <t>Leichtstein</t>
        </is>
      </c>
      <c r="F412" s="29" t="inlineStr">
        <is>
          <t>Piedra Pómez</t>
        </is>
      </c>
      <c r="G412" s="29" t="inlineStr">
        <is>
          <t>Pietralieve</t>
        </is>
      </c>
      <c r="H412" s="29" t="inlineStr">
        <is>
          <t>가벼운돌</t>
        </is>
      </c>
      <c r="I412" s="29" t="inlineStr">
        <is>
          <t>輕石</t>
        </is>
      </c>
      <c r="J412" s="29">
        <f>IFERROR(__xludf.DUMMYFUNCTION("GOOGLETRANSLATE(I412,""zh_HANT"",""zh_HANS"")"),"轻石")</f>
        <v/>
      </c>
      <c r="K412" s="29">
        <f>F412</f>
        <v/>
      </c>
    </row>
    <row r="413">
      <c r="A413" s="29">
        <f>CONCATENATE("NAME_ITEM_", SUBSTITUTE(SUBSTITUTE(UPPER(B413), " ", ""), ".", ""))</f>
        <v/>
      </c>
      <c r="B413" s="29" t="inlineStr">
        <is>
          <t>Rocky Helmet</t>
        </is>
      </c>
      <c r="C413" s="29" t="inlineStr">
        <is>
          <t>ゲツゲツメット</t>
        </is>
      </c>
      <c r="D413" s="29" t="inlineStr">
        <is>
          <t>Casque Brut</t>
        </is>
      </c>
      <c r="E413" s="29" t="inlineStr">
        <is>
          <t>Beulenhelm</t>
        </is>
      </c>
      <c r="F413" s="29" t="inlineStr">
        <is>
          <t>Casco Dentado</t>
        </is>
      </c>
      <c r="G413" s="29" t="inlineStr">
        <is>
          <t>Bitorzolelmo</t>
        </is>
      </c>
      <c r="H413" s="29" t="inlineStr">
        <is>
          <t>울퉁불퉁멧</t>
        </is>
      </c>
      <c r="I413" s="29" t="inlineStr">
        <is>
          <t>凸凸頭盔</t>
        </is>
      </c>
      <c r="J413" s="29">
        <f>IFERROR(__xludf.DUMMYFUNCTION("GOOGLETRANSLATE(I413,""zh_HANT"",""zh_HANS"")"),"凸凸头盔")</f>
        <v/>
      </c>
      <c r="K413" s="29">
        <f>F413</f>
        <v/>
      </c>
    </row>
    <row r="414">
      <c r="A414" s="29">
        <f>CONCATENATE("NAME_ITEM_", SUBSTITUTE(SUBSTITUTE(UPPER(B414), " ", ""), ".", ""))</f>
        <v/>
      </c>
      <c r="B414" s="29" t="inlineStr">
        <is>
          <t>Air Balloon</t>
        </is>
      </c>
      <c r="C414" s="29" t="inlineStr">
        <is>
          <t>ふうせん</t>
        </is>
      </c>
      <c r="D414" s="29" t="inlineStr">
        <is>
          <t>Ballon</t>
        </is>
      </c>
      <c r="E414" s="29" t="inlineStr">
        <is>
          <t>Luftballoon</t>
        </is>
      </c>
      <c r="F414" s="29" t="inlineStr">
        <is>
          <t>Globo Helio</t>
        </is>
      </c>
      <c r="G414" s="29" t="inlineStr">
        <is>
          <t>Palloncino</t>
        </is>
      </c>
      <c r="H414" s="29" t="inlineStr">
        <is>
          <t>풍선</t>
        </is>
      </c>
      <c r="I414" s="29" t="inlineStr">
        <is>
          <t>氣球</t>
        </is>
      </c>
      <c r="J414" s="29">
        <f>IFERROR(__xludf.DUMMYFUNCTION("GOOGLETRANSLATE(I414,""zh_HANT"",""zh_HANS"")"),"气球")</f>
        <v/>
      </c>
      <c r="K414" s="29">
        <f>F414</f>
        <v/>
      </c>
    </row>
    <row r="415">
      <c r="A415" s="29">
        <f>CONCATENATE("NAME_ITEM_", SUBSTITUTE(SUBSTITUTE(UPPER(B415), " ", ""), ".", ""))</f>
        <v/>
      </c>
      <c r="B415" s="29" t="inlineStr">
        <is>
          <t>Red Card</t>
        </is>
      </c>
      <c r="C415" s="29" t="inlineStr">
        <is>
          <t>レッドカード</t>
        </is>
      </c>
      <c r="D415" s="29" t="inlineStr">
        <is>
          <t>Carton Rouge</t>
        </is>
      </c>
      <c r="E415" s="29" t="inlineStr">
        <is>
          <t>Rote Karte</t>
        </is>
      </c>
      <c r="F415" s="29" t="inlineStr">
        <is>
          <t>Tarjeta Roja</t>
        </is>
      </c>
      <c r="G415" s="29" t="inlineStr">
        <is>
          <t>Cartelrosso</t>
        </is>
      </c>
      <c r="H415" s="29" t="inlineStr">
        <is>
          <t>레드카드</t>
        </is>
      </c>
      <c r="I415" s="29" t="inlineStr">
        <is>
          <t>紅牌</t>
        </is>
      </c>
      <c r="J415" s="29">
        <f>IFERROR(__xludf.DUMMYFUNCTION("GOOGLETRANSLATE(I415,""zh_HANT"",""zh_HANS"")"),"红牌")</f>
        <v/>
      </c>
      <c r="K415" s="29">
        <f>F415</f>
        <v/>
      </c>
    </row>
    <row r="416">
      <c r="A416" s="29">
        <f>CONCATENATE("NAME_ITEM_", SUBSTITUTE(SUBSTITUTE(UPPER(B416), " ", ""), ".", ""))</f>
        <v/>
      </c>
      <c r="B416" s="29" t="inlineStr">
        <is>
          <t>Ring Target</t>
        </is>
      </c>
      <c r="C416" s="29" t="inlineStr">
        <is>
          <t>ねらいのまと</t>
        </is>
      </c>
      <c r="D416" s="29" t="inlineStr">
        <is>
          <t>Point de Mire</t>
        </is>
      </c>
      <c r="E416" s="29" t="inlineStr">
        <is>
          <t>Zielscheibe</t>
        </is>
      </c>
      <c r="F416" s="29" t="inlineStr">
        <is>
          <t>Blanco</t>
        </is>
      </c>
      <c r="G416" s="29" t="inlineStr">
        <is>
          <t>Facilsaglio</t>
        </is>
      </c>
      <c r="H416" s="29" t="inlineStr">
        <is>
          <t>겨냥표적</t>
        </is>
      </c>
      <c r="I416" s="29" t="inlineStr">
        <is>
          <t>標靶</t>
        </is>
      </c>
      <c r="J416" s="29">
        <f>IFERROR(__xludf.DUMMYFUNCTION("GOOGLETRANSLATE(I416,""zh_HANT"",""zh_HANS"")"),"标靶")</f>
        <v/>
      </c>
      <c r="K416" s="29">
        <f>F416</f>
        <v/>
      </c>
    </row>
    <row r="417">
      <c r="A417" s="29">
        <f>CONCATENATE("NAME_ITEM_", SUBSTITUTE(SUBSTITUTE(UPPER(B417), " ", ""), ".", ""))</f>
        <v/>
      </c>
      <c r="B417" s="29" t="inlineStr">
        <is>
          <t>Binding Band</t>
        </is>
      </c>
      <c r="C417" s="29" t="inlineStr">
        <is>
          <t>しめつけバンド</t>
        </is>
      </c>
      <c r="D417" s="29" t="inlineStr">
        <is>
          <t>Bande Étreinte</t>
        </is>
      </c>
      <c r="E417" s="29" t="inlineStr">
        <is>
          <t>Klammerband</t>
        </is>
      </c>
      <c r="F417" s="29" t="inlineStr">
        <is>
          <t>Banda Atadura</t>
        </is>
      </c>
      <c r="G417" s="29" t="inlineStr">
        <is>
          <t>Legafascia</t>
        </is>
      </c>
      <c r="H417" s="29" t="inlineStr">
        <is>
          <t>조임밴드</t>
        </is>
      </c>
      <c r="I417" s="29" t="inlineStr">
        <is>
          <t>緊綁束帶</t>
        </is>
      </c>
      <c r="J417" s="29">
        <f>IFERROR(__xludf.DUMMYFUNCTION("GOOGLETRANSLATE(I417,""zh_HANT"",""zh_HANS"")"),"紧绑束带")</f>
        <v/>
      </c>
      <c r="K417" s="29">
        <f>F417</f>
        <v/>
      </c>
    </row>
    <row r="418">
      <c r="A418" s="29">
        <f>CONCATENATE("NAME_ITEM_", SUBSTITUTE(SUBSTITUTE(UPPER(B418), " ", ""), ".", ""))</f>
        <v/>
      </c>
      <c r="B418" s="29" t="inlineStr">
        <is>
          <t>Absorb Bulb</t>
        </is>
      </c>
      <c r="C418" s="29" t="inlineStr">
        <is>
          <t>きゅうこん</t>
        </is>
      </c>
      <c r="D418" s="29" t="inlineStr">
        <is>
          <t>Bulbe</t>
        </is>
      </c>
      <c r="E418" s="29" t="inlineStr">
        <is>
          <t>Knolle</t>
        </is>
      </c>
      <c r="F418" s="29" t="inlineStr">
        <is>
          <t>Tubérculo</t>
        </is>
      </c>
      <c r="G418" s="29" t="inlineStr">
        <is>
          <t>Bulbo</t>
        </is>
      </c>
      <c r="H418" s="29" t="inlineStr">
        <is>
          <t>구근</t>
        </is>
      </c>
      <c r="I418" s="29" t="inlineStr">
        <is>
          <t>球根</t>
        </is>
      </c>
      <c r="J418" s="29">
        <f>I418</f>
        <v/>
      </c>
      <c r="K418" s="29">
        <f>F418</f>
        <v/>
      </c>
    </row>
    <row r="419">
      <c r="A419" s="29">
        <f>CONCATENATE("NAME_ITEM_", SUBSTITUTE(SUBSTITUTE(UPPER(B419), " ", ""), ".", ""))</f>
        <v/>
      </c>
      <c r="B419" s="29" t="inlineStr">
        <is>
          <t>Cell Battery</t>
        </is>
      </c>
      <c r="C419" s="29" t="inlineStr">
        <is>
          <t>じゅうでんち</t>
        </is>
      </c>
      <c r="D419" s="29" t="inlineStr">
        <is>
          <t>Pile</t>
        </is>
      </c>
      <c r="E419" s="29" t="inlineStr">
        <is>
          <t>Akku</t>
        </is>
      </c>
      <c r="F419" s="29" t="inlineStr">
        <is>
          <t>Pila</t>
        </is>
      </c>
      <c r="G419" s="29" t="inlineStr">
        <is>
          <t>Ricaripila</t>
        </is>
      </c>
      <c r="H419" s="29" t="inlineStr">
        <is>
          <t>충전지</t>
        </is>
      </c>
      <c r="I419" s="29" t="inlineStr">
        <is>
          <t>充電電池</t>
        </is>
      </c>
      <c r="J419" s="29">
        <f>IFERROR(__xludf.DUMMYFUNCTION("GOOGLETRANSLATE(I419,""zh_HANT"",""zh_HANS"")"),"充电电池")</f>
        <v/>
      </c>
      <c r="K419" s="29">
        <f>F419</f>
        <v/>
      </c>
    </row>
    <row r="420">
      <c r="A420" s="29">
        <f>CONCATENATE("NAME_ITEM_", SUBSTITUTE(SUBSTITUTE(UPPER(B420), " ", ""), ".", ""))</f>
        <v/>
      </c>
      <c r="B420" s="29" t="inlineStr">
        <is>
          <t>Eject Button</t>
        </is>
      </c>
      <c r="C420" s="29" t="inlineStr">
        <is>
          <t>だっしゅつボダン</t>
        </is>
      </c>
      <c r="D420" s="29" t="inlineStr">
        <is>
          <t>Bouton Futie</t>
        </is>
      </c>
      <c r="E420" s="29" t="inlineStr">
        <is>
          <t>Fluchtknopf</t>
        </is>
      </c>
      <c r="F420" s="29" t="inlineStr">
        <is>
          <t>Botón Escape</t>
        </is>
      </c>
      <c r="G420" s="29" t="inlineStr">
        <is>
          <t>Pulsantefuga</t>
        </is>
      </c>
      <c r="H420" s="29" t="inlineStr">
        <is>
          <t>탈출버튼</t>
        </is>
      </c>
      <c r="I420" s="29" t="inlineStr">
        <is>
          <t>逃脫按鍵</t>
        </is>
      </c>
      <c r="J420" s="29">
        <f>IFERROR(__xludf.DUMMYFUNCTION("GOOGLETRANSLATE(I420,""zh_HANT"",""zh_HANS"")"),"逃脱按键")</f>
        <v/>
      </c>
      <c r="K420" s="29">
        <f>F420</f>
        <v/>
      </c>
    </row>
    <row r="421">
      <c r="A421" s="29">
        <f>CONCATENATE("NAME_ITEM_", SUBSTITUTE(SUBSTITUTE(UPPER(B421), " ", ""), ".", ""))</f>
        <v/>
      </c>
      <c r="B421" s="29" t="inlineStr">
        <is>
          <t>Fire Gem</t>
        </is>
      </c>
      <c r="C421" s="29">
        <f>CONCATENATE(Types!C11,"のジュエル")</f>
        <v/>
      </c>
      <c r="D421" s="29" t="inlineStr">
        <is>
          <t>Joyau Feu</t>
        </is>
      </c>
      <c r="E421" s="29">
        <f>CONCATENATE(Types!E11,"juwel")</f>
        <v/>
      </c>
      <c r="F421" s="29">
        <f>CONCATENATE("Gema ",Types!F11)</f>
        <v/>
      </c>
      <c r="G421" s="29">
        <f>CONCATENATE("Bijou",LOWER(Types!G11))</f>
        <v/>
      </c>
      <c r="H421" s="29">
        <f>CONCATENATE(Types!H11,"주얼")</f>
        <v/>
      </c>
      <c r="I421" s="29">
        <f>IFERROR(__xludf.DUMMYFUNCTION("GOOGLETRANSLATE(J421,""zh_HANS"",""zh_HANT"")"),"火之寶石")</f>
        <v/>
      </c>
      <c r="J421" s="29">
        <f>CONCATENATE(Types!J11,"之宝石")</f>
        <v/>
      </c>
      <c r="K421" s="29">
        <f>F421</f>
        <v/>
      </c>
    </row>
    <row r="422">
      <c r="A422" s="29">
        <f>CONCATENATE("NAME_ITEM_", SUBSTITUTE(SUBSTITUTE(UPPER(B422), " ", ""), ".", ""))</f>
        <v/>
      </c>
      <c r="B422" s="29" t="inlineStr">
        <is>
          <t>Water Gem</t>
        </is>
      </c>
      <c r="C422" s="29">
        <f>CONCATENATE(Types!C12,"のジュエル")</f>
        <v/>
      </c>
      <c r="D422" s="29" t="inlineStr">
        <is>
          <t>Joyau Eau</t>
        </is>
      </c>
      <c r="E422" s="29">
        <f>CONCATENATE(Types!E12,"juwel")</f>
        <v/>
      </c>
      <c r="F422" s="29">
        <f>CONCATENATE("Gema ",Types!F12)</f>
        <v/>
      </c>
      <c r="G422" s="29">
        <f>CONCATENATE("Bijou",LOWER(Types!G12))</f>
        <v/>
      </c>
      <c r="H422" s="29">
        <f>CONCATENATE(Types!H12,"주얼")</f>
        <v/>
      </c>
      <c r="I422" s="29">
        <f>IFERROR(__xludf.DUMMYFUNCTION("GOOGLETRANSLATE(J422,""zh_HANS"",""zh_HANT"")"),"水之寶石")</f>
        <v/>
      </c>
      <c r="J422" s="29">
        <f>CONCATENATE(Types!J12,"之宝石")</f>
        <v/>
      </c>
      <c r="K422" s="29">
        <f>F422</f>
        <v/>
      </c>
    </row>
    <row r="423">
      <c r="A423" s="29">
        <f>CONCATENATE("NAME_ITEM_", SUBSTITUTE(SUBSTITUTE(UPPER(B423), " ", ""), ".", ""))</f>
        <v/>
      </c>
      <c r="B423" s="29" t="inlineStr">
        <is>
          <t>Electric Gem</t>
        </is>
      </c>
      <c r="C423" s="29">
        <f>CONCATENATE(Types!C14,"のジュエル")</f>
        <v/>
      </c>
      <c r="D423" s="29" t="inlineStr">
        <is>
          <t>Joyau Électrik</t>
        </is>
      </c>
      <c r="E423" s="29">
        <f>CONCATENATE(Types!E14,"juwel")</f>
        <v/>
      </c>
      <c r="F423" s="29">
        <f>CONCATENATE("Gema ",Types!F14)</f>
        <v/>
      </c>
      <c r="G423" s="29">
        <f>CONCATENATE("Bijou",LOWER(Types!G14))</f>
        <v/>
      </c>
      <c r="H423" s="29">
        <f>CONCATENATE(Types!H14,"주얼")</f>
        <v/>
      </c>
      <c r="I423" s="29">
        <f>IFERROR(__xludf.DUMMYFUNCTION("GOOGLETRANSLATE(J423,""zh_HANS"",""zh_HANT"")"),"電之寶石")</f>
        <v/>
      </c>
      <c r="J423" s="29">
        <f>CONCATENATE(Types!J14,"之宝石")</f>
        <v/>
      </c>
      <c r="K423" s="29">
        <f>F423</f>
        <v/>
      </c>
    </row>
    <row r="424">
      <c r="A424" s="29">
        <f>CONCATENATE("NAME_ITEM_", SUBSTITUTE(SUBSTITUTE(UPPER(B424), " ", ""), ".", ""))</f>
        <v/>
      </c>
      <c r="B424" s="29" t="inlineStr">
        <is>
          <t>Grass Gem</t>
        </is>
      </c>
      <c r="C424" s="29">
        <f>CONCATENATE(Types!C13,"のジュエル")</f>
        <v/>
      </c>
      <c r="D424" s="29" t="inlineStr">
        <is>
          <t>Joyau Plante</t>
        </is>
      </c>
      <c r="E424" s="29">
        <f>CONCATENATE(Types!E13,"juwel")</f>
        <v/>
      </c>
      <c r="F424" s="29">
        <f>CONCATENATE("Gema ",Types!F13)</f>
        <v/>
      </c>
      <c r="G424" s="29">
        <f>CONCATENATE("Bijou",LOWER(Types!G13))</f>
        <v/>
      </c>
      <c r="H424" s="29">
        <f>CONCATENATE(Types!H13,"주얼")</f>
        <v/>
      </c>
      <c r="I424" s="29">
        <f>IFERROR(__xludf.DUMMYFUNCTION("GOOGLETRANSLATE(J424,""zh_HANS"",""zh_HANT"")"),"草之寶石")</f>
        <v/>
      </c>
      <c r="J424" s="29">
        <f>CONCATENATE(Types!J13,"之宝石")</f>
        <v/>
      </c>
      <c r="K424" s="29">
        <f>F424</f>
        <v/>
      </c>
    </row>
    <row r="425">
      <c r="A425" s="29">
        <f>CONCATENATE("NAME_ITEM_", SUBSTITUTE(SUBSTITUTE(UPPER(B425), " ", ""), ".", ""))</f>
        <v/>
      </c>
      <c r="B425" s="29" t="inlineStr">
        <is>
          <t>Ice Gem</t>
        </is>
      </c>
      <c r="C425" s="29">
        <f>CONCATENATE(Types!C16,"のジュエル")</f>
        <v/>
      </c>
      <c r="D425" s="29" t="inlineStr">
        <is>
          <t>Joyau Glace</t>
        </is>
      </c>
      <c r="E425" s="29">
        <f>CONCATENATE(Types!E16,"juwel")</f>
        <v/>
      </c>
      <c r="F425" s="29">
        <f>CONCATENATE("Gema ",Types!F16)</f>
        <v/>
      </c>
      <c r="G425" s="29">
        <f>CONCATENATE("Bijou",LOWER(Types!G16))</f>
        <v/>
      </c>
      <c r="H425" s="29">
        <f>CONCATENATE(Types!H16,"주얼")</f>
        <v/>
      </c>
      <c r="I425" s="29">
        <f>IFERROR(__xludf.DUMMYFUNCTION("GOOGLETRANSLATE(J425,""zh_HANS"",""zh_HANT"")"),"冰之寶石")</f>
        <v/>
      </c>
      <c r="J425" s="29">
        <f>CONCATENATE(Types!J16,"之宝石")</f>
        <v/>
      </c>
      <c r="K425" s="29">
        <f>F425</f>
        <v/>
      </c>
    </row>
    <row r="426">
      <c r="A426" s="29">
        <f>CONCATENATE("NAME_ITEM_", SUBSTITUTE(SUBSTITUTE(UPPER(B426), " ", ""), ".", ""))</f>
        <v/>
      </c>
      <c r="B426" s="29" t="inlineStr">
        <is>
          <t>Fighting Gem</t>
        </is>
      </c>
      <c r="C426" s="29">
        <f>CONCATENATE(Types!C3,"ジュエル")</f>
        <v/>
      </c>
      <c r="D426" s="29" t="inlineStr">
        <is>
          <t>Joyau Combat</t>
        </is>
      </c>
      <c r="E426" s="29">
        <f>CONCATENATE(Types!E3,"juwel")</f>
        <v/>
      </c>
      <c r="F426" s="29">
        <f>CONCATENATE("Gema ",Types!F3)</f>
        <v/>
      </c>
      <c r="G426" s="29">
        <f>CONCATENATE("Bijou",LOWER(Types!G3))</f>
        <v/>
      </c>
      <c r="H426" s="29">
        <f>CONCATENATE(Types!H3,"주얼")</f>
        <v/>
      </c>
      <c r="I426" s="29">
        <f>IFERROR(__xludf.DUMMYFUNCTION("GOOGLETRANSLATE(J426,""zh_HANS"",""zh_HANT"")"),"格鬥寶石")</f>
        <v/>
      </c>
      <c r="J426" s="29">
        <f>CONCATENATE(Types!J3,"宝石")</f>
        <v/>
      </c>
      <c r="K426" s="29">
        <f>F426</f>
        <v/>
      </c>
    </row>
    <row r="427">
      <c r="A427" s="29">
        <f>CONCATENATE("NAME_ITEM_", SUBSTITUTE(SUBSTITUTE(UPPER(B427), " ", ""), ".", ""))</f>
        <v/>
      </c>
      <c r="B427" s="29" t="inlineStr">
        <is>
          <t>Poison Gem</t>
        </is>
      </c>
      <c r="C427" s="29">
        <f>CONCATENATE(Types!C5,"のジュエル")</f>
        <v/>
      </c>
      <c r="D427" s="29" t="inlineStr">
        <is>
          <t>Joyau Poison</t>
        </is>
      </c>
      <c r="E427" s="29">
        <f>CONCATENATE(Types!E5,"juwel")</f>
        <v/>
      </c>
      <c r="F427" s="29">
        <f>CONCATENATE("Gema ",Types!F5)</f>
        <v/>
      </c>
      <c r="G427" s="29">
        <f>CONCATENATE("Bijou",LOWER(Types!G5))</f>
        <v/>
      </c>
      <c r="H427" s="29">
        <f>CONCATENATE(Types!H5,"주얼")</f>
        <v/>
      </c>
      <c r="I427" s="29">
        <f>IFERROR(__xludf.DUMMYFUNCTION("GOOGLETRANSLATE(J427,""zh_HANS"",""zh_HANT"")"),"毒之寶石")</f>
        <v/>
      </c>
      <c r="J427" s="29">
        <f>CONCATENATE(Types!J5,"之宝石")</f>
        <v/>
      </c>
      <c r="K427" s="29">
        <f>F427</f>
        <v/>
      </c>
    </row>
    <row r="428">
      <c r="A428" s="29">
        <f>CONCATENATE("NAME_ITEM_", SUBSTITUTE(SUBSTITUTE(UPPER(B428), " ", ""), ".", ""))</f>
        <v/>
      </c>
      <c r="B428" s="29" t="inlineStr">
        <is>
          <t>Ground Gem</t>
        </is>
      </c>
      <c r="C428" s="29">
        <f>CONCATENATE(Types!C6,"のジュエル")</f>
        <v/>
      </c>
      <c r="D428" s="29" t="inlineStr">
        <is>
          <t>Joyau Sol</t>
        </is>
      </c>
      <c r="E428" s="29">
        <f>CONCATENATE(Types!E6,"juwel")</f>
        <v/>
      </c>
      <c r="F428" s="29">
        <f>CONCATENATE("Gema ",Types!F6)</f>
        <v/>
      </c>
      <c r="G428" s="29">
        <f>CONCATENATE("Bijou",LOWER(Types!G6))</f>
        <v/>
      </c>
      <c r="H428" s="29">
        <f>CONCATENATE(Types!H6,"주얼")</f>
        <v/>
      </c>
      <c r="I428" s="29">
        <f>IFERROR(__xludf.DUMMYFUNCTION("GOOGLETRANSLATE(J428,""zh_HANS"",""zh_HANT"")"),"地面寶石")</f>
        <v/>
      </c>
      <c r="J428" s="29">
        <f>CONCATENATE(Types!J6,"宝石")</f>
        <v/>
      </c>
      <c r="K428" s="29">
        <f>F428</f>
        <v/>
      </c>
    </row>
    <row r="429">
      <c r="A429" s="29">
        <f>CONCATENATE("NAME_ITEM_", SUBSTITUTE(SUBSTITUTE(UPPER(B429), " ", ""), ".", ""))</f>
        <v/>
      </c>
      <c r="B429" s="29" t="inlineStr">
        <is>
          <t>Flying Gem</t>
        </is>
      </c>
      <c r="C429" s="29">
        <f>CONCATENATE(Types!C4,"のジュエル")</f>
        <v/>
      </c>
      <c r="D429" s="29" t="inlineStr">
        <is>
          <t>Joyau Vol</t>
        </is>
      </c>
      <c r="E429" s="29">
        <f>CONCATENATE(Types!E4,"juwel")</f>
        <v/>
      </c>
      <c r="F429" s="29">
        <f>CONCATENATE("Gema ",Types!F4)</f>
        <v/>
      </c>
      <c r="G429" s="29">
        <f>CONCATENATE("Bijou",LOWER(Types!G4))</f>
        <v/>
      </c>
      <c r="H429" s="29">
        <f>CONCATENATE(Types!H4,"주얼")</f>
        <v/>
      </c>
      <c r="I429" s="29">
        <f>IFERROR(__xludf.DUMMYFUNCTION("GOOGLETRANSLATE(J429,""zh_HANS"",""zh_HANT"")"),"飛行寶石")</f>
        <v/>
      </c>
      <c r="J429" s="29">
        <f>CONCATENATE(Types!J4,"宝石")</f>
        <v/>
      </c>
      <c r="K429" s="29">
        <f>F429</f>
        <v/>
      </c>
    </row>
    <row r="430">
      <c r="A430" s="29">
        <f>CONCATENATE("NAME_ITEM_", SUBSTITUTE(SUBSTITUTE(UPPER(B430), " ", ""), ".", ""))</f>
        <v/>
      </c>
      <c r="B430" s="29" t="inlineStr">
        <is>
          <t>Psychic Gem</t>
        </is>
      </c>
      <c r="C430" s="29">
        <f>CONCATENATE(Types!C15,"ジュエル")</f>
        <v/>
      </c>
      <c r="D430" s="29" t="inlineStr">
        <is>
          <t>Joyau Psy</t>
        </is>
      </c>
      <c r="E430" s="29">
        <f>CONCATENATE(Types!E15,"juwel")</f>
        <v/>
      </c>
      <c r="F430" s="29">
        <f>CONCATENATE("Gema ",Types!F15)</f>
        <v/>
      </c>
      <c r="G430" s="29">
        <f>CONCATENATE("Bijou",LOWER(Types!G15))</f>
        <v/>
      </c>
      <c r="H430" s="29">
        <f>CONCATENATE(Types!H15,"주얼")</f>
        <v/>
      </c>
      <c r="I430" s="29">
        <f>IFERROR(__xludf.DUMMYFUNCTION("GOOGLETRANSLATE(J430,""zh_HANS"",""zh_HANT"")"),"超能力寶石")</f>
        <v/>
      </c>
      <c r="J430" s="29">
        <f>CONCATENATE(Types!J15,"宝石")</f>
        <v/>
      </c>
      <c r="K430" s="29">
        <f>F430</f>
        <v/>
      </c>
    </row>
    <row r="431">
      <c r="A431" s="29">
        <f>CONCATENATE("NAME_ITEM_", SUBSTITUTE(SUBSTITUTE(UPPER(B431), " ", ""), ".", ""))</f>
        <v/>
      </c>
      <c r="B431" s="29" t="inlineStr">
        <is>
          <t>Bug Gem</t>
        </is>
      </c>
      <c r="C431" s="29">
        <f>CONCATENATE(Types!C8,"のジュエル")</f>
        <v/>
      </c>
      <c r="D431" s="29" t="inlineStr">
        <is>
          <t>Joyau Insecte</t>
        </is>
      </c>
      <c r="E431" s="29">
        <f>CONCATENATE(Types!E8,"juwel")</f>
        <v/>
      </c>
      <c r="F431" s="29">
        <f>CONCATENATE("Gema ",Types!F8)</f>
        <v/>
      </c>
      <c r="G431" s="29">
        <f>CONCATENATE("Bijou",LOWER(Types!G8))</f>
        <v/>
      </c>
      <c r="H431" s="29">
        <f>CONCATENATE(Types!H8,"주얼")</f>
        <v/>
      </c>
      <c r="I431" s="29">
        <f>IFERROR(__xludf.DUMMYFUNCTION("GOOGLETRANSLATE(J431,""zh_HANS"",""zh_HANT"")"),"蟲之寶石")</f>
        <v/>
      </c>
      <c r="J431" s="29">
        <f>CONCATENATE(Types!J8,"之宝石")</f>
        <v/>
      </c>
      <c r="K431" s="29">
        <f>F431</f>
        <v/>
      </c>
    </row>
    <row r="432">
      <c r="A432" s="29">
        <f>CONCATENATE("NAME_ITEM_", SUBSTITUTE(SUBSTITUTE(UPPER(B432), " ", ""), ".", ""))</f>
        <v/>
      </c>
      <c r="B432" s="29" t="inlineStr">
        <is>
          <t>Rock Gem</t>
        </is>
      </c>
      <c r="C432" s="29">
        <f>CONCATENATE(Types!C7,"のジュエル")</f>
        <v/>
      </c>
      <c r="D432" s="29" t="inlineStr">
        <is>
          <t>Joyau Roche</t>
        </is>
      </c>
      <c r="E432" s="29">
        <f>CONCATENATE(Types!E7,"juwel")</f>
        <v/>
      </c>
      <c r="F432" s="29">
        <f>CONCATENATE("Gema ",Types!F7)</f>
        <v/>
      </c>
      <c r="G432" s="29">
        <f>CONCATENATE("Bijou",LOWER(Types!G7))</f>
        <v/>
      </c>
      <c r="H432" s="29">
        <f>CONCATENATE(Types!H7,"주얼")</f>
        <v/>
      </c>
      <c r="I432" s="29">
        <f>IFERROR(__xludf.DUMMYFUNCTION("GOOGLETRANSLATE(J432,""zh_HANS"",""zh_HANT"")"),"岩石寶石")</f>
        <v/>
      </c>
      <c r="J432" s="29">
        <f>CONCATENATE(Types!J7,"宝石")</f>
        <v/>
      </c>
      <c r="K432" s="29">
        <f>F432</f>
        <v/>
      </c>
    </row>
    <row r="433">
      <c r="A433" s="29">
        <f>CONCATENATE("NAME_ITEM_", SUBSTITUTE(SUBSTITUTE(UPPER(B433), " ", ""), ".", ""))</f>
        <v/>
      </c>
      <c r="B433" s="29" t="inlineStr">
        <is>
          <t>Ghost Gem</t>
        </is>
      </c>
      <c r="C433" s="29">
        <f>CONCATENATE(Types!C9,"ジュエル")</f>
        <v/>
      </c>
      <c r="D433" s="29" t="inlineStr">
        <is>
          <t>Joyau Spectre</t>
        </is>
      </c>
      <c r="E433" s="29">
        <f>CONCATENATE(Types!E9,"juwel")</f>
        <v/>
      </c>
      <c r="F433" s="29">
        <f>CONCATENATE("Gema ",Types!F9)</f>
        <v/>
      </c>
      <c r="G433" s="29">
        <f>CONCATENATE("Bijou",LOWER(Types!G9))</f>
        <v/>
      </c>
      <c r="H433" s="29">
        <f>CONCATENATE(Types!H9,"주얼")</f>
        <v/>
      </c>
      <c r="I433" s="29">
        <f>IFERROR(__xludf.DUMMYFUNCTION("GOOGLETRANSLATE(J433,""zh_HANS"",""zh_HANT"")"),"幽靈寶石")</f>
        <v/>
      </c>
      <c r="J433" s="29">
        <f>CONCATENATE(Types!J9,"宝石")</f>
        <v/>
      </c>
      <c r="K433" s="29">
        <f>F433</f>
        <v/>
      </c>
    </row>
    <row r="434">
      <c r="A434" s="29">
        <f>CONCATENATE("NAME_ITEM_", SUBSTITUTE(SUBSTITUTE(UPPER(B434), " ", ""), ".", ""))</f>
        <v/>
      </c>
      <c r="B434" s="29" t="inlineStr">
        <is>
          <t>Dragon Gem</t>
        </is>
      </c>
      <c r="C434" s="29">
        <f>CONCATENATE(Types!C17,"ジュエル")</f>
        <v/>
      </c>
      <c r="D434" s="29" t="inlineStr">
        <is>
          <t>Joyau Dragon</t>
        </is>
      </c>
      <c r="E434" s="29">
        <f>CONCATENATE(Types!E17,"juwel")</f>
        <v/>
      </c>
      <c r="F434" s="29">
        <f>CONCATENATE("Gema ",Types!F17)</f>
        <v/>
      </c>
      <c r="G434" s="29">
        <f>CONCATENATE("Bijou",LOWER(Types!G17))</f>
        <v/>
      </c>
      <c r="H434" s="29">
        <f>CONCATENATE(Types!H17,"주얼")</f>
        <v/>
      </c>
      <c r="I434" s="29">
        <f>IFERROR(__xludf.DUMMYFUNCTION("GOOGLETRANSLATE(J434,""zh_HANS"",""zh_HANT"")"),"龍之寶石")</f>
        <v/>
      </c>
      <c r="J434" s="29">
        <f>CONCATENATE(Types!J17,"之宝石")</f>
        <v/>
      </c>
      <c r="K434" s="29">
        <f>F434</f>
        <v/>
      </c>
    </row>
    <row r="435">
      <c r="A435" s="29">
        <f>CONCATENATE("NAME_ITEM_", SUBSTITUTE(SUBSTITUTE(UPPER(B435), " ", ""), ".", ""))</f>
        <v/>
      </c>
      <c r="B435" s="29" t="inlineStr">
        <is>
          <t>Dark Gem</t>
        </is>
      </c>
      <c r="C435" s="29">
        <f>CONCATENATE(Types!C18,"のジュエル")</f>
        <v/>
      </c>
      <c r="D435" s="29" t="inlineStr">
        <is>
          <t>Joyau Ténèbres</t>
        </is>
      </c>
      <c r="E435" s="29">
        <f>CONCATENATE(Types!E18,"juwel")</f>
        <v/>
      </c>
      <c r="F435" s="29">
        <f>CONCATENATE("Gema ",Types!F18)</f>
        <v/>
      </c>
      <c r="G435" s="29">
        <f>CONCATENATE("Bijou",LOWER(Types!G18))</f>
        <v/>
      </c>
      <c r="H435" s="29">
        <f>CONCATENATE(Types!H18,"주얼")</f>
        <v/>
      </c>
      <c r="I435" s="29">
        <f>IFERROR(__xludf.DUMMYFUNCTION("GOOGLETRANSLATE(J435,""zh_HANS"",""zh_HANT"")"),"惡之寶石")</f>
        <v/>
      </c>
      <c r="J435" s="29">
        <f>CONCATENATE(Types!J18,"之宝石")</f>
        <v/>
      </c>
      <c r="K435" s="29">
        <f>F435</f>
        <v/>
      </c>
    </row>
    <row r="436">
      <c r="A436" s="29">
        <f>CONCATENATE("NAME_ITEM_", SUBSTITUTE(SUBSTITUTE(UPPER(B436), " ", ""), ".", ""))</f>
        <v/>
      </c>
      <c r="B436" s="29" t="inlineStr">
        <is>
          <t>Steel Gem</t>
        </is>
      </c>
      <c r="C436" s="29">
        <f>CONCATENATE(Types!C10,"のジュエル")</f>
        <v/>
      </c>
      <c r="D436" s="29" t="inlineStr">
        <is>
          <t>Joyau Acier</t>
        </is>
      </c>
      <c r="E436" s="29">
        <f>CONCATENATE(Types!E10,"juwel")</f>
        <v/>
      </c>
      <c r="F436" s="29">
        <f>CONCATENATE("Gema ",Types!F10)</f>
        <v/>
      </c>
      <c r="G436" s="29">
        <f>CONCATENATE("Bijou",LOWER(Types!G10))</f>
        <v/>
      </c>
      <c r="H436" s="29">
        <f>CONCATENATE(Types!H10,"주얼")</f>
        <v/>
      </c>
      <c r="I436" s="29">
        <f>IFERROR(__xludf.DUMMYFUNCTION("GOOGLETRANSLATE(J436,""zh_HANS"",""zh_HANT"")"),"鋼之寶石")</f>
        <v/>
      </c>
      <c r="J436" s="29">
        <f>CONCATENATE(Types!J10,"之宝石")</f>
        <v/>
      </c>
      <c r="K436" s="29">
        <f>F436</f>
        <v/>
      </c>
    </row>
    <row r="437">
      <c r="A437" s="29">
        <f>CONCATENATE("NAME_ITEM_", SUBSTITUTE(SUBSTITUTE(UPPER(B437), " ", ""), ".", ""))</f>
        <v/>
      </c>
      <c r="B437" s="29" t="inlineStr">
        <is>
          <t>Normal Gem</t>
        </is>
      </c>
      <c r="C437" s="29">
        <f>CONCATENATE(Types!C2,"ジュエル")</f>
        <v/>
      </c>
      <c r="D437" s="29" t="inlineStr">
        <is>
          <t>Joyau Normal</t>
        </is>
      </c>
      <c r="E437" s="29">
        <f>CONCATENATE(Types!E2,"juwel")</f>
        <v/>
      </c>
      <c r="F437" s="29">
        <f>CONCATENATE("Gema ",Types!F2)</f>
        <v/>
      </c>
      <c r="G437" s="29">
        <f>CONCATENATE("Bijou",LOWER(Types!G2))</f>
        <v/>
      </c>
      <c r="H437" s="29">
        <f>CONCATENATE(Types!H2,"주얼")</f>
        <v/>
      </c>
      <c r="I437" s="29">
        <f>IFERROR(__xludf.DUMMYFUNCTION("GOOGLETRANSLATE(J437,""zh_HANS"",""zh_HANT"")"),"一般寶石")</f>
        <v/>
      </c>
      <c r="J437" s="29">
        <f>CONCATENATE(Types!J2,"宝石")</f>
        <v/>
      </c>
      <c r="K437" s="29">
        <f>F437</f>
        <v/>
      </c>
    </row>
    <row r="438">
      <c r="A438" s="29">
        <f>CONCATENATE("NAME_ITEM_", SUBSTITUTE(SUBSTITUTE(UPPER(B438), " ", ""), ".", ""))</f>
        <v/>
      </c>
      <c r="B438" s="29" t="inlineStr">
        <is>
          <t>Fairy Gem</t>
        </is>
      </c>
      <c r="C438" s="29">
        <f>CONCATENATE(Types!C19,"ジュエル")</f>
        <v/>
      </c>
      <c r="D438" s="29" t="inlineStr">
        <is>
          <t>Joyau Fée</t>
        </is>
      </c>
      <c r="E438" s="29">
        <f>CONCATENATE(Types!E19,"juwel")</f>
        <v/>
      </c>
      <c r="F438" s="29">
        <f>CONCATENATE("Gema ",Types!F19)</f>
        <v/>
      </c>
      <c r="G438" s="29">
        <f>CONCATENATE("Bijou",LOWER(Types!G19))</f>
        <v/>
      </c>
      <c r="H438" s="29">
        <f>CONCATENATE(Types!H19,"주얼")</f>
        <v/>
      </c>
      <c r="I438" s="29">
        <f>IFERROR(__xludf.DUMMYFUNCTION("GOOGLETRANSLATE(J438,""zh_HANS"",""zh_HANT"")"),"妖精寶石")</f>
        <v/>
      </c>
      <c r="J438" s="29">
        <f>CONCATENATE(Types!J19,"宝石")</f>
        <v/>
      </c>
      <c r="K438" s="29">
        <f>F438</f>
        <v/>
      </c>
    </row>
    <row r="439">
      <c r="A439" s="29">
        <f>CONCATENATE("NAME_ITEM_", SUBSTITUTE(SUBSTITUTE(UPPER(B439), " ", ""), ".", ""))</f>
        <v/>
      </c>
      <c r="B439" s="29" t="inlineStr">
        <is>
          <t>Weakness Policy</t>
        </is>
      </c>
      <c r="C439" s="29" t="inlineStr">
        <is>
          <t>じゃくてんほけん</t>
        </is>
      </c>
      <c r="D439" s="29" t="inlineStr">
        <is>
          <t>Vulné-Assurance</t>
        </is>
      </c>
      <c r="E439" s="29" t="inlineStr">
        <is>
          <t>Schwächenschutz</t>
        </is>
      </c>
      <c r="F439" s="29" t="inlineStr">
        <is>
          <t>Seguro Debilidad</t>
        </is>
      </c>
      <c r="G439" s="29" t="inlineStr">
        <is>
          <t>Vulneropolizza</t>
        </is>
      </c>
      <c r="H439" s="29" t="inlineStr">
        <is>
          <t>약점보험</t>
        </is>
      </c>
      <c r="I439" s="29" t="inlineStr">
        <is>
          <t>弱點保險</t>
        </is>
      </c>
      <c r="J439" s="29">
        <f>IFERROR(__xludf.DUMMYFUNCTION("GOOGLETRANSLATE(I439,""zh_HANT"",""zh_HANS"")"),"弱点保险")</f>
        <v/>
      </c>
      <c r="K439" s="29">
        <f>F439</f>
        <v/>
      </c>
    </row>
    <row r="440">
      <c r="A440" s="29">
        <f>CONCATENATE("NAME_ITEM_", SUBSTITUTE(SUBSTITUTE(UPPER(B440), " ", ""), ".", ""))</f>
        <v/>
      </c>
      <c r="B440" s="29" t="inlineStr">
        <is>
          <t>Assault Vest</t>
        </is>
      </c>
      <c r="C440" s="29" t="inlineStr">
        <is>
          <t>とつげきチョッキ</t>
        </is>
      </c>
      <c r="D440" s="29" t="inlineStr">
        <is>
          <t>Veste de Combat</t>
        </is>
      </c>
      <c r="E440" s="29" t="inlineStr">
        <is>
          <t>Offensivweste</t>
        </is>
      </c>
      <c r="F440" s="29" t="inlineStr">
        <is>
          <t>Chaleco Asalto</t>
        </is>
      </c>
      <c r="G440" s="29" t="inlineStr">
        <is>
          <t>Corpetto Assalto</t>
        </is>
      </c>
      <c r="H440" s="29" t="inlineStr">
        <is>
          <t>돌격조끼</t>
        </is>
      </c>
      <c r="I440" s="29" t="inlineStr">
        <is>
          <t>突擊背心</t>
        </is>
      </c>
      <c r="J440" s="29">
        <f>IFERROR(__xludf.DUMMYFUNCTION("GOOGLETRANSLATE(I440,""zh_HANT"",""zh_HANS"")"),"突击背心")</f>
        <v/>
      </c>
      <c r="K440" s="29">
        <f>F440</f>
        <v/>
      </c>
    </row>
    <row r="441">
      <c r="A441" s="29">
        <f>CONCATENATE("NAME_ITEM_", SUBSTITUTE(SUBSTITUTE(UPPER(B441), " ", ""), ".", ""))</f>
        <v/>
      </c>
      <c r="B441" s="29" t="inlineStr">
        <is>
          <t>Pixie Plate</t>
        </is>
      </c>
      <c r="C441" s="29" t="inlineStr">
        <is>
          <t>せいれいプレート</t>
        </is>
      </c>
      <c r="D441" s="29" t="inlineStr">
        <is>
          <t>Plaque Pixie</t>
        </is>
      </c>
      <c r="E441" s="29" t="inlineStr">
        <is>
          <t>Feentafel</t>
        </is>
      </c>
      <c r="F441" s="29" t="inlineStr">
        <is>
          <t>Tabla Duende</t>
        </is>
      </c>
      <c r="G441" s="29" t="inlineStr">
        <is>
          <t>Lastraspiritello</t>
        </is>
      </c>
      <c r="H441" s="29" t="inlineStr">
        <is>
          <t>정령플레이트</t>
        </is>
      </c>
      <c r="I441" s="29" t="inlineStr">
        <is>
          <t>妖精石板</t>
        </is>
      </c>
      <c r="J441" s="29">
        <f>I441</f>
        <v/>
      </c>
      <c r="K441" s="29">
        <f>F441</f>
        <v/>
      </c>
    </row>
    <row r="442">
      <c r="A442" s="29">
        <f>CONCATENATE("NAME_ITEM_", SUBSTITUTE(SUBSTITUTE(UPPER(B442), " ", ""), ".", ""))</f>
        <v/>
      </c>
      <c r="B442" s="29" t="inlineStr">
        <is>
          <t>Whipped Dream</t>
        </is>
      </c>
      <c r="C442" s="29" t="inlineStr">
        <is>
          <t>ホイップポップ</t>
        </is>
      </c>
      <c r="D442" s="29" t="inlineStr">
        <is>
          <t>Chantibonbon</t>
        </is>
      </c>
      <c r="E442" s="29" t="inlineStr">
        <is>
          <t>Sahnehäubchen</t>
        </is>
      </c>
      <c r="F442" s="29" t="inlineStr">
        <is>
          <t>Dulce de Nata</t>
        </is>
      </c>
      <c r="G442" s="29" t="inlineStr">
        <is>
          <t>Dolcespuma</t>
        </is>
      </c>
      <c r="H442" s="29" t="inlineStr">
        <is>
          <t>휘핑팝</t>
        </is>
      </c>
      <c r="I442" s="29" t="inlineStr">
        <is>
          <t>泡沫奶油</t>
        </is>
      </c>
      <c r="J442" s="29">
        <f>I442</f>
        <v/>
      </c>
      <c r="K442" s="29">
        <f>F442</f>
        <v/>
      </c>
    </row>
    <row r="443">
      <c r="A443" s="29">
        <f>CONCATENATE("NAME_ITEM_", SUBSTITUTE(SUBSTITUTE(UPPER(B443), " ", ""), ".", ""))</f>
        <v/>
      </c>
      <c r="B443" s="29" t="inlineStr">
        <is>
          <t>Sachet</t>
        </is>
      </c>
      <c r="C443" s="29" t="inlineStr">
        <is>
          <t>においぶくろ</t>
        </is>
      </c>
      <c r="D443" s="29" t="inlineStr">
        <is>
          <t>Sachet Senteur</t>
        </is>
      </c>
      <c r="E443" s="29" t="inlineStr">
        <is>
          <t>Duftbeutel</t>
        </is>
      </c>
      <c r="F443" s="29" t="inlineStr">
        <is>
          <t>Saquito Fragante</t>
        </is>
      </c>
      <c r="G443" s="29" t="inlineStr">
        <is>
          <t>Bustina Aromi</t>
        </is>
      </c>
      <c r="H443" s="29" t="inlineStr">
        <is>
          <t>향기주머니</t>
        </is>
      </c>
      <c r="I443" s="29" t="inlineStr">
        <is>
          <t>香袋</t>
        </is>
      </c>
      <c r="J443" s="29">
        <f>I443</f>
        <v/>
      </c>
      <c r="K443" s="29">
        <f>F443</f>
        <v/>
      </c>
    </row>
    <row r="444">
      <c r="A444" s="29">
        <f>CONCATENATE("NAME_ITEM_", SUBSTITUTE(SUBSTITUTE(UPPER(B444), " ", ""), ".", ""))</f>
        <v/>
      </c>
      <c r="B444" s="29" t="inlineStr">
        <is>
          <t>Luminous Moss</t>
        </is>
      </c>
      <c r="C444" s="29" t="inlineStr">
        <is>
          <t>ひかりごけ</t>
        </is>
      </c>
      <c r="D444" s="29" t="inlineStr">
        <is>
          <t>Lichen Lumineux</t>
        </is>
      </c>
      <c r="E444" s="29" t="inlineStr">
        <is>
          <t>Leuchtmoos</t>
        </is>
      </c>
      <c r="F444" s="29" t="inlineStr">
        <is>
          <t>Musgo Brilliante</t>
        </is>
      </c>
      <c r="G444" s="29" t="inlineStr">
        <is>
          <t>Muschioluce</t>
        </is>
      </c>
      <c r="H444" s="29" t="inlineStr">
        <is>
          <t>빛이끼</t>
        </is>
      </c>
      <c r="I444" s="29" t="inlineStr">
        <is>
          <t>光苔</t>
        </is>
      </c>
      <c r="J444" s="29">
        <f>I444</f>
        <v/>
      </c>
      <c r="K444" s="29">
        <f>F444</f>
        <v/>
      </c>
    </row>
    <row r="445">
      <c r="A445" s="29">
        <f>CONCATENATE("NAME_ITEM_", SUBSTITUTE(SUBSTITUTE(UPPER(B445), " ", ""), ".", ""))</f>
        <v/>
      </c>
      <c r="B445" s="29" t="inlineStr">
        <is>
          <t>Snowball</t>
        </is>
      </c>
      <c r="C445" s="29" t="inlineStr">
        <is>
          <t>ゆきだま</t>
        </is>
      </c>
      <c r="D445" s="29" t="inlineStr">
        <is>
          <t>Boule de Neige</t>
        </is>
      </c>
      <c r="E445" s="29" t="inlineStr">
        <is>
          <t>Schneeball</t>
        </is>
      </c>
      <c r="F445" s="29" t="inlineStr">
        <is>
          <t>Bola de Nieve</t>
        </is>
      </c>
      <c r="G445" s="29" t="inlineStr">
        <is>
          <t>Palla di Neve</t>
        </is>
      </c>
      <c r="H445" s="29" t="inlineStr">
        <is>
          <t>눈덩이</t>
        </is>
      </c>
      <c r="I445" s="29" t="inlineStr">
        <is>
          <t>雪球</t>
        </is>
      </c>
      <c r="J445" s="29">
        <f>I445</f>
        <v/>
      </c>
      <c r="K445" s="29">
        <f>F445</f>
        <v/>
      </c>
    </row>
    <row r="446">
      <c r="A446" s="29">
        <f>CONCATENATE("NAME_ITEM_", SUBSTITUTE(SUBSTITUTE(UPPER(B446), " ", ""), ".", ""))</f>
        <v/>
      </c>
      <c r="B446" s="29" t="inlineStr">
        <is>
          <t>Safety Goggles</t>
        </is>
      </c>
      <c r="C446" s="29" t="inlineStr">
        <is>
          <t>ぼうじんゴーグル</t>
        </is>
      </c>
      <c r="D446" s="29" t="inlineStr">
        <is>
          <t>Lunettes Filtre</t>
        </is>
      </c>
      <c r="E446" s="29" t="inlineStr">
        <is>
          <t>Schutzbrille</t>
        </is>
      </c>
      <c r="F446" s="29" t="inlineStr">
        <is>
          <t>Gafa Protectora</t>
        </is>
      </c>
      <c r="G446" s="29" t="inlineStr">
        <is>
          <t>Visierantisabbia</t>
        </is>
      </c>
      <c r="H446" s="29" t="inlineStr">
        <is>
          <t>방진고글</t>
        </is>
      </c>
      <c r="I446" s="29" t="inlineStr">
        <is>
          <t>防塵護目鏡</t>
        </is>
      </c>
      <c r="J446" s="29">
        <f>IFERROR(__xludf.DUMMYFUNCTION("GOOGLETRANSLATE(I446,""zh_HANT"",""zh_HANS"")"),"防尘护目镜")</f>
        <v/>
      </c>
      <c r="K446" s="29">
        <f>F446</f>
        <v/>
      </c>
    </row>
    <row r="447">
      <c r="A447" s="29">
        <f>CONCATENATE("NAME_ITEM_", SUBSTITUTE(SUBSTITUTE(UPPER(B447), " ", ""), ".", ""))</f>
        <v/>
      </c>
      <c r="B447" s="29" t="inlineStr">
        <is>
          <t>Gengarite</t>
        </is>
      </c>
      <c r="C447" s="29">
        <f>CONCATENATE(Pokemon!C95,"ナイト")</f>
        <v/>
      </c>
      <c r="D447" s="29" t="inlineStr">
        <is>
          <t>Ectoplasmite</t>
        </is>
      </c>
      <c r="E447" s="29" t="inlineStr">
        <is>
          <t>Gengarnit</t>
        </is>
      </c>
      <c r="F447" s="29">
        <f>SUBSTITUTE(G447,"ite","ita")</f>
        <v/>
      </c>
      <c r="G447" s="29">
        <f>B447</f>
        <v/>
      </c>
      <c r="H447" s="29">
        <f>CONCATENATE(Pokemon!H95,"나이트")</f>
        <v/>
      </c>
      <c r="I447" s="29">
        <f>IFERROR(__xludf.DUMMYFUNCTION("GOOGLETRANSLATE(J447,""zh_HANS"",""zh_HANT"")"),"耿鬼進化石")</f>
        <v/>
      </c>
      <c r="J447" s="29">
        <f>CONCATENATE(Pokemon!J95,"进化石")</f>
        <v/>
      </c>
      <c r="K447" s="29">
        <f>F447</f>
        <v/>
      </c>
    </row>
    <row r="448">
      <c r="A448" s="29">
        <f>CONCATENATE("NAME_ITEM_", SUBSTITUTE(SUBSTITUTE(UPPER(B448), " ", ""), ".", ""))</f>
        <v/>
      </c>
      <c r="B448" s="29" t="inlineStr">
        <is>
          <t>Gardevoirite</t>
        </is>
      </c>
      <c r="C448" s="29">
        <f>CONCATENATE(Pokemon!C283,"ナイト")</f>
        <v/>
      </c>
      <c r="D448" s="29" t="inlineStr">
        <is>
          <t>Gardevoirite</t>
        </is>
      </c>
      <c r="E448" s="29" t="inlineStr">
        <is>
          <t>Guardevoirnit</t>
        </is>
      </c>
      <c r="F448" s="29">
        <f>SUBSTITUTE(G448,"ite","ita")</f>
        <v/>
      </c>
      <c r="G448" s="29">
        <f>B448</f>
        <v/>
      </c>
      <c r="H448" s="29">
        <f>CONCATENATE(Pokemon!H283,"나이트")</f>
        <v/>
      </c>
      <c r="I448" s="29">
        <f>IFERROR(__xludf.DUMMYFUNCTION("GOOGLETRANSLATE(J448,""zh_HANS"",""zh_HANT"")"),"沙奈朵進化石")</f>
        <v/>
      </c>
      <c r="J448" s="29">
        <f>CONCATENATE(Pokemon!J283,"进化石")</f>
        <v/>
      </c>
      <c r="K448" s="29">
        <f>F448</f>
        <v/>
      </c>
    </row>
    <row r="449">
      <c r="A449" s="29">
        <f>CONCATENATE("NAME_ITEM_", SUBSTITUTE(SUBSTITUTE(UPPER(B449), " ", ""), ".", ""))</f>
        <v/>
      </c>
      <c r="B449" s="29" t="inlineStr">
        <is>
          <t>Ampharosite</t>
        </is>
      </c>
      <c r="C449" s="29">
        <f>CONCATENATE(Pokemon!C182,"ナイト")</f>
        <v/>
      </c>
      <c r="D449" s="29" t="inlineStr">
        <is>
          <t>Pharampite</t>
        </is>
      </c>
      <c r="E449" s="29" t="inlineStr">
        <is>
          <t>Ampharosnit</t>
        </is>
      </c>
      <c r="F449" s="29">
        <f>SUBSTITUTE(G449,"ite","ita")</f>
        <v/>
      </c>
      <c r="G449" s="29">
        <f>B449</f>
        <v/>
      </c>
      <c r="H449" s="29">
        <f>CONCATENATE(Pokemon!H182,"나이트")</f>
        <v/>
      </c>
      <c r="I449" s="29">
        <f>IFERROR(__xludf.DUMMYFUNCTION("GOOGLETRANSLATE(J449,""zh_HANS"",""zh_HANT"")"),"電龍進化石")</f>
        <v/>
      </c>
      <c r="J449" s="29">
        <f>CONCATENATE(Pokemon!J182,"进化石")</f>
        <v/>
      </c>
      <c r="K449" s="29">
        <f>F449</f>
        <v/>
      </c>
    </row>
    <row r="450">
      <c r="A450" s="29">
        <f>CONCATENATE("NAME_ITEM_", SUBSTITUTE(SUBSTITUTE(UPPER(B450), " ", ""), ".", ""))</f>
        <v/>
      </c>
      <c r="B450" s="29" t="inlineStr">
        <is>
          <t>Venusaurite</t>
        </is>
      </c>
      <c r="C450" s="29">
        <f>CONCATENATE(Pokemon!C4,"ナイト")</f>
        <v/>
      </c>
      <c r="D450" s="29" t="inlineStr">
        <is>
          <t>Florizarrite</t>
        </is>
      </c>
      <c r="E450" s="29" t="inlineStr">
        <is>
          <t>Bisaflornit</t>
        </is>
      </c>
      <c r="F450" s="29">
        <f>SUBSTITUTE(G450,"ite","ita")</f>
        <v/>
      </c>
      <c r="G450" s="29">
        <f>B450</f>
        <v/>
      </c>
      <c r="H450" s="29">
        <f>CONCATENATE(Pokemon!H4,"나이트")</f>
        <v/>
      </c>
      <c r="I450" s="29">
        <f>IFERROR(__xludf.DUMMYFUNCTION("GOOGLETRANSLATE(J450,""zh_HANS"",""zh_HANT"")"),"妙蛙花進化石")</f>
        <v/>
      </c>
      <c r="J450" s="29">
        <f>CONCATENATE(Pokemon!J4,"进化石")</f>
        <v/>
      </c>
      <c r="K450" s="29">
        <f>F450</f>
        <v/>
      </c>
    </row>
    <row r="451">
      <c r="A451" s="29">
        <f>CONCATENATE("NAME_ITEM_", SUBSTITUTE(SUBSTITUTE(UPPER(B451), " ", ""), ".", ""))</f>
        <v/>
      </c>
      <c r="B451" s="29" t="inlineStr">
        <is>
          <t>Charizardite X</t>
        </is>
      </c>
      <c r="C451" s="29">
        <f>CONCATENATE(Pokemon!C7,"ナイト","Ｘ")</f>
        <v/>
      </c>
      <c r="D451" s="29" t="inlineStr">
        <is>
          <t>Dracaufite X</t>
        </is>
      </c>
      <c r="E451" s="29" t="inlineStr">
        <is>
          <t>Gluraknit X</t>
        </is>
      </c>
      <c r="F451" s="29">
        <f>SUBSTITUTE(G451,"ite","ita")</f>
        <v/>
      </c>
      <c r="G451" s="29">
        <f>B451</f>
        <v/>
      </c>
      <c r="H451" s="29">
        <f>CONCATENATE(Pokemon!H7,"나이트","Ｘ")</f>
        <v/>
      </c>
      <c r="I451" s="29">
        <f>IFERROR(__xludf.DUMMYFUNCTION("GOOGLETRANSLATE(J451,""zh_HANS"",""zh_HANT"")"),"噴火龍進化石Ｘ")</f>
        <v/>
      </c>
      <c r="J451" s="29">
        <f>CONCATENATE(Pokemon!J7,"进化石","Ｘ")</f>
        <v/>
      </c>
      <c r="K451" s="29">
        <f>F451</f>
        <v/>
      </c>
    </row>
    <row r="452">
      <c r="A452" s="29">
        <f>CONCATENATE("NAME_ITEM_", SUBSTITUTE(SUBSTITUTE(UPPER(B452), " ", ""), ".", ""))</f>
        <v/>
      </c>
      <c r="B452" s="29" t="inlineStr">
        <is>
          <t>Blastoisinite</t>
        </is>
      </c>
      <c r="C452" s="29">
        <f>CONCATENATE(Pokemon!C10,"ナイト")</f>
        <v/>
      </c>
      <c r="D452" s="29" t="inlineStr">
        <is>
          <t>Tortankite</t>
        </is>
      </c>
      <c r="E452" s="29" t="inlineStr">
        <is>
          <t>Turtoknit</t>
        </is>
      </c>
      <c r="F452" s="29">
        <f>SUBSTITUTE(G452,"ite","ita")</f>
        <v/>
      </c>
      <c r="G452" s="29" t="inlineStr">
        <is>
          <t>Blastoisite</t>
        </is>
      </c>
      <c r="H452" s="29">
        <f>CONCATENATE(Pokemon!H10,"나이트")</f>
        <v/>
      </c>
      <c r="I452" s="29">
        <f>IFERROR(__xludf.DUMMYFUNCTION("GOOGLETRANSLATE(J452,""zh_HANS"",""zh_HANT"")"),"水箭龜進化石")</f>
        <v/>
      </c>
      <c r="J452" s="29">
        <f>CONCATENATE(Pokemon!J10,"进化石")</f>
        <v/>
      </c>
      <c r="K452" s="29">
        <f>F452</f>
        <v/>
      </c>
    </row>
    <row r="453">
      <c r="A453" s="29">
        <f>CONCATENATE("NAME_ITEM_", SUBSTITUTE(SUBSTITUTE(UPPER(B453), " ", ""), ".", ""))</f>
        <v/>
      </c>
      <c r="B453" s="29" t="inlineStr">
        <is>
          <t>Mewtwonite X</t>
        </is>
      </c>
      <c r="C453" s="29">
        <f>CONCATENATE(Pokemon!C151,"ナイト","Ｘ")</f>
        <v/>
      </c>
      <c r="D453" s="29" t="inlineStr">
        <is>
          <t>Mewtwoïte X</t>
        </is>
      </c>
      <c r="E453" s="29" t="inlineStr">
        <is>
          <t>Mewtunit X</t>
        </is>
      </c>
      <c r="F453" s="29">
        <f>SUBSTITUTE(G453,"ite","ita")</f>
        <v/>
      </c>
      <c r="G453" s="29" t="inlineStr">
        <is>
          <t>Mewtwoite X</t>
        </is>
      </c>
      <c r="H453" s="29">
        <f>CONCATENATE(Pokemon!H151,"나이트","Ｘ")</f>
        <v/>
      </c>
      <c r="I453" s="29">
        <f>IFERROR(__xludf.DUMMYFUNCTION("GOOGLETRANSLATE(J453,""zh_HANS"",""zh_HANT"")"),"超夢進化石Ｘ")</f>
        <v/>
      </c>
      <c r="J453" s="29">
        <f>CONCATENATE(Pokemon!J151,"进化石","Ｘ")</f>
        <v/>
      </c>
      <c r="K453" s="29">
        <f>F453</f>
        <v/>
      </c>
    </row>
    <row r="454">
      <c r="A454" s="29">
        <f>CONCATENATE("NAME_ITEM_", SUBSTITUTE(SUBSTITUTE(UPPER(B454), " ", ""), ".", ""))</f>
        <v/>
      </c>
      <c r="B454" s="29" t="inlineStr">
        <is>
          <t>Mewtwonite Y</t>
        </is>
      </c>
      <c r="C454" s="29">
        <f>CONCATENATE(Pokemon!C151,"ナイト","Ｙ")</f>
        <v/>
      </c>
      <c r="D454" s="29" t="inlineStr">
        <is>
          <t>Mewtwoïte Y</t>
        </is>
      </c>
      <c r="E454" s="29" t="inlineStr">
        <is>
          <t>Mewtunit Y</t>
        </is>
      </c>
      <c r="F454" s="29">
        <f>SUBSTITUTE(G454,"ite","ita")</f>
        <v/>
      </c>
      <c r="G454" s="29" t="inlineStr">
        <is>
          <t>Mewtwoite Y</t>
        </is>
      </c>
      <c r="H454" s="29">
        <f>CONCATENATE(Pokemon!H151,"나이트","Ｙ")</f>
        <v/>
      </c>
      <c r="I454" s="29">
        <f>IFERROR(__xludf.DUMMYFUNCTION("GOOGLETRANSLATE(J454,""zh_HANS"",""zh_HANT"")"),"超夢進化石Ｙ")</f>
        <v/>
      </c>
      <c r="J454" s="29">
        <f>CONCATENATE(Pokemon!J151,"进化石","Ｙ")</f>
        <v/>
      </c>
      <c r="K454" s="29">
        <f>F454</f>
        <v/>
      </c>
    </row>
    <row r="455">
      <c r="A455" s="29">
        <f>CONCATENATE("NAME_ITEM_", SUBSTITUTE(SUBSTITUTE(UPPER(B455), " ", ""), ".", ""))</f>
        <v/>
      </c>
      <c r="B455" s="29" t="inlineStr">
        <is>
          <t>Blazikenite</t>
        </is>
      </c>
      <c r="C455" s="29">
        <f>CONCATENATE(Pokemon!C258,"ナイト")</f>
        <v/>
      </c>
      <c r="D455" s="29" t="inlineStr">
        <is>
          <t>Braségalite</t>
        </is>
      </c>
      <c r="E455" s="29" t="inlineStr">
        <is>
          <t>Lohgocknit</t>
        </is>
      </c>
      <c r="F455" s="29">
        <f>SUBSTITUTE(G455,"ite","ita")</f>
        <v/>
      </c>
      <c r="G455" s="29">
        <f>B455</f>
        <v/>
      </c>
      <c r="H455" s="29">
        <f>CONCATENATE(Pokemon!H258,"나이트")</f>
        <v/>
      </c>
      <c r="I455" s="29">
        <f>IFERROR(__xludf.DUMMYFUNCTION("GOOGLETRANSLATE(J455,""zh_HANS"",""zh_HANT"")"),"火焰雞進化石")</f>
        <v/>
      </c>
      <c r="J455" s="29">
        <f>CONCATENATE(Pokemon!J258,"进化石")</f>
        <v/>
      </c>
      <c r="K455" s="29">
        <f>F455</f>
        <v/>
      </c>
    </row>
    <row r="456">
      <c r="A456" s="29">
        <f>CONCATENATE("NAME_ITEM_", SUBSTITUTE(SUBSTITUTE(UPPER(B456), " ", ""), ".", ""))</f>
        <v/>
      </c>
      <c r="B456" s="29" t="inlineStr">
        <is>
          <t>Medichamite</t>
        </is>
      </c>
      <c r="C456" s="29">
        <f>CONCATENATE(Pokemon!C308,"ナイト")</f>
        <v/>
      </c>
      <c r="D456" s="29" t="inlineStr">
        <is>
          <t>Charminite</t>
        </is>
      </c>
      <c r="E456" s="29" t="inlineStr">
        <is>
          <t>Meditalisnit</t>
        </is>
      </c>
      <c r="F456" s="29">
        <f>SUBSTITUTE(G456,"ite","ita")</f>
        <v/>
      </c>
      <c r="G456" s="29">
        <f>B456</f>
        <v/>
      </c>
      <c r="H456" s="29">
        <f>CONCATENATE(Pokemon!H309,"나이트")</f>
        <v/>
      </c>
      <c r="I456" s="29">
        <f>IFERROR(__xludf.DUMMYFUNCTION("GOOGLETRANSLATE(J456,""zh_HANS"",""zh_HANT"")"),"恰雷姆進化石")</f>
        <v/>
      </c>
      <c r="J456" s="29">
        <f>CONCATENATE(Pokemon!J309,"进化石")</f>
        <v/>
      </c>
      <c r="K456" s="29">
        <f>F456</f>
        <v/>
      </c>
    </row>
    <row r="457">
      <c r="A457" s="29">
        <f>CONCATENATE("NAME_ITEM_", SUBSTITUTE(SUBSTITUTE(UPPER(B457), " ", ""), ".", ""))</f>
        <v/>
      </c>
      <c r="B457" s="29" t="inlineStr">
        <is>
          <t>Houndoominite</t>
        </is>
      </c>
      <c r="C457" s="29">
        <f>CONCATENATE(Pokemon!C230,"ナイト")</f>
        <v/>
      </c>
      <c r="D457" s="29" t="inlineStr">
        <is>
          <t>Démolossite</t>
        </is>
      </c>
      <c r="E457" s="29" t="inlineStr">
        <is>
          <t>Hundemonit</t>
        </is>
      </c>
      <c r="F457" s="29">
        <f>SUBSTITUTE(G457,"ite","ita")</f>
        <v/>
      </c>
      <c r="G457" s="29" t="inlineStr">
        <is>
          <t>Houndoomite</t>
        </is>
      </c>
      <c r="H457" s="29">
        <f>CONCATENATE(Pokemon!H230,"나이트")</f>
        <v/>
      </c>
      <c r="I457" s="29">
        <f>IFERROR(__xludf.DUMMYFUNCTION("GOOGLETRANSLATE(J457,""zh_HANS"",""zh_HANT"")"),"黑魯加進化石")</f>
        <v/>
      </c>
      <c r="J457" s="29">
        <f>CONCATENATE(Pokemon!J230,"进化石")</f>
        <v/>
      </c>
      <c r="K457" s="29">
        <f>F457</f>
        <v/>
      </c>
    </row>
    <row r="458">
      <c r="A458" s="29">
        <f>CONCATENATE("NAME_ITEM_", SUBSTITUTE(SUBSTITUTE(UPPER(B458), " ", ""), ".", ""))</f>
        <v/>
      </c>
      <c r="B458" s="29" t="inlineStr">
        <is>
          <t>Aggronite</t>
        </is>
      </c>
      <c r="C458" s="29">
        <f>CONCATENATE(Pokemon!C307,"ナイト")</f>
        <v/>
      </c>
      <c r="D458" s="29" t="inlineStr">
        <is>
          <t>Galekingite</t>
        </is>
      </c>
      <c r="E458" s="29" t="inlineStr">
        <is>
          <t>Stollossnit</t>
        </is>
      </c>
      <c r="F458" s="29">
        <f>SUBSTITUTE(G458,"ite","ita")</f>
        <v/>
      </c>
      <c r="G458" s="29">
        <f>B458</f>
        <v/>
      </c>
      <c r="H458" s="29">
        <f>CONCATENATE(Pokemon!H307,"나이트")</f>
        <v/>
      </c>
      <c r="I458" s="29">
        <f>IFERROR(__xludf.DUMMYFUNCTION("GOOGLETRANSLATE(J458,""zh_HANS"",""zh_HANT"")"),"波斯可多拉進化石")</f>
        <v/>
      </c>
      <c r="J458" s="29">
        <f>CONCATENATE(Pokemon!J307,"进化石")</f>
        <v/>
      </c>
      <c r="K458" s="29">
        <f>F458</f>
        <v/>
      </c>
    </row>
    <row r="459">
      <c r="A459" s="29">
        <f>CONCATENATE("NAME_ITEM_", SUBSTITUTE(SUBSTITUTE(UPPER(B459), " ", ""), ".", ""))</f>
        <v/>
      </c>
      <c r="B459" s="29" t="inlineStr">
        <is>
          <t>Banettite</t>
        </is>
      </c>
      <c r="C459" s="29">
        <f>CONCATENATE(Pokemon!C355,"ナイト")</f>
        <v/>
      </c>
      <c r="D459" s="29" t="inlineStr">
        <is>
          <t>Branettite</t>
        </is>
      </c>
      <c r="E459" s="29" t="inlineStr">
        <is>
          <t>Banetteonit</t>
        </is>
      </c>
      <c r="F459" s="29">
        <f>SUBSTITUTE(G459,"ite","ita")</f>
        <v/>
      </c>
      <c r="G459" s="29">
        <f>B459</f>
        <v/>
      </c>
      <c r="H459" s="29">
        <f>CONCATENATE(Pokemon!H355,"나이트")</f>
        <v/>
      </c>
      <c r="I459" s="29">
        <f>IFERROR(__xludf.DUMMYFUNCTION("GOOGLETRANSLATE(J459,""zh_HANS"",""zh_HANT"")"),"詛咒娃娃進化石")</f>
        <v/>
      </c>
      <c r="J459" s="29">
        <f>CONCATENATE(Pokemon!J355,"进化石")</f>
        <v/>
      </c>
      <c r="K459" s="29">
        <f>F459</f>
        <v/>
      </c>
    </row>
    <row r="460">
      <c r="A460" s="29">
        <f>CONCATENATE("NAME_ITEM_", SUBSTITUTE(SUBSTITUTE(UPPER(B460), " ", ""), ".", ""))</f>
        <v/>
      </c>
      <c r="B460" s="29" t="inlineStr">
        <is>
          <t>Tyranitarite</t>
        </is>
      </c>
      <c r="C460" s="29">
        <f>CONCATENATE(Pokemon!C149,"ナイト")</f>
        <v/>
      </c>
      <c r="D460" s="29" t="inlineStr">
        <is>
          <t>Tyranocivite</t>
        </is>
      </c>
      <c r="E460" s="29" t="inlineStr">
        <is>
          <t>Despotarnit</t>
        </is>
      </c>
      <c r="F460" s="29">
        <f>SUBSTITUTE(G460,"ite","ita")</f>
        <v/>
      </c>
      <c r="G460" s="29">
        <f>B460</f>
        <v/>
      </c>
      <c r="H460" s="29">
        <f>CONCATENATE(Pokemon!H249,"나이트")</f>
        <v/>
      </c>
      <c r="I460" s="29">
        <f>IFERROR(__xludf.DUMMYFUNCTION("GOOGLETRANSLATE(J460,""zh_HANS"",""zh_HANT"")"),"班基拉斯進化石")</f>
        <v/>
      </c>
      <c r="J460" s="29">
        <f>CONCATENATE(Pokemon!J249,"进化石")</f>
        <v/>
      </c>
      <c r="K460" s="29">
        <f>F460</f>
        <v/>
      </c>
    </row>
    <row r="461">
      <c r="A461" s="29">
        <f>CONCATENATE("NAME_ITEM_", SUBSTITUTE(SUBSTITUTE(UPPER(B461), " ", ""), ".", ""))</f>
        <v/>
      </c>
      <c r="B461" s="29" t="inlineStr">
        <is>
          <t>Scizorite</t>
        </is>
      </c>
      <c r="C461" s="29">
        <f>CONCATENATE(Pokemon!C213,"ナイト")</f>
        <v/>
      </c>
      <c r="D461" s="29" t="inlineStr">
        <is>
          <t>Cizayoxite</t>
        </is>
      </c>
      <c r="E461" s="29" t="inlineStr">
        <is>
          <t>Scheroxnit</t>
        </is>
      </c>
      <c r="F461" s="29">
        <f>SUBSTITUTE(G461,"ite","ita")</f>
        <v/>
      </c>
      <c r="G461" s="29">
        <f>B461</f>
        <v/>
      </c>
      <c r="H461" s="29">
        <f>CONCATENATE(Pokemon!H213,"나이트")</f>
        <v/>
      </c>
      <c r="I461" s="29">
        <f>IFERROR(__xludf.DUMMYFUNCTION("GOOGLETRANSLATE(J461,""zh_HANS"",""zh_HANT"")"),"巨鉗螳螂進化石")</f>
        <v/>
      </c>
      <c r="J461" s="29">
        <f>CONCATENATE(Pokemon!J213,"进化石")</f>
        <v/>
      </c>
      <c r="K461" s="29">
        <f>F461</f>
        <v/>
      </c>
    </row>
    <row r="462">
      <c r="A462" s="29">
        <f>CONCATENATE("NAME_ITEM_", SUBSTITUTE(SUBSTITUTE(UPPER(B462), " ", ""), ".", ""))</f>
        <v/>
      </c>
      <c r="B462" s="29" t="inlineStr">
        <is>
          <t>Pinsirite</t>
        </is>
      </c>
      <c r="C462" s="29">
        <f>CONCATENATE(Pokemon!C128,"ナイト")</f>
        <v/>
      </c>
      <c r="D462" s="29" t="inlineStr">
        <is>
          <t>Scarabrutite</t>
        </is>
      </c>
      <c r="E462" s="29" t="inlineStr">
        <is>
          <t>Pinisirnit</t>
        </is>
      </c>
      <c r="F462" s="29">
        <f>SUBSTITUTE(G462,"ite","ita")</f>
        <v/>
      </c>
      <c r="G462" s="29">
        <f>B462</f>
        <v/>
      </c>
      <c r="H462" s="29">
        <f>CONCATENATE(Pokemon!H128,"나이트")</f>
        <v/>
      </c>
      <c r="I462" s="29">
        <f>IFERROR(__xludf.DUMMYFUNCTION("GOOGLETRANSLATE(J462,""zh_HANS"",""zh_HANT"")"),"凱羅斯進化石")</f>
        <v/>
      </c>
      <c r="J462" s="29">
        <f>CONCATENATE(Pokemon!J128,"进化石")</f>
        <v/>
      </c>
      <c r="K462" s="29">
        <f>F462</f>
        <v/>
      </c>
    </row>
    <row r="463">
      <c r="A463" s="29">
        <f>CONCATENATE("NAME_ITEM_", SUBSTITUTE(SUBSTITUTE(UPPER(B463), " ", ""), ".", ""))</f>
        <v/>
      </c>
      <c r="B463" s="29" t="inlineStr">
        <is>
          <t>Aerodactylite</t>
        </is>
      </c>
      <c r="C463" s="29">
        <f>CONCATENATE(Pokemon!C143,"ナイト")</f>
        <v/>
      </c>
      <c r="D463" s="29" t="inlineStr">
        <is>
          <t>Ptéraïte</t>
        </is>
      </c>
      <c r="E463" s="29" t="inlineStr">
        <is>
          <t>Aerodactylonit</t>
        </is>
      </c>
      <c r="F463" s="29">
        <f>SUBSTITUTE(G463,"ite","ita")</f>
        <v/>
      </c>
      <c r="G463" s="29">
        <f>B463</f>
        <v/>
      </c>
      <c r="H463" s="29">
        <f>CONCATENATE(Pokemon!H143,"나이트")</f>
        <v/>
      </c>
      <c r="I463" s="29">
        <f>IFERROR(__xludf.DUMMYFUNCTION("GOOGLETRANSLATE(J463,""zh_HANS"",""zh_HANT"")"),"化石翼龍進化石")</f>
        <v/>
      </c>
      <c r="J463" s="29">
        <f>CONCATENATE(Pokemon!J143,"进化石")</f>
        <v/>
      </c>
      <c r="K463" s="29">
        <f>F463</f>
        <v/>
      </c>
    </row>
    <row r="464">
      <c r="A464" s="29">
        <f>CONCATENATE("NAME_ITEM_", SUBSTITUTE(SUBSTITUTE(UPPER(B464), " ", ""), ".", ""))</f>
        <v/>
      </c>
      <c r="B464" s="29" t="inlineStr">
        <is>
          <t>Lucarionite</t>
        </is>
      </c>
      <c r="C464" s="29">
        <f>CONCATENATE(Pokemon!C449,"ナイト")</f>
        <v/>
      </c>
      <c r="D464" s="29" t="inlineStr">
        <is>
          <t>Lucarite</t>
        </is>
      </c>
      <c r="E464" s="29" t="inlineStr">
        <is>
          <t>Lucarionit</t>
        </is>
      </c>
      <c r="F464" s="29">
        <f>SUBSTITUTE(G464,"ite","ita")</f>
        <v/>
      </c>
      <c r="G464" s="29" t="inlineStr">
        <is>
          <t>Lucarite</t>
        </is>
      </c>
      <c r="H464" s="29">
        <f>CONCATENATE(Pokemon!H449,"나이트")</f>
        <v/>
      </c>
      <c r="I464" s="29">
        <f>IFERROR(__xludf.DUMMYFUNCTION("GOOGLETRANSLATE(J464,""zh_HANS"",""zh_HANT"")"),"路卡利歐進化石")</f>
        <v/>
      </c>
      <c r="J464" s="29">
        <f>CONCATENATE(Pokemon!J449,"进化石")</f>
        <v/>
      </c>
      <c r="K464" s="29">
        <f>F464</f>
        <v/>
      </c>
    </row>
    <row r="465">
      <c r="A465" s="29">
        <f>CONCATENATE("NAME_ITEM_", SUBSTITUTE(SUBSTITUTE(UPPER(B465), " ", ""), ".", ""))</f>
        <v/>
      </c>
      <c r="B465" s="29" t="inlineStr">
        <is>
          <t>Abomasite</t>
        </is>
      </c>
      <c r="C465" s="29">
        <f>CONCATENATE(Pokemon!C460,"ナイト")</f>
        <v/>
      </c>
      <c r="D465" s="29" t="inlineStr">
        <is>
          <t>Blizzarite</t>
        </is>
      </c>
      <c r="E465" s="29" t="inlineStr">
        <is>
          <t>Rexblisarnit</t>
        </is>
      </c>
      <c r="F465" s="29">
        <f>SUBSTITUTE(G465,"ite","ita")</f>
        <v/>
      </c>
      <c r="G465" s="29" t="inlineStr">
        <is>
          <t>Abomasnowite</t>
        </is>
      </c>
      <c r="H465" s="29">
        <f>CONCATENATE(Pokemon!H461,"나이트")</f>
        <v/>
      </c>
      <c r="I465" s="29">
        <f>IFERROR(__xludf.DUMMYFUNCTION("GOOGLETRANSLATE(J465,""zh_HANS"",""zh_HANT"")"),"暴雪王進化石")</f>
        <v/>
      </c>
      <c r="J465" s="29">
        <f>CONCATENATE(Pokemon!J461,"进化石")</f>
        <v/>
      </c>
      <c r="K465" s="29">
        <f>F465</f>
        <v/>
      </c>
    </row>
    <row r="466">
      <c r="A466" s="29">
        <f>CONCATENATE("NAME_ITEM_", SUBSTITUTE(SUBSTITUTE(UPPER(B466), " ", ""), ".", ""))</f>
        <v/>
      </c>
      <c r="B466" s="29" t="inlineStr">
        <is>
          <t>Kangaskhanite</t>
        </is>
      </c>
      <c r="C466" s="29">
        <f>CONCATENATE(Pokemon!C116,"ナイト")</f>
        <v/>
      </c>
      <c r="D466" s="29" t="inlineStr">
        <is>
          <t>Kangourexite</t>
        </is>
      </c>
      <c r="E466" s="29" t="inlineStr">
        <is>
          <t>Kangamanit</t>
        </is>
      </c>
      <c r="F466" s="29">
        <f>SUBSTITUTE(G466,"ite","ita")</f>
        <v/>
      </c>
      <c r="G466" s="29">
        <f>B466</f>
        <v/>
      </c>
      <c r="H466" s="29">
        <f>CONCATENATE(Pokemon!H116,"나이트")</f>
        <v/>
      </c>
      <c r="I466" s="29">
        <f>IFERROR(__xludf.DUMMYFUNCTION("GOOGLETRANSLATE(J466,""zh_HANS"",""zh_HANT"")"),"袋獸進化石")</f>
        <v/>
      </c>
      <c r="J466" s="29">
        <f>CONCATENATE(Pokemon!J116,"进化石")</f>
        <v/>
      </c>
      <c r="K466" s="29">
        <f>F466</f>
        <v/>
      </c>
    </row>
    <row r="467">
      <c r="A467" s="29">
        <f>CONCATENATE("NAME_ITEM_", SUBSTITUTE(SUBSTITUTE(UPPER(B467), " ", ""), ".", ""))</f>
        <v/>
      </c>
      <c r="B467" s="29" t="inlineStr">
        <is>
          <t>Gyaradosite</t>
        </is>
      </c>
      <c r="C467" s="29">
        <f>CONCATENATE(Pokemon!C131,"ナイト")</f>
        <v/>
      </c>
      <c r="D467" s="29" t="inlineStr">
        <is>
          <t>Léviatorite</t>
        </is>
      </c>
      <c r="E467" s="29" t="inlineStr">
        <is>
          <t>Garadosnit</t>
        </is>
      </c>
      <c r="F467" s="29">
        <f>SUBSTITUTE(G467,"ite","ita")</f>
        <v/>
      </c>
      <c r="G467" s="29">
        <f>B467</f>
        <v/>
      </c>
      <c r="H467" s="29">
        <f>CONCATENATE(Pokemon!H131,"나이트")</f>
        <v/>
      </c>
      <c r="I467" s="29">
        <f>IFERROR(__xludf.DUMMYFUNCTION("GOOGLETRANSLATE(J467,""zh_HANS"",""zh_HANT"")"),"暴鯉龍進化石")</f>
        <v/>
      </c>
      <c r="J467" s="29">
        <f>CONCATENATE(Pokemon!J131,"进化石")</f>
        <v/>
      </c>
      <c r="K467" s="29">
        <f>F467</f>
        <v/>
      </c>
    </row>
    <row r="468">
      <c r="A468" s="29">
        <f>CONCATENATE("NAME_ITEM_", SUBSTITUTE(SUBSTITUTE(UPPER(B468), " ", ""), ".", ""))</f>
        <v/>
      </c>
      <c r="B468" s="29" t="inlineStr">
        <is>
          <t>Absolite</t>
        </is>
      </c>
      <c r="C468" s="29">
        <f>CONCATENATE(Pokemon!C360,"ナイト")</f>
        <v/>
      </c>
      <c r="D468" s="29" t="inlineStr">
        <is>
          <t>Absolite</t>
        </is>
      </c>
      <c r="E468" s="29" t="inlineStr">
        <is>
          <t>Absolnit</t>
        </is>
      </c>
      <c r="F468" s="29">
        <f>SUBSTITUTE(G468,"ite","ita")</f>
        <v/>
      </c>
      <c r="G468" s="29">
        <f>B468</f>
        <v/>
      </c>
      <c r="H468" s="29">
        <f>CONCATENATE(Pokemon!H461,"나이트")</f>
        <v/>
      </c>
      <c r="I468" s="29">
        <f>IFERROR(__xludf.DUMMYFUNCTION("GOOGLETRANSLATE(J468,""zh_HANS"",""zh_HANT"")"),"暴雪王進化石")</f>
        <v/>
      </c>
      <c r="J468" s="29">
        <f>CONCATENATE(Pokemon!J461,"进化石")</f>
        <v/>
      </c>
      <c r="K468" s="29">
        <f>F468</f>
        <v/>
      </c>
    </row>
    <row r="469">
      <c r="A469" s="29">
        <f>CONCATENATE("NAME_ITEM_", SUBSTITUTE(SUBSTITUTE(UPPER(B469), " ", ""), ".", ""))</f>
        <v/>
      </c>
      <c r="B469" s="29" t="inlineStr">
        <is>
          <t>Charizardite Y</t>
        </is>
      </c>
      <c r="C469" s="29">
        <f>CONCATENATE(Pokemon!C7,"ナイト","Ｙ")</f>
        <v/>
      </c>
      <c r="D469" s="29" t="inlineStr">
        <is>
          <t>Dracaufite Y</t>
        </is>
      </c>
      <c r="E469" s="29" t="inlineStr">
        <is>
          <t>Gluraknit Y</t>
        </is>
      </c>
      <c r="F469" s="29">
        <f>SUBSTITUTE(G469,"ite","ita")</f>
        <v/>
      </c>
      <c r="G469" s="29">
        <f>B469</f>
        <v/>
      </c>
      <c r="H469" s="29">
        <f>CONCATENATE(Pokemon!H7,"나이트","Ｙ")</f>
        <v/>
      </c>
      <c r="I469" s="29">
        <f>IFERROR(__xludf.DUMMYFUNCTION("GOOGLETRANSLATE(J469,""zh_HANS"",""zh_HANT"")"),"噴火龍進化石Ｙ")</f>
        <v/>
      </c>
      <c r="J469" s="29">
        <f>CONCATENATE(Pokemon!J7,"进化石","Ｙ")</f>
        <v/>
      </c>
      <c r="K469" s="29">
        <f>F469</f>
        <v/>
      </c>
    </row>
    <row r="470">
      <c r="A470" s="29">
        <f>CONCATENATE("NAME_ITEM_", SUBSTITUTE(SUBSTITUTE(UPPER(B470), " ", ""), ".", ""))</f>
        <v/>
      </c>
      <c r="B470" s="29" t="inlineStr">
        <is>
          <t>Alakazite</t>
        </is>
      </c>
      <c r="C470" s="29">
        <f>CONCATENATE(Pokemon!C66,"ナイト")</f>
        <v/>
      </c>
      <c r="D470" s="29" t="inlineStr">
        <is>
          <t>Alakazamite</t>
        </is>
      </c>
      <c r="E470" s="29" t="inlineStr">
        <is>
          <t>Simsalanit</t>
        </is>
      </c>
      <c r="F470" s="29">
        <f>SUBSTITUTE(G470,"ite","ita")</f>
        <v/>
      </c>
      <c r="G470" s="29" t="inlineStr">
        <is>
          <t>Alakazamite</t>
        </is>
      </c>
      <c r="H470" s="29">
        <f>CONCATENATE(Pokemon!H66,"나이트")</f>
        <v/>
      </c>
      <c r="I470" s="29">
        <f>IFERROR(__xludf.DUMMYFUNCTION("GOOGLETRANSLATE(J470,""zh_HANS"",""zh_HANT"")"),"胡地進化石")</f>
        <v/>
      </c>
      <c r="J470" s="29">
        <f>CONCATENATE(Pokemon!J66,"进化石")</f>
        <v/>
      </c>
      <c r="K470" s="29">
        <f>F470</f>
        <v/>
      </c>
    </row>
    <row r="471">
      <c r="A471" s="29">
        <f>CONCATENATE("NAME_ITEM_", SUBSTITUTE(SUBSTITUTE(UPPER(B471), " ", ""), ".", ""))</f>
        <v/>
      </c>
      <c r="B471" s="29" t="inlineStr">
        <is>
          <t>Hercronite</t>
        </is>
      </c>
      <c r="C471" s="29">
        <f>CONCATENATE(Pokemon!C215,"ナイト")</f>
        <v/>
      </c>
      <c r="D471" s="29" t="inlineStr">
        <is>
          <t>Scarhinoïte</t>
        </is>
      </c>
      <c r="E471" s="29" t="inlineStr">
        <is>
          <t>Skarabornit</t>
        </is>
      </c>
      <c r="F471" s="29">
        <f>SUBSTITUTE(G471,"ite","ita")</f>
        <v/>
      </c>
      <c r="G471" s="29" t="inlineStr">
        <is>
          <t>Heracrossite</t>
        </is>
      </c>
      <c r="H471" s="29">
        <f>CONCATENATE(Pokemon!H215,"나이트")</f>
        <v/>
      </c>
      <c r="I471" s="29">
        <f>IFERROR(__xludf.DUMMYFUNCTION("GOOGLETRANSLATE(J471,""zh_HANS"",""zh_HANT"")"),"赫拉克羅斯進化石")</f>
        <v/>
      </c>
      <c r="J471" s="29">
        <f>CONCATENATE(Pokemon!J215,"进化石")</f>
        <v/>
      </c>
      <c r="K471" s="29">
        <f>F471</f>
        <v/>
      </c>
    </row>
    <row r="472">
      <c r="A472" s="29">
        <f>CONCATENATE("NAME_ITEM_", SUBSTITUTE(SUBSTITUTE(UPPER(B472), " ", ""), ".", ""))</f>
        <v/>
      </c>
      <c r="B472" s="29" t="inlineStr">
        <is>
          <t>Mawilite</t>
        </is>
      </c>
      <c r="C472" s="29">
        <f>CONCATENATE(Pokemon!C304,"ナイト")</f>
        <v/>
      </c>
      <c r="D472" s="29" t="inlineStr">
        <is>
          <t>Mysdibulite</t>
        </is>
      </c>
      <c r="E472" s="29" t="inlineStr">
        <is>
          <t>Flunkifernit</t>
        </is>
      </c>
      <c r="F472" s="29">
        <f>SUBSTITUTE(G472,"ite","ita")</f>
        <v/>
      </c>
      <c r="G472" s="29">
        <f>B472</f>
        <v/>
      </c>
      <c r="H472" s="29">
        <f>CONCATENATE(Pokemon!H304,"나이트")</f>
        <v/>
      </c>
      <c r="I472" s="29">
        <f>IFERROR(__xludf.DUMMYFUNCTION("GOOGLETRANSLATE(J472,""zh_HANS"",""zh_HANT"")"),"大嘴娃進化石")</f>
        <v/>
      </c>
      <c r="J472" s="29">
        <f>CONCATENATE(Pokemon!J304,"进化石")</f>
        <v/>
      </c>
      <c r="K472" s="29">
        <f>F472</f>
        <v/>
      </c>
    </row>
    <row r="473">
      <c r="A473" s="29">
        <f>CONCATENATE("NAME_ITEM_", SUBSTITUTE(SUBSTITUTE(UPPER(B473), " ", ""), ".", ""))</f>
        <v/>
      </c>
      <c r="B473" s="29" t="inlineStr">
        <is>
          <t>Manectite</t>
        </is>
      </c>
      <c r="C473" s="29">
        <f>CONCATENATE(Pokemon!C311,"ナイト")</f>
        <v/>
      </c>
      <c r="D473" s="29" t="inlineStr">
        <is>
          <t>Élecsprintite</t>
        </is>
      </c>
      <c r="E473" s="29" t="inlineStr">
        <is>
          <t>Voltensonit</t>
        </is>
      </c>
      <c r="F473" s="29">
        <f>SUBSTITUTE(G473,"ite","ita")</f>
        <v/>
      </c>
      <c r="G473" s="29" t="inlineStr">
        <is>
          <t>Manectricite</t>
        </is>
      </c>
      <c r="H473" s="29">
        <f>CONCATENATE(Pokemon!H311,"나이트")</f>
        <v/>
      </c>
      <c r="I473" s="29">
        <f>IFERROR(__xludf.DUMMYFUNCTION("GOOGLETRANSLATE(J473,""zh_HANS"",""zh_HANT"")"),"雷電獸進化石")</f>
        <v/>
      </c>
      <c r="J473" s="29">
        <f>CONCATENATE(Pokemon!J311,"进化石")</f>
        <v/>
      </c>
      <c r="K473" s="29">
        <f>F473</f>
        <v/>
      </c>
    </row>
    <row r="474">
      <c r="A474" s="29">
        <f>CONCATENATE("NAME_ITEM_", SUBSTITUTE(SUBSTITUTE(UPPER(B474), " ", ""), ".", ""))</f>
        <v/>
      </c>
      <c r="B474" s="29" t="inlineStr">
        <is>
          <t>Garchompite</t>
        </is>
      </c>
      <c r="C474" s="29">
        <f>CONCATENATE(Pokemon!C446,"ナイト")</f>
        <v/>
      </c>
      <c r="D474" s="29" t="inlineStr">
        <is>
          <t>Carchacrokite</t>
        </is>
      </c>
      <c r="E474" s="29" t="inlineStr">
        <is>
          <t>Knakracknit</t>
        </is>
      </c>
      <c r="F474" s="29">
        <f>SUBSTITUTE(G474,"ite","ita")</f>
        <v/>
      </c>
      <c r="G474" s="29">
        <f>B474</f>
        <v/>
      </c>
      <c r="H474" s="29">
        <f>CONCATENATE(Pokemon!H446,"나이트")</f>
        <v/>
      </c>
      <c r="I474" s="29">
        <f>IFERROR(__xludf.DUMMYFUNCTION("GOOGLETRANSLATE(J474,""zh_HANS"",""zh_HANT"")"),"烈咬陸鯊進化石")</f>
        <v/>
      </c>
      <c r="J474" s="29">
        <f>CONCATENATE(Pokemon!J446,"进化石")</f>
        <v/>
      </c>
      <c r="K474" s="29">
        <f>F474</f>
        <v/>
      </c>
    </row>
    <row r="475">
      <c r="A475" s="29">
        <f>CONCATENATE("NAME_ITEM_", SUBSTITUTE(SUBSTITUTE(UPPER(B475), " ", ""), ".", ""))</f>
        <v/>
      </c>
      <c r="B475" s="29" t="inlineStr">
        <is>
          <t>Latiasite</t>
        </is>
      </c>
      <c r="C475" s="29">
        <f>CONCATENATE(Pokemon!C381,"ナイト")</f>
        <v/>
      </c>
      <c r="D475" s="29" t="inlineStr">
        <is>
          <t>Latiasite</t>
        </is>
      </c>
      <c r="E475" s="29" t="inlineStr">
        <is>
          <t>Latiasnit</t>
        </is>
      </c>
      <c r="F475" s="29">
        <f>SUBSTITUTE(G475,"ite","ita")</f>
        <v/>
      </c>
      <c r="G475" s="29">
        <f>B475</f>
        <v/>
      </c>
      <c r="H475" s="29">
        <f>CONCATENATE(Pokemon!H381,"나이트")</f>
        <v/>
      </c>
      <c r="I475" s="29">
        <f>IFERROR(__xludf.DUMMYFUNCTION("GOOGLETRANSLATE(J475,""zh_HANS"",""zh_HANT"")"),"拉帝亞斯進化石")</f>
        <v/>
      </c>
      <c r="J475" s="29">
        <f>CONCATENATE(Pokemon!J381,"进化石")</f>
        <v/>
      </c>
      <c r="K475" s="29">
        <f>F475</f>
        <v/>
      </c>
    </row>
    <row r="476">
      <c r="A476" s="29">
        <f>CONCATENATE("NAME_ITEM_", SUBSTITUTE(SUBSTITUTE(UPPER(B476), " ", ""), ".", ""))</f>
        <v/>
      </c>
      <c r="B476" s="29" t="inlineStr">
        <is>
          <t>Latiosite</t>
        </is>
      </c>
      <c r="C476" s="29">
        <f>CONCATENATE(Pokemon!C382,"ナイト")</f>
        <v/>
      </c>
      <c r="D476" s="29" t="inlineStr">
        <is>
          <t>Latiosite</t>
        </is>
      </c>
      <c r="E476" s="29" t="inlineStr">
        <is>
          <t>Latiosnit</t>
        </is>
      </c>
      <c r="F476" s="29">
        <f>SUBSTITUTE(G476,"ite","ita")</f>
        <v/>
      </c>
      <c r="G476" s="29">
        <f>B476</f>
        <v/>
      </c>
      <c r="H476" s="29">
        <f>CONCATENATE(Pokemon!H382,"나이트")</f>
        <v/>
      </c>
      <c r="I476" s="29">
        <f>IFERROR(__xludf.DUMMYFUNCTION("GOOGLETRANSLATE(J476,""zh_HANS"",""zh_HANT"")"),"拉帝歐斯進化石")</f>
        <v/>
      </c>
      <c r="J476" s="29">
        <f>CONCATENATE(Pokemon!J382,"进化石")</f>
        <v/>
      </c>
      <c r="K476" s="29">
        <f>F476</f>
        <v/>
      </c>
    </row>
    <row r="477">
      <c r="A477" s="29">
        <f>CONCATENATE("NAME_ITEM_", SUBSTITUTE(SUBSTITUTE(UPPER(B477), " ", ""), ".", ""))</f>
        <v/>
      </c>
      <c r="B477" s="29" t="inlineStr">
        <is>
          <t>Swarmpertite</t>
        </is>
      </c>
      <c r="C477" s="29">
        <f>CONCATENATE(Pokemon!C261,"ナイト")</f>
        <v/>
      </c>
      <c r="D477" s="29" t="inlineStr">
        <is>
          <t>Laggronite</t>
        </is>
      </c>
      <c r="E477" s="29" t="inlineStr">
        <is>
          <t>Sumpexnit</t>
        </is>
      </c>
      <c r="F477" s="29">
        <f>SUBSTITUTE(G477,"ite","ita")</f>
        <v/>
      </c>
      <c r="G477" s="29">
        <f>B477</f>
        <v/>
      </c>
      <c r="H477" s="29">
        <f>CONCATENATE(Pokemon!H261,"나이트")</f>
        <v/>
      </c>
      <c r="I477" s="29">
        <f>IFERROR(__xludf.DUMMYFUNCTION("GOOGLETRANSLATE(J477,""zh_HANS"",""zh_HANT"")"),"巨沼怪進化石")</f>
        <v/>
      </c>
      <c r="J477" s="29">
        <f>CONCATENATE(Pokemon!J261,"进化石")</f>
        <v/>
      </c>
      <c r="K477" s="29">
        <f>F477</f>
        <v/>
      </c>
    </row>
    <row r="478">
      <c r="A478" s="29">
        <f>CONCATENATE("NAME_ITEM_", SUBSTITUTE(SUBSTITUTE(UPPER(B478), " ", ""), ".", ""))</f>
        <v/>
      </c>
      <c r="B478" s="29" t="inlineStr">
        <is>
          <t>Sceptilite</t>
        </is>
      </c>
      <c r="C478" s="29">
        <f>CONCATENATE(Pokemon!C255,"ナイト")</f>
        <v/>
      </c>
      <c r="D478" s="29" t="inlineStr">
        <is>
          <t>Jungkite</t>
        </is>
      </c>
      <c r="E478" s="29" t="inlineStr">
        <is>
          <t>Gewaldronit</t>
        </is>
      </c>
      <c r="F478" s="29">
        <f>SUBSTITUTE(G478,"ite","ita")</f>
        <v/>
      </c>
      <c r="G478" s="29">
        <f>B478</f>
        <v/>
      </c>
      <c r="H478" s="29">
        <f>CONCATENATE(Pokemon!H255,"나이트")</f>
        <v/>
      </c>
      <c r="I478" s="29">
        <f>IFERROR(__xludf.DUMMYFUNCTION("GOOGLETRANSLATE(J478,""zh_HANS"",""zh_HANT"")"),"蜥蜴王進化石")</f>
        <v/>
      </c>
      <c r="J478" s="29">
        <f>CONCATENATE(Pokemon!J255,"进化石")</f>
        <v/>
      </c>
      <c r="K478" s="29">
        <f>F478</f>
        <v/>
      </c>
    </row>
    <row r="479">
      <c r="A479" s="29">
        <f>CONCATENATE("NAME_ITEM_", SUBSTITUTE(SUBSTITUTE(UPPER(B479), " ", ""), ".", ""))</f>
        <v/>
      </c>
      <c r="B479" s="29" t="inlineStr">
        <is>
          <t>Sablenite</t>
        </is>
      </c>
      <c r="C479" s="29">
        <f>CONCATENATE(Pokemon!C303,"ナイト")</f>
        <v/>
      </c>
      <c r="D479" s="29" t="inlineStr">
        <is>
          <t>Ténéfixite</t>
        </is>
      </c>
      <c r="E479" s="29" t="inlineStr">
        <is>
          <t>Zobirisnit</t>
        </is>
      </c>
      <c r="F479" s="29">
        <f>SUBSTITUTE(G479,"ite","ita")</f>
        <v/>
      </c>
      <c r="G479" s="29" t="inlineStr">
        <is>
          <t>Sableyite</t>
        </is>
      </c>
      <c r="H479" s="29">
        <f>CONCATENATE(Pokemon!H303,"나이트")</f>
        <v/>
      </c>
      <c r="I479" s="29">
        <f>IFERROR(__xludf.DUMMYFUNCTION("GOOGLETRANSLATE(J479,""zh_HANS"",""zh_HANT"")"),"勾魂眼進化石")</f>
        <v/>
      </c>
      <c r="J479" s="29">
        <f>CONCATENATE(Pokemon!J303,"进化石")</f>
        <v/>
      </c>
      <c r="K479" s="29">
        <f>F479</f>
        <v/>
      </c>
    </row>
    <row r="480">
      <c r="A480" s="29">
        <f>CONCATENATE("NAME_ITEM_", SUBSTITUTE(SUBSTITUTE(UPPER(B480), " ", ""), ".", ""))</f>
        <v/>
      </c>
      <c r="B480" s="29" t="inlineStr">
        <is>
          <t>Altarianite</t>
        </is>
      </c>
      <c r="C480" s="29">
        <f>CONCATENATE(Pokemon!C335,"ナイト")</f>
        <v/>
      </c>
      <c r="D480" s="29" t="inlineStr">
        <is>
          <t>Altarite</t>
        </is>
      </c>
      <c r="E480" s="29" t="inlineStr">
        <is>
          <t>Altarianit</t>
        </is>
      </c>
      <c r="F480" s="29">
        <f>SUBSTITUTE(G480,"ite","ita")</f>
        <v/>
      </c>
      <c r="G480" s="29" t="inlineStr">
        <is>
          <t>Altarite</t>
        </is>
      </c>
      <c r="H480" s="29">
        <f>CONCATENATE(Pokemon!H335,"나이트")</f>
        <v/>
      </c>
      <c r="I480" s="29">
        <f>IFERROR(__xludf.DUMMYFUNCTION("GOOGLETRANSLATE(J480,""zh_HANS"",""zh_HANT"")"),"七夕青鳥進化石")</f>
        <v/>
      </c>
      <c r="J480" s="29">
        <f>CONCATENATE(Pokemon!J335,"进化石")</f>
        <v/>
      </c>
      <c r="K480" s="29">
        <f>F480</f>
        <v/>
      </c>
    </row>
    <row r="481">
      <c r="A481" s="29">
        <f>CONCATENATE("NAME_ITEM_", SUBSTITUTE(SUBSTITUTE(UPPER(B481), " ", ""), ".", ""))</f>
        <v/>
      </c>
      <c r="B481" s="29" t="inlineStr">
        <is>
          <t>Galladite</t>
        </is>
      </c>
      <c r="C481" s="29">
        <f>CONCATENATE(Pokemon!C476,"ナイト")</f>
        <v/>
      </c>
      <c r="D481" s="29" t="inlineStr">
        <is>
          <t>Gallamite</t>
        </is>
      </c>
      <c r="E481" s="29" t="inlineStr">
        <is>
          <t>Galagladinit</t>
        </is>
      </c>
      <c r="F481" s="29">
        <f>SUBSTITUTE(G481,"ite","ita")</f>
        <v/>
      </c>
      <c r="G481" s="29">
        <f>B481</f>
        <v/>
      </c>
      <c r="H481" s="29">
        <f>CONCATENATE(Pokemon!H476,"나이트")</f>
        <v/>
      </c>
      <c r="I481" s="29">
        <f>IFERROR(__xludf.DUMMYFUNCTION("GOOGLETRANSLATE(J481,""zh_HANS"",""zh_HANT"")"),"艾路雷朵進化石")</f>
        <v/>
      </c>
      <c r="J481" s="29">
        <f>CONCATENATE(Pokemon!J476,"进化石")</f>
        <v/>
      </c>
      <c r="K481" s="29">
        <f>F481</f>
        <v/>
      </c>
    </row>
    <row r="482">
      <c r="A482" s="29">
        <f>CONCATENATE("NAME_ITEM_", SUBSTITUTE(SUBSTITUTE(UPPER(B482), " ", ""), ".", ""))</f>
        <v/>
      </c>
      <c r="B482" s="29" t="inlineStr">
        <is>
          <t>Audinite</t>
        </is>
      </c>
      <c r="C482" s="29">
        <f>CONCATENATE(Pokemon!C532,"ナイト")</f>
        <v/>
      </c>
      <c r="D482" s="29" t="inlineStr">
        <is>
          <t>Nanméouïte</t>
        </is>
      </c>
      <c r="E482" s="29" t="inlineStr">
        <is>
          <t>Ohrdochnit</t>
        </is>
      </c>
      <c r="F482" s="29">
        <f>SUBSTITUTE(G482,"ite","ita")</f>
        <v/>
      </c>
      <c r="G482" s="29">
        <f>B482</f>
        <v/>
      </c>
      <c r="H482" s="29">
        <f>CONCATENATE(Pokemon!H532,"나이트")</f>
        <v/>
      </c>
      <c r="I482" s="29">
        <f>IFERROR(__xludf.DUMMYFUNCTION("GOOGLETRANSLATE(J482,""zh_HANS"",""zh_HANT"")"),"差不多娃娃進化石")</f>
        <v/>
      </c>
      <c r="J482" s="29">
        <f>CONCATENATE(Pokemon!J532,"进化石")</f>
        <v/>
      </c>
      <c r="K482" s="29">
        <f>F482</f>
        <v/>
      </c>
    </row>
    <row r="483">
      <c r="A483" s="29">
        <f>CONCATENATE("NAME_ITEM_", SUBSTITUTE(SUBSTITUTE(UPPER(B483), " ", ""), ".", ""))</f>
        <v/>
      </c>
      <c r="B483" s="29" t="inlineStr">
        <is>
          <t>Metagrossite</t>
        </is>
      </c>
      <c r="C483" s="29">
        <f>CONCATENATE(Pokemon!C377,"ナイト")</f>
        <v/>
      </c>
      <c r="D483" s="29" t="inlineStr">
        <is>
          <t>Métalossite</t>
        </is>
      </c>
      <c r="E483" s="29" t="inlineStr">
        <is>
          <t>Metagrossnit</t>
        </is>
      </c>
      <c r="F483" s="29">
        <f>SUBSTITUTE(G483,"ite","ita")</f>
        <v/>
      </c>
      <c r="G483" s="29">
        <f>B483</f>
        <v/>
      </c>
      <c r="H483" s="29">
        <f>CONCATENATE(Pokemon!H377,"나이트")</f>
        <v/>
      </c>
      <c r="I483" s="29">
        <f>IFERROR(__xludf.DUMMYFUNCTION("GOOGLETRANSLATE(J483,""zh_HANS"",""zh_HANT"")"),"大金怪進化石")</f>
        <v/>
      </c>
      <c r="J483" s="29">
        <f>CONCATENATE(Pokemon!J377,"进化石")</f>
        <v/>
      </c>
      <c r="K483" s="29">
        <f>F483</f>
        <v/>
      </c>
    </row>
    <row r="484">
      <c r="A484" s="29">
        <f>CONCATENATE("NAME_ITEM_", SUBSTITUTE(SUBSTITUTE(UPPER(B484), " ", ""), ".", ""))</f>
        <v/>
      </c>
      <c r="B484" s="29" t="inlineStr">
        <is>
          <t>Sharpedonite</t>
        </is>
      </c>
      <c r="C484" s="29">
        <f>CONCATENATE(Pokemon!C320,"ナイト")</f>
        <v/>
      </c>
      <c r="D484" s="29" t="inlineStr">
        <is>
          <t>Sharpedite</t>
        </is>
      </c>
      <c r="E484" s="29" t="inlineStr">
        <is>
          <t>Tohaidonit</t>
        </is>
      </c>
      <c r="F484" s="29">
        <f>SUBSTITUTE(G484,"ite","ita")</f>
        <v/>
      </c>
      <c r="G484" s="29" t="inlineStr">
        <is>
          <t>Sharpedite</t>
        </is>
      </c>
      <c r="H484" s="29">
        <f>CONCATENATE(Pokemon!H320,"나이트")</f>
        <v/>
      </c>
      <c r="I484" s="29">
        <f>IFERROR(__xludf.DUMMYFUNCTION("GOOGLETRANSLATE(J484,""zh_HANS"",""zh_HANT"")"),"巨牙鯊進化石")</f>
        <v/>
      </c>
      <c r="J484" s="29">
        <f>CONCATENATE(Pokemon!J320,"进化石")</f>
        <v/>
      </c>
      <c r="K484" s="29">
        <f>F484</f>
        <v/>
      </c>
    </row>
    <row r="485">
      <c r="A485" s="29">
        <f>CONCATENATE("NAME_ITEM_", SUBSTITUTE(SUBSTITUTE(UPPER(B485), " ", ""), ".", ""))</f>
        <v/>
      </c>
      <c r="B485" s="29" t="inlineStr">
        <is>
          <t>Slowbronite</t>
        </is>
      </c>
      <c r="C485" s="29">
        <f>CONCATENATE(Pokemon!C81,"ナイト")</f>
        <v/>
      </c>
      <c r="D485" s="29" t="inlineStr">
        <is>
          <t>Flagadossite</t>
        </is>
      </c>
      <c r="E485" s="29" t="inlineStr">
        <is>
          <t>Lahmusnit</t>
        </is>
      </c>
      <c r="F485" s="29">
        <f>SUBSTITUTE(G485,"ite","ita")</f>
        <v/>
      </c>
      <c r="G485" s="29" t="inlineStr">
        <is>
          <t>Slowbroite</t>
        </is>
      </c>
      <c r="H485" s="29">
        <f>CONCATENATE(Pokemon!H81,"나이트")</f>
        <v/>
      </c>
      <c r="I485" s="29">
        <f>IFERROR(__xludf.DUMMYFUNCTION("GOOGLETRANSLATE(J485,""zh_HANS"",""zh_HANT"")"),"呆殼獸進化石")</f>
        <v/>
      </c>
      <c r="J485" s="29">
        <f>CONCATENATE(Pokemon!J81,"进化石")</f>
        <v/>
      </c>
      <c r="K485" s="29">
        <f>F485</f>
        <v/>
      </c>
    </row>
    <row r="486">
      <c r="A486" s="29">
        <f>CONCATENATE("NAME_ITEM_", SUBSTITUTE(SUBSTITUTE(UPPER(B486), " ", ""), ".", ""))</f>
        <v/>
      </c>
      <c r="B486" s="29" t="inlineStr">
        <is>
          <t>Steelixite</t>
        </is>
      </c>
      <c r="C486" s="29">
        <f>CONCATENATE(Pokemon!C209,"ナイト")</f>
        <v/>
      </c>
      <c r="D486" s="29">
        <f>B486</f>
        <v/>
      </c>
      <c r="E486" s="29" t="inlineStr">
        <is>
          <t>Stahlosnit</t>
        </is>
      </c>
      <c r="F486" s="29">
        <f>SUBSTITUTE(G486,"ite","ita")</f>
        <v/>
      </c>
      <c r="G486" s="29">
        <f>B486</f>
        <v/>
      </c>
      <c r="H486" s="29">
        <f>CONCATENATE(Pokemon!H209,"나이트")</f>
        <v/>
      </c>
      <c r="I486" s="29">
        <f>IFERROR(__xludf.DUMMYFUNCTION("GOOGLETRANSLATE(J486,""zh_HANS"",""zh_HANT"")"),"大鋼蛇進化石")</f>
        <v/>
      </c>
      <c r="J486" s="29">
        <f>CONCATENATE(Pokemon!J209,"进化石")</f>
        <v/>
      </c>
      <c r="K486" s="29">
        <f>F486</f>
        <v/>
      </c>
    </row>
    <row r="487">
      <c r="A487" s="29">
        <f>CONCATENATE("NAME_ITEM_", SUBSTITUTE(SUBSTITUTE(UPPER(B487), " ", ""), ".", ""))</f>
        <v/>
      </c>
      <c r="B487" s="29" t="inlineStr">
        <is>
          <t>Pidgeotite</t>
        </is>
      </c>
      <c r="C487" s="29">
        <f>CONCATENATE(Pokemon!C19,"ナイト")</f>
        <v/>
      </c>
      <c r="D487" s="29" t="inlineStr">
        <is>
          <t>Roucarnagite</t>
        </is>
      </c>
      <c r="E487" s="29" t="inlineStr">
        <is>
          <t>Taubossnit</t>
        </is>
      </c>
      <c r="F487" s="29">
        <f>SUBSTITUTE(G487,"ite","ita")</f>
        <v/>
      </c>
      <c r="G487" s="29">
        <f>B487</f>
        <v/>
      </c>
      <c r="H487" s="29">
        <f>CONCATENATE(Pokemon!H19,"나이트")</f>
        <v/>
      </c>
      <c r="I487" s="29">
        <f>IFERROR(__xludf.DUMMYFUNCTION("GOOGLETRANSLATE(J487,""zh_HANS"",""zh_HANT"")"),"大比鳥進化石")</f>
        <v/>
      </c>
      <c r="J487" s="29">
        <f>CONCATENATE(Pokemon!J19,"进化石")</f>
        <v/>
      </c>
      <c r="K487" s="29">
        <f>F487</f>
        <v/>
      </c>
    </row>
    <row r="488">
      <c r="A488" s="29">
        <f>CONCATENATE("NAME_ITEM_", SUBSTITUTE(SUBSTITUTE(UPPER(B488), " ", ""), ".", ""))</f>
        <v/>
      </c>
      <c r="B488" s="29" t="inlineStr">
        <is>
          <t>Glalitite</t>
        </is>
      </c>
      <c r="C488" s="29">
        <f>CONCATENATE(Pokemon!C363,"ナイト")</f>
        <v/>
      </c>
      <c r="D488" s="29" t="inlineStr">
        <is>
          <t>Oniglalite</t>
        </is>
      </c>
      <c r="E488" s="29" t="inlineStr">
        <is>
          <t>Firnontornit</t>
        </is>
      </c>
      <c r="F488" s="29">
        <f>SUBSTITUTE(G488,"ite","ita")</f>
        <v/>
      </c>
      <c r="G488" s="29" t="inlineStr">
        <is>
          <t>Glalite</t>
        </is>
      </c>
      <c r="H488" s="29">
        <f>CONCATENATE(Pokemon!H363,"나이트")</f>
        <v/>
      </c>
      <c r="I488" s="29">
        <f>IFERROR(__xludf.DUMMYFUNCTION("GOOGLETRANSLATE(J488,""zh_HANS"",""zh_HANT"")"),"冰鬼護進化石")</f>
        <v/>
      </c>
      <c r="J488" s="29">
        <f>CONCATENATE(Pokemon!J363,"进化石")</f>
        <v/>
      </c>
      <c r="K488" s="29">
        <f>F488</f>
        <v/>
      </c>
    </row>
    <row r="489">
      <c r="A489" s="29">
        <f>CONCATENATE("NAME_ITEM_", SUBSTITUTE(SUBSTITUTE(UPPER(B489), " ", ""), ".", ""))</f>
        <v/>
      </c>
      <c r="B489" s="29" t="inlineStr">
        <is>
          <t>Diancite</t>
        </is>
      </c>
      <c r="C489" s="29">
        <f>CONCATENATE(Pokemon!C720,"ナイト")</f>
        <v/>
      </c>
      <c r="D489" s="29" t="inlineStr">
        <is>
          <t>Diancite</t>
        </is>
      </c>
      <c r="E489" s="29" t="inlineStr">
        <is>
          <t>Diancienit</t>
        </is>
      </c>
      <c r="F489" s="29">
        <f>SUBSTITUTE(G489,"ite","ita")</f>
        <v/>
      </c>
      <c r="G489" s="29">
        <f>B489</f>
        <v/>
      </c>
      <c r="H489" s="29">
        <f>CONCATENATE(Pokemon!H720,"나이트")</f>
        <v/>
      </c>
      <c r="I489" s="29">
        <f>IFERROR(__xludf.DUMMYFUNCTION("GOOGLETRANSLATE(J489,""zh_HANS"",""zh_HANT"")"),"蒂安希進化石")</f>
        <v/>
      </c>
      <c r="J489" s="29">
        <f>CONCATENATE(Pokemon!J720,"进化石")</f>
        <v/>
      </c>
      <c r="K489" s="29">
        <f>F489</f>
        <v/>
      </c>
    </row>
    <row r="490">
      <c r="A490" s="29">
        <f>CONCATENATE("NAME_ITEM_", SUBSTITUTE(SUBSTITUTE(UPPER(B490), " ", ""), ".", ""))</f>
        <v/>
      </c>
      <c r="B490" s="29" t="inlineStr">
        <is>
          <t>Cameruptite</t>
        </is>
      </c>
      <c r="C490" s="29">
        <f>CONCATENATE(Pokemon!C324,"ナイト")</f>
        <v/>
      </c>
      <c r="D490" s="29" t="inlineStr">
        <is>
          <t>Caméruptite</t>
        </is>
      </c>
      <c r="E490" s="29" t="inlineStr">
        <is>
          <t>Cameruptnit</t>
        </is>
      </c>
      <c r="F490" s="29">
        <f>SUBSTITUTE(G490,"ite","ita")</f>
        <v/>
      </c>
      <c r="G490" s="29">
        <f>B490</f>
        <v/>
      </c>
      <c r="H490" s="29">
        <f>CONCATENATE(Pokemon!H324,"나이트")</f>
        <v/>
      </c>
      <c r="I490" s="29">
        <f>IFERROR(__xludf.DUMMYFUNCTION("GOOGLETRANSLATE(J490,""zh_HANS"",""zh_HANT"")"),"噴火駝進化石")</f>
        <v/>
      </c>
      <c r="J490" s="29">
        <f>CONCATENATE(Pokemon!J324,"进化石")</f>
        <v/>
      </c>
      <c r="K490" s="29">
        <f>F490</f>
        <v/>
      </c>
    </row>
    <row r="491">
      <c r="A491" s="29">
        <f>CONCATENATE("NAME_ITEM_", SUBSTITUTE(SUBSTITUTE(UPPER(B491), " ", ""), ".", ""))</f>
        <v/>
      </c>
      <c r="B491" s="29" t="inlineStr">
        <is>
          <t>Loppunite</t>
        </is>
      </c>
      <c r="C491" s="29">
        <f>CONCATENATE(Pokemon!C429,"ナイト")</f>
        <v/>
      </c>
      <c r="D491" s="29" t="inlineStr">
        <is>
          <t>Lockpinite</t>
        </is>
      </c>
      <c r="E491" s="29" t="inlineStr">
        <is>
          <t>Schlapornit</t>
        </is>
      </c>
      <c r="F491" s="29">
        <f>SUBSTITUTE(G491,"ite","ita")</f>
        <v/>
      </c>
      <c r="G491" s="29">
        <f>B491</f>
        <v/>
      </c>
      <c r="H491" s="29">
        <f>CONCATENATE(Pokemon!H429,"나이트")</f>
        <v/>
      </c>
      <c r="I491" s="29">
        <f>IFERROR(__xludf.DUMMYFUNCTION("GOOGLETRANSLATE(J491,""zh_HANS"",""zh_HANT"")"),"長耳兔進化石")</f>
        <v/>
      </c>
      <c r="J491" s="29">
        <f>CONCATENATE(Pokemon!J429,"进化石")</f>
        <v/>
      </c>
      <c r="K491" s="29">
        <f>F491</f>
        <v/>
      </c>
    </row>
    <row r="492">
      <c r="A492" s="29">
        <f>CONCATENATE("NAME_ITEM_", SUBSTITUTE(SUBSTITUTE(UPPER(B492), " ", ""), ".", ""))</f>
        <v/>
      </c>
      <c r="B492" s="29" t="inlineStr">
        <is>
          <t>Salamencite</t>
        </is>
      </c>
      <c r="C492" s="29">
        <f>CONCATENATE(Pokemon!C374,"ナイト")</f>
        <v/>
      </c>
      <c r="D492" s="29" t="inlineStr">
        <is>
          <t>Drattakite</t>
        </is>
      </c>
      <c r="E492" s="29" t="inlineStr">
        <is>
          <t>Brutalandanit</t>
        </is>
      </c>
      <c r="F492" s="29">
        <f>SUBSTITUTE(G492,"ite","ita")</f>
        <v/>
      </c>
      <c r="G492" s="29">
        <f>B492</f>
        <v/>
      </c>
      <c r="H492" s="29">
        <f>CONCATENATE(Pokemon!H374,"나이트")</f>
        <v/>
      </c>
      <c r="I492" s="29">
        <f>IFERROR(__xludf.DUMMYFUNCTION("GOOGLETRANSLATE(J492,""zh_HANS"",""zh_HANT"")"),"暴飛龍進化石")</f>
        <v/>
      </c>
      <c r="J492" s="29">
        <f>CONCATENATE(Pokemon!J374,"进化石")</f>
        <v/>
      </c>
      <c r="K492" s="29">
        <f>F492</f>
        <v/>
      </c>
    </row>
    <row r="493">
      <c r="A493" s="29">
        <f>CONCATENATE("NAME_ITEM_", SUBSTITUTE(SUBSTITUTE(UPPER(B493), " ", ""), ".", ""))</f>
        <v/>
      </c>
      <c r="B493" s="29" t="inlineStr">
        <is>
          <t>Beedrillite</t>
        </is>
      </c>
      <c r="C493" s="29">
        <f>CONCATENATE(Pokemon!C16,"ナイト")</f>
        <v/>
      </c>
      <c r="D493" s="29" t="inlineStr">
        <is>
          <t>Dardargnite</t>
        </is>
      </c>
      <c r="E493" s="29" t="inlineStr">
        <is>
          <t>Bibornit</t>
        </is>
      </c>
      <c r="F493" s="29">
        <f>SUBSTITUTE(G493,"ite","ita")</f>
        <v/>
      </c>
      <c r="G493" s="29">
        <f>B493</f>
        <v/>
      </c>
      <c r="H493" s="29">
        <f>CONCATENATE(Pokemon!H16,"나이트")</f>
        <v/>
      </c>
      <c r="I493" s="29">
        <f>IFERROR(__xludf.DUMMYFUNCTION("GOOGLETRANSLATE(J493,""zh_HANS"",""zh_HANT"")"),"大針蜂進化石")</f>
        <v/>
      </c>
      <c r="J493" s="29">
        <f>CONCATENATE(Pokemon!J16,"进化石")</f>
        <v/>
      </c>
      <c r="K493" s="29">
        <f>F493</f>
        <v/>
      </c>
    </row>
    <row r="494">
      <c r="A494" s="29">
        <f>CONCATENATE("NAME_ITEM_", SUBSTITUTE(SUBSTITUTE(UPPER(B494), " ", ""), ".", ""))</f>
        <v/>
      </c>
      <c r="B494" s="29" t="inlineStr">
        <is>
          <t>Normalium Z</t>
        </is>
      </c>
      <c r="C494" s="29">
        <f>CONCATENATE(Types!C2,"Ｚ")</f>
        <v/>
      </c>
      <c r="D494" s="29" t="inlineStr">
        <is>
          <t>Normazélite</t>
        </is>
      </c>
      <c r="E494" s="29" t="inlineStr">
        <is>
          <t>Normium Z</t>
        </is>
      </c>
      <c r="F494" s="29" t="inlineStr">
        <is>
          <t>Normastal Z</t>
        </is>
      </c>
      <c r="G494" s="29">
        <f>E494</f>
        <v/>
      </c>
      <c r="H494" s="29">
        <f>CONCATENATE(Types!H2,"Ｚ")</f>
        <v/>
      </c>
      <c r="I494" s="29">
        <f>CONCATENATE(Types!I2,"Ｚ")</f>
        <v/>
      </c>
      <c r="J494" s="29">
        <f>CONCATENATE(Types!J2,"Ｚ")</f>
        <v/>
      </c>
      <c r="K494" s="29">
        <f>F494</f>
        <v/>
      </c>
    </row>
    <row r="495">
      <c r="A495" s="29">
        <f>CONCATENATE("NAME_ITEM_", SUBSTITUTE(SUBSTITUTE(UPPER(B495), " ", ""), ".", ""))</f>
        <v/>
      </c>
      <c r="B495" s="29" t="inlineStr">
        <is>
          <t>Firium Z</t>
        </is>
      </c>
      <c r="C495" s="29">
        <f>CONCATENATE("ホノオ","Ｚ")</f>
        <v/>
      </c>
      <c r="D495" s="29" t="inlineStr">
        <is>
          <t>Pyrozélite</t>
        </is>
      </c>
      <c r="E495" s="29" t="inlineStr">
        <is>
          <t>Pyrium Z</t>
        </is>
      </c>
      <c r="F495" s="29" t="inlineStr">
        <is>
          <t>Pirostal Z</t>
        </is>
      </c>
      <c r="G495" s="29" t="inlineStr">
        <is>
          <t>Pirium Z</t>
        </is>
      </c>
      <c r="H495" s="29">
        <f>CONCATENATE(Types!H11,"Ｚ")</f>
        <v/>
      </c>
      <c r="I495" s="29">
        <f>CONCATENATE(Types!I11,"Ｚ")</f>
        <v/>
      </c>
      <c r="J495" s="29">
        <f>CONCATENATE(Types!J11,"Ｚ")</f>
        <v/>
      </c>
      <c r="K495" s="29">
        <f>F495</f>
        <v/>
      </c>
    </row>
    <row r="496">
      <c r="A496" s="29">
        <f>CONCATENATE("NAME_ITEM_", SUBSTITUTE(SUBSTITUTE(UPPER(B496), " ", ""), ".", ""))</f>
        <v/>
      </c>
      <c r="B496" s="29" t="inlineStr">
        <is>
          <t>Waterium Z</t>
        </is>
      </c>
      <c r="C496" s="29">
        <f>CONCATENATE("ミズ","Ｚ")</f>
        <v/>
      </c>
      <c r="D496" s="29" t="inlineStr">
        <is>
          <t>Aquazélite</t>
        </is>
      </c>
      <c r="E496" s="29" t="inlineStr">
        <is>
          <t>Aquium Z</t>
        </is>
      </c>
      <c r="F496" s="29" t="inlineStr">
        <is>
          <t>Hidrostal Z</t>
        </is>
      </c>
      <c r="G496" s="29" t="inlineStr">
        <is>
          <t>Idrium Z</t>
        </is>
      </c>
      <c r="H496" s="29">
        <f>CONCATENATE(Types!H12,"Ｚ")</f>
        <v/>
      </c>
      <c r="I496" s="29">
        <f>CONCATENATE(Types!I12,"Ｚ")</f>
        <v/>
      </c>
      <c r="J496" s="29">
        <f>CONCATENATE(Types!J12,"Ｚ")</f>
        <v/>
      </c>
      <c r="K496" s="29">
        <f>F496</f>
        <v/>
      </c>
    </row>
    <row r="497">
      <c r="A497" s="29">
        <f>CONCATENATE("NAME_ITEM_", SUBSTITUTE(SUBSTITUTE(UPPER(B497), " ", ""), ".", ""))</f>
        <v/>
      </c>
      <c r="B497" s="29" t="inlineStr">
        <is>
          <t>Electrium Z</t>
        </is>
      </c>
      <c r="C497" s="29">
        <f>CONCATENATE("デンキ","Ｚ")</f>
        <v/>
      </c>
      <c r="D497" s="29" t="inlineStr">
        <is>
          <t>Voltazélite</t>
        </is>
      </c>
      <c r="E497" s="29" t="inlineStr">
        <is>
          <t>Voltium Z</t>
        </is>
      </c>
      <c r="F497" s="29" t="inlineStr">
        <is>
          <t>Electrostal Z</t>
        </is>
      </c>
      <c r="G497" s="29">
        <f>B497</f>
        <v/>
      </c>
      <c r="H497" s="29">
        <f>CONCATENATE(Types!H13,"Ｚ")</f>
        <v/>
      </c>
      <c r="I497" s="29">
        <f>CONCATENATE(Types!I13,"Ｚ")</f>
        <v/>
      </c>
      <c r="J497" s="29">
        <f>CONCATENATE(Types!J13,"Ｚ")</f>
        <v/>
      </c>
      <c r="K497" s="29">
        <f>F497</f>
        <v/>
      </c>
    </row>
    <row r="498">
      <c r="A498" s="29">
        <f>CONCATENATE("NAME_ITEM_", SUBSTITUTE(SUBSTITUTE(UPPER(B498), " ", ""), ".", ""))</f>
        <v/>
      </c>
      <c r="B498" s="29" t="inlineStr">
        <is>
          <t>Grassium Z</t>
        </is>
      </c>
      <c r="C498" s="29">
        <f>CONCATENATE("クサ","Ｚ")</f>
        <v/>
      </c>
      <c r="D498" s="29" t="inlineStr">
        <is>
          <t>Florazélite</t>
        </is>
      </c>
      <c r="E498" s="29" t="inlineStr">
        <is>
          <t>Botanium Z</t>
        </is>
      </c>
      <c r="F498" s="29" t="inlineStr">
        <is>
          <t>Fitostal Z</t>
        </is>
      </c>
      <c r="G498" s="29" t="inlineStr">
        <is>
          <t>Herbium Z</t>
        </is>
      </c>
      <c r="H498" s="29">
        <f>CONCATENATE(Types!H12,"Ｚ")</f>
        <v/>
      </c>
      <c r="I498" s="29">
        <f>CONCATENATE(Types!I14,"Ｚ")</f>
        <v/>
      </c>
      <c r="J498" s="29">
        <f>CONCATENATE(Types!J14,"Ｚ")</f>
        <v/>
      </c>
      <c r="K498" s="29">
        <f>F498</f>
        <v/>
      </c>
    </row>
    <row r="499">
      <c r="A499" s="29">
        <f>CONCATENATE("NAME_ITEM_", SUBSTITUTE(SUBSTITUTE(UPPER(B499), " ", ""), ".", ""))</f>
        <v/>
      </c>
      <c r="B499" s="29" t="inlineStr">
        <is>
          <t>Icium Z</t>
        </is>
      </c>
      <c r="C499" s="29">
        <f>CONCATENATE("コオリ","Ｚ")</f>
        <v/>
      </c>
      <c r="D499" s="29" t="inlineStr">
        <is>
          <t>Cryozélite</t>
        </is>
      </c>
      <c r="E499" s="29" t="inlineStr">
        <is>
          <t>Glacium Z</t>
        </is>
      </c>
      <c r="F499" s="29" t="inlineStr">
        <is>
          <t>Criostal Z</t>
        </is>
      </c>
      <c r="G499" s="29">
        <f>E499</f>
        <v/>
      </c>
      <c r="H499" s="29">
        <f>CONCATENATE(Types!H16,"Ｚ")</f>
        <v/>
      </c>
      <c r="I499" s="29">
        <f>CONCATENATE(Types!I16,"Ｚ")</f>
        <v/>
      </c>
      <c r="J499" s="29">
        <f>CONCATENATE(Types!J16,"Ｚ")</f>
        <v/>
      </c>
      <c r="K499" s="29">
        <f>F499</f>
        <v/>
      </c>
    </row>
    <row r="500">
      <c r="A500" s="29">
        <f>CONCATENATE("NAME_ITEM_", SUBSTITUTE(SUBSTITUTE(UPPER(B500), " ", ""), ".", ""))</f>
        <v/>
      </c>
      <c r="B500" s="29" t="inlineStr">
        <is>
          <t>Fightinium Z</t>
        </is>
      </c>
      <c r="C500" s="29">
        <f>CONCATENATE("カクト","Ｚ")</f>
        <v/>
      </c>
      <c r="D500" s="29" t="inlineStr">
        <is>
          <t>Combazélite</t>
        </is>
      </c>
      <c r="E500" s="29" t="inlineStr">
        <is>
          <t>Battalium Z</t>
        </is>
      </c>
      <c r="F500" s="29" t="inlineStr">
        <is>
          <t>Lizastal Z</t>
        </is>
      </c>
      <c r="G500" s="29" t="inlineStr">
        <is>
          <t>Luctium Z</t>
        </is>
      </c>
      <c r="H500" s="29">
        <f>CONCATENATE(Types!H3,"Ｚ")</f>
        <v/>
      </c>
      <c r="I500" s="29">
        <f>CONCATENATE(Types!I3,"Ｚ")</f>
        <v/>
      </c>
      <c r="J500" s="29">
        <f>CONCATENATE(Types!J3,"Ｚ")</f>
        <v/>
      </c>
      <c r="K500" s="29">
        <f>F500</f>
        <v/>
      </c>
    </row>
    <row r="501">
      <c r="A501" s="29">
        <f>CONCATENATE("NAME_ITEM_", SUBSTITUTE(SUBSTITUTE(UPPER(B501), " ", ""), ".", ""))</f>
        <v/>
      </c>
      <c r="B501" s="29" t="inlineStr">
        <is>
          <t>Poisonium Z</t>
        </is>
      </c>
      <c r="C501" s="29">
        <f>CONCATENATE("ドク","Ｚ")</f>
        <v/>
      </c>
      <c r="D501" s="29" t="inlineStr">
        <is>
          <t>Toxizélite</t>
        </is>
      </c>
      <c r="E501" s="29" t="inlineStr">
        <is>
          <t>Toxium Z</t>
        </is>
      </c>
      <c r="F501" s="29" t="inlineStr">
        <is>
          <t>Toxistal Z</t>
        </is>
      </c>
      <c r="G501" s="29" t="inlineStr">
        <is>
          <t>Venenium Z</t>
        </is>
      </c>
      <c r="H501" s="29">
        <f>CONCATENATE(Types!H5,"Ｚ")</f>
        <v/>
      </c>
      <c r="I501" s="29">
        <f>CONCATENATE(Types!I5,"Ｚ")</f>
        <v/>
      </c>
      <c r="J501" s="29">
        <f>CONCATENATE(Types!J5,"Ｚ")</f>
        <v/>
      </c>
      <c r="K501" s="29">
        <f>F501</f>
        <v/>
      </c>
    </row>
    <row r="502">
      <c r="A502" s="29">
        <f>CONCATENATE("NAME_ITEM_", SUBSTITUTE(SUBSTITUTE(UPPER(B502), " ", ""), ".", ""))</f>
        <v/>
      </c>
      <c r="B502" s="29" t="inlineStr">
        <is>
          <t>Groundium Z</t>
        </is>
      </c>
      <c r="C502" s="29">
        <f>CONCATENATE("ジメン","Ｚ")</f>
        <v/>
      </c>
      <c r="D502" s="29" t="inlineStr">
        <is>
          <t>Terrazélite</t>
        </is>
      </c>
      <c r="E502" s="29" t="inlineStr">
        <is>
          <t>Terrium Z</t>
        </is>
      </c>
      <c r="F502" s="29" t="inlineStr">
        <is>
          <t>Geostal Z</t>
        </is>
      </c>
      <c r="G502" s="29">
        <f>E502</f>
        <v/>
      </c>
      <c r="H502" s="29">
        <f>CONCATENATE(Types!H6,"Ｚ")</f>
        <v/>
      </c>
      <c r="I502" s="29">
        <f>CONCATENATE(Types!I6,"Ｚ")</f>
        <v/>
      </c>
      <c r="J502" s="29">
        <f>CONCATENATE(Types!J6,"Ｚ")</f>
        <v/>
      </c>
      <c r="K502" s="29">
        <f>F502</f>
        <v/>
      </c>
    </row>
    <row r="503">
      <c r="A503" s="29">
        <f>CONCATENATE("NAME_ITEM_", SUBSTITUTE(SUBSTITUTE(UPPER(B503), " ", ""), ".", ""))</f>
        <v/>
      </c>
      <c r="B503" s="29" t="inlineStr">
        <is>
          <t>Flyinium Z</t>
        </is>
      </c>
      <c r="C503" s="29">
        <f>CONCATENATE("ヒコウ","Ｚ")</f>
        <v/>
      </c>
      <c r="D503" s="29" t="inlineStr">
        <is>
          <t>Aérozélite</t>
        </is>
      </c>
      <c r="E503" s="29" t="inlineStr">
        <is>
          <t>Aerium Z</t>
        </is>
      </c>
      <c r="F503" s="29" t="inlineStr">
        <is>
          <t>Aerostal Z</t>
        </is>
      </c>
      <c r="G503" s="29" t="inlineStr">
        <is>
          <t>Volantium Z</t>
        </is>
      </c>
      <c r="H503" s="29">
        <f>CONCATENATE(Types!H4,"Ｚ")</f>
        <v/>
      </c>
      <c r="I503" s="29">
        <f>CONCATENATE(Types!I4,"Ｚ")</f>
        <v/>
      </c>
      <c r="J503" s="29">
        <f>CONCATENATE(Types!J4,"Ｚ")</f>
        <v/>
      </c>
      <c r="K503" s="29">
        <f>F503</f>
        <v/>
      </c>
    </row>
    <row r="504">
      <c r="A504" s="29">
        <f>CONCATENATE("NAME_ITEM_", SUBSTITUTE(SUBSTITUTE(UPPER(B504), " ", ""), ".", ""))</f>
        <v/>
      </c>
      <c r="B504" s="29" t="inlineStr">
        <is>
          <t>Psychium Z</t>
        </is>
      </c>
      <c r="C504" s="29">
        <f>CONCATENATE(Types!C15,"Ｚ")</f>
        <v/>
      </c>
      <c r="D504" s="29" t="inlineStr">
        <is>
          <t>Psychézélite</t>
        </is>
      </c>
      <c r="E504" s="29" t="inlineStr">
        <is>
          <t>Psium Z</t>
        </is>
      </c>
      <c r="F504" s="29" t="inlineStr">
        <is>
          <t>Psicostal Z</t>
        </is>
      </c>
      <c r="G504" s="29" t="inlineStr">
        <is>
          <t>Psichium Z</t>
        </is>
      </c>
      <c r="H504" s="29">
        <f>CONCATENATE(Types!H15,"Ｚ")</f>
        <v/>
      </c>
      <c r="I504" s="29">
        <f>CONCATENATE(Types!I15,"Ｚ")</f>
        <v/>
      </c>
      <c r="J504" s="29">
        <f>CONCATENATE(Types!J15,"Ｚ")</f>
        <v/>
      </c>
      <c r="K504" s="29">
        <f>F504</f>
        <v/>
      </c>
    </row>
    <row r="505">
      <c r="A505" s="29">
        <f>CONCATENATE("NAME_ITEM_", SUBSTITUTE(SUBSTITUTE(UPPER(B505), " ", ""), ".", ""))</f>
        <v/>
      </c>
      <c r="B505" s="29" t="inlineStr">
        <is>
          <t>Buginium Z</t>
        </is>
      </c>
      <c r="C505" s="29">
        <f>CONCATENATE("ムシ","Ｚ")</f>
        <v/>
      </c>
      <c r="D505" s="29" t="inlineStr">
        <is>
          <t>Insectozélite</t>
        </is>
      </c>
      <c r="E505" s="29" t="inlineStr">
        <is>
          <t>Insectium Z</t>
        </is>
      </c>
      <c r="F505" s="29" t="inlineStr">
        <is>
          <t>Insectostal Z</t>
        </is>
      </c>
      <c r="G505" s="29">
        <f>E505</f>
        <v/>
      </c>
      <c r="H505" s="29">
        <f>CONCATENATE(Types!H8,"Ｚ")</f>
        <v/>
      </c>
      <c r="I505" s="29">
        <f>CONCATENATE(Types!I8,"Ｚ")</f>
        <v/>
      </c>
      <c r="J505" s="29">
        <f>CONCATENATE(Types!J8,"Ｚ")</f>
        <v/>
      </c>
      <c r="K505" s="29">
        <f>F505</f>
        <v/>
      </c>
    </row>
    <row r="506">
      <c r="A506" s="29">
        <f>CONCATENATE("NAME_ITEM_", SUBSTITUTE(SUBSTITUTE(UPPER(B506), " ", ""), ".", ""))</f>
        <v/>
      </c>
      <c r="B506" s="29" t="inlineStr">
        <is>
          <t>Rockium Z</t>
        </is>
      </c>
      <c r="C506" s="29">
        <f>CONCATENATE("イワ","Ｚ")</f>
        <v/>
      </c>
      <c r="D506" s="29" t="inlineStr">
        <is>
          <t>Rocazélite</t>
        </is>
      </c>
      <c r="E506" s="29" t="inlineStr">
        <is>
          <t>Petrium Z</t>
        </is>
      </c>
      <c r="F506" s="29" t="inlineStr">
        <is>
          <t>Litostal Z</t>
        </is>
      </c>
      <c r="G506" s="29">
        <f>E506</f>
        <v/>
      </c>
      <c r="H506" s="29">
        <f>CONCATENATE(Types!H7,"Ｚ")</f>
        <v/>
      </c>
      <c r="I506" s="29">
        <f>CONCATENATE(Types!I7,"Ｚ")</f>
        <v/>
      </c>
      <c r="J506" s="29">
        <f>CONCATENATE(Types!J7,"Ｚ")</f>
        <v/>
      </c>
      <c r="K506" s="29">
        <f>F506</f>
        <v/>
      </c>
    </row>
    <row r="507">
      <c r="A507" s="29">
        <f>CONCATENATE("NAME_ITEM_", SUBSTITUTE(SUBSTITUTE(UPPER(B507), " ", ""), ".", ""))</f>
        <v/>
      </c>
      <c r="B507" s="29" t="inlineStr">
        <is>
          <t>Ghostium Z</t>
        </is>
      </c>
      <c r="C507" s="29">
        <f>CONCATENATE(Types!C9,"Ｚ")</f>
        <v/>
      </c>
      <c r="D507" s="29" t="inlineStr">
        <is>
          <t>Spectrozélite</t>
        </is>
      </c>
      <c r="E507" s="29" t="inlineStr">
        <is>
          <t>Phantomium Z</t>
        </is>
      </c>
      <c r="F507" s="29" t="inlineStr">
        <is>
          <t>Espectrostal Z</t>
        </is>
      </c>
      <c r="G507" s="29" t="inlineStr">
        <is>
          <t>Spectrium Z</t>
        </is>
      </c>
      <c r="H507" s="29">
        <f>CONCATENATE(Types!H9,"Ｚ")</f>
        <v/>
      </c>
      <c r="I507" s="29">
        <f>CONCATENATE(Types!I9,"Ｚ")</f>
        <v/>
      </c>
      <c r="J507" s="29">
        <f>CONCATENATE(Types!J9,"Ｚ")</f>
        <v/>
      </c>
      <c r="K507" s="29">
        <f>F507</f>
        <v/>
      </c>
    </row>
    <row r="508">
      <c r="A508" s="29">
        <f>CONCATENATE("NAME_ITEM_", SUBSTITUTE(SUBSTITUTE(UPPER(B508), " ", ""), ".", ""))</f>
        <v/>
      </c>
      <c r="B508" s="29" t="inlineStr">
        <is>
          <t>Dragonium Z</t>
        </is>
      </c>
      <c r="C508" s="29">
        <f>CONCATENATE(Types!C17,"Ｚ")</f>
        <v/>
      </c>
      <c r="D508" s="29" t="inlineStr">
        <is>
          <t>Dracozélite</t>
        </is>
      </c>
      <c r="E508" s="29" t="inlineStr">
        <is>
          <t>Dracium Z</t>
        </is>
      </c>
      <c r="F508" s="29" t="inlineStr">
        <is>
          <t>Dracostal Z</t>
        </is>
      </c>
      <c r="G508" s="29" t="inlineStr">
        <is>
          <t>Draconium Z</t>
        </is>
      </c>
      <c r="H508" s="29">
        <f>CONCATENATE(Types!H17,"Ｚ")</f>
        <v/>
      </c>
      <c r="I508" s="29">
        <f>CONCATENATE(Types!I17,"Ｚ")</f>
        <v/>
      </c>
      <c r="J508" s="29">
        <f>CONCATENATE(Types!J17,"Ｚ")</f>
        <v/>
      </c>
      <c r="K508" s="29">
        <f>F508</f>
        <v/>
      </c>
    </row>
    <row r="509">
      <c r="A509" s="29">
        <f>CONCATENATE("NAME_ITEM_", SUBSTITUTE(SUBSTITUTE(UPPER(B509), " ", ""), ".", ""))</f>
        <v/>
      </c>
      <c r="B509" s="29" t="inlineStr">
        <is>
          <t>Darkinium Z</t>
        </is>
      </c>
      <c r="C509" s="29">
        <f>CONCATENATE("アク","Ｚ")</f>
        <v/>
      </c>
      <c r="D509" s="29" t="inlineStr">
        <is>
          <t>Ténébrozélite</t>
        </is>
      </c>
      <c r="E509" s="29" t="inlineStr">
        <is>
          <t>Noctium Z</t>
        </is>
      </c>
      <c r="F509" s="29" t="inlineStr">
        <is>
          <t>Nictostal Z</t>
        </is>
      </c>
      <c r="G509" s="29" t="inlineStr">
        <is>
          <t>Obscurium Z</t>
        </is>
      </c>
      <c r="H509" s="29">
        <f>CONCATENATE(Types!H18,"Ｚ")</f>
        <v/>
      </c>
      <c r="I509" s="29">
        <f>CONCATENATE(Types!I18,"Ｚ")</f>
        <v/>
      </c>
      <c r="J509" s="29">
        <f>CONCATENATE(Types!J18,"Ｚ")</f>
        <v/>
      </c>
      <c r="K509" s="29">
        <f>F509</f>
        <v/>
      </c>
    </row>
    <row r="510">
      <c r="A510" s="29">
        <f>CONCATENATE("NAME_ITEM_", SUBSTITUTE(SUBSTITUTE(UPPER(B510), " ", ""), ".", ""))</f>
        <v/>
      </c>
      <c r="B510" s="29" t="inlineStr">
        <is>
          <t>Steelium Z</t>
        </is>
      </c>
      <c r="C510" s="29">
        <f>CONCATENATE("ハガネ","Ｚ")</f>
        <v/>
      </c>
      <c r="D510" s="29" t="inlineStr">
        <is>
          <t>Métalozélite</t>
        </is>
      </c>
      <c r="E510" s="29" t="inlineStr">
        <is>
          <t>Metallium Z</t>
        </is>
      </c>
      <c r="F510" s="29" t="inlineStr">
        <is>
          <t>Metalostal Z</t>
        </is>
      </c>
      <c r="G510" s="29">
        <f>E510</f>
        <v/>
      </c>
      <c r="H510" s="29">
        <f>CONCATENATE(Types!H10,"Ｚ")</f>
        <v/>
      </c>
      <c r="I510" s="29">
        <f>CONCATENATE(Types!I10,"Ｚ")</f>
        <v/>
      </c>
      <c r="J510" s="29">
        <f>CONCATENATE(Types!J10,"Ｚ")</f>
        <v/>
      </c>
      <c r="K510" s="29">
        <f>F510</f>
        <v/>
      </c>
    </row>
    <row r="511">
      <c r="A511" s="29">
        <f>CONCATENATE("NAME_ITEM_", SUBSTITUTE(SUBSTITUTE(UPPER(B511), " ", ""), ".", ""))</f>
        <v/>
      </c>
      <c r="B511" s="29" t="inlineStr">
        <is>
          <t>Fairium Z</t>
        </is>
      </c>
      <c r="C511" s="29">
        <f>CONCATENATE(Types!C19,"Ｚ")</f>
        <v/>
      </c>
      <c r="D511" s="29" t="inlineStr">
        <is>
          <t>Nymphézélite</t>
        </is>
      </c>
      <c r="E511" s="29" t="inlineStr">
        <is>
          <t>Sylphium Z</t>
        </is>
      </c>
      <c r="F511" s="29" t="inlineStr">
        <is>
          <t>Feeristal Z</t>
        </is>
      </c>
      <c r="G511" s="29" t="inlineStr">
        <is>
          <t>Follectium Z</t>
        </is>
      </c>
      <c r="H511" s="29">
        <f>CONCATENATE(Types!H19,"Ｚ")</f>
        <v/>
      </c>
      <c r="I511" s="29">
        <f>CONCATENATE(Types!I19,"Ｚ")</f>
        <v/>
      </c>
      <c r="J511" s="29">
        <f>CONCATENATE(Types!J19,"Ｚ")</f>
        <v/>
      </c>
      <c r="K511" s="29">
        <f>F511</f>
        <v/>
      </c>
    </row>
    <row r="512">
      <c r="A512" s="29">
        <f>CONCATENATE("NAME_ITEM_", SUBSTITUTE(SUBSTITUTE(UPPER(B512), " ", ""), ".", ""))</f>
        <v/>
      </c>
      <c r="B512" s="29" t="inlineStr">
        <is>
          <t>Pikanium Z</t>
        </is>
      </c>
      <c r="C512" s="29">
        <f>CONCATENATE(Pokemon!C26,"Ｚ")</f>
        <v/>
      </c>
      <c r="D512" s="29" t="inlineStr">
        <is>
          <t>Pikazélite</t>
        </is>
      </c>
      <c r="E512" s="29" t="inlineStr">
        <is>
          <t>Pikachium Z</t>
        </is>
      </c>
      <c r="F512" s="29" t="inlineStr">
        <is>
          <t>Pikastal Z</t>
        </is>
      </c>
      <c r="G512" s="29" t="inlineStr">
        <is>
          <t>Pikacium Z</t>
        </is>
      </c>
      <c r="H512" s="29">
        <f>CONCATENATE(Pokemon!H26,"Ｚ")</f>
        <v/>
      </c>
      <c r="I512" s="29">
        <f>IFERROR(__xludf.DUMMYFUNCTION("GOOGLETRANSLATE(J512,""zh_HANS"",""zh_HANT"")"),"皮卡丘Ｚ")</f>
        <v/>
      </c>
      <c r="J512" s="29">
        <f>CONCATENATE(Pokemon!J26,"Ｚ")</f>
        <v/>
      </c>
      <c r="K512" s="29">
        <f>F512</f>
        <v/>
      </c>
    </row>
    <row r="513">
      <c r="A513" s="29">
        <f>CONCATENATE("NAME_ITEM_", SUBSTITUTE(SUBSTITUTE(UPPER(B513), " ", ""), ".", ""))</f>
        <v/>
      </c>
      <c r="B513" s="29" t="inlineStr">
        <is>
          <t>Decidium Z</t>
        </is>
      </c>
      <c r="C513" s="29">
        <f>CONCATENATE(Pokemon!C725,"Ｚ")</f>
        <v/>
      </c>
      <c r="D513" s="29" t="inlineStr">
        <is>
          <t>Archézélite</t>
        </is>
      </c>
      <c r="E513" s="29" t="inlineStr">
        <is>
          <t>Silvarronium Z</t>
        </is>
      </c>
      <c r="F513" s="29" t="inlineStr">
        <is>
          <t>Dueyestal Z</t>
        </is>
      </c>
      <c r="G513" s="29" t="inlineStr">
        <is>
          <t>Deciduenium Z</t>
        </is>
      </c>
      <c r="H513" s="29">
        <f>CONCATENATE(Pokemon!H725,"Ｚ")</f>
        <v/>
      </c>
      <c r="I513" s="29">
        <f>IFERROR(__xludf.DUMMYFUNCTION("GOOGLETRANSLATE(J513,""zh_HANS"",""zh_HANT"")"),"狙射樹梟Ｚ")</f>
        <v/>
      </c>
      <c r="J513" s="29">
        <f>CONCATENATE(Pokemon!J725,"Ｚ")</f>
        <v/>
      </c>
      <c r="K513" s="29">
        <f>F513</f>
        <v/>
      </c>
    </row>
    <row r="514">
      <c r="A514" s="29">
        <f>CONCATENATE("NAME_ITEM_", SUBSTITUTE(SUBSTITUTE(UPPER(B514), " ", ""), ".", ""))</f>
        <v/>
      </c>
      <c r="B514" s="29" t="inlineStr">
        <is>
          <t>Incinium Z</t>
        </is>
      </c>
      <c r="C514" s="29">
        <f>CONCATENATE(Pokemon!C728,"Ｚ")</f>
        <v/>
      </c>
      <c r="D514" s="29" t="inlineStr">
        <is>
          <t>Félinozélite</t>
        </is>
      </c>
      <c r="E514" s="29" t="inlineStr">
        <is>
          <t>Fuegronium Z</t>
        </is>
      </c>
      <c r="F514" s="29" t="inlineStr">
        <is>
          <t>Incinostal Z</t>
        </is>
      </c>
      <c r="G514" s="29" t="inlineStr">
        <is>
          <t>Incineronium Z</t>
        </is>
      </c>
      <c r="H514" s="29">
        <f>CONCATENATE(Pokemon!H728,"Ｚ")</f>
        <v/>
      </c>
      <c r="I514" s="29">
        <f>IFERROR(__xludf.DUMMYFUNCTION("GOOGLETRANSLATE(J514,""zh_HANS"",""zh_HANT"")"),"熾焰咆哮虎Ｚ")</f>
        <v/>
      </c>
      <c r="J514" s="29">
        <f>CONCATENATE(Pokemon!J728,"Ｚ")</f>
        <v/>
      </c>
      <c r="K514" s="29">
        <f>F514</f>
        <v/>
      </c>
    </row>
    <row r="515">
      <c r="A515" s="29">
        <f>CONCATENATE("NAME_ITEM_", SUBSTITUTE(SUBSTITUTE(UPPER(B515), " ", ""), ".", ""))</f>
        <v/>
      </c>
      <c r="B515" s="29" t="inlineStr">
        <is>
          <t>Primarium Z</t>
        </is>
      </c>
      <c r="C515" s="29">
        <f>CONCATENATE(Pokemon!C731,"Ｚ")</f>
        <v/>
      </c>
      <c r="D515" s="29" t="inlineStr">
        <is>
          <t>Oratozélite</t>
        </is>
      </c>
      <c r="E515" s="29" t="inlineStr">
        <is>
          <t>Primarenium Z</t>
        </is>
      </c>
      <c r="F515" s="29" t="inlineStr">
        <is>
          <t>Primastal Z</t>
        </is>
      </c>
      <c r="G515" s="29" t="inlineStr">
        <is>
          <t>Primarinium Z</t>
        </is>
      </c>
      <c r="H515" s="29">
        <f>CONCATENATE(Pokemon!H731,"Ｚ")</f>
        <v/>
      </c>
      <c r="I515" s="29">
        <f>IFERROR(__xludf.DUMMYFUNCTION("GOOGLETRANSLATE(J515,""zh_HANS"",""zh_HANT"")"),"西獅海壬Ｚ")</f>
        <v/>
      </c>
      <c r="J515" s="29">
        <f>CONCATENATE(Pokemon!J731,"Ｚ")</f>
        <v/>
      </c>
      <c r="K515" s="29">
        <f>F515</f>
        <v/>
      </c>
    </row>
    <row r="516">
      <c r="A516" s="29">
        <f>CONCATENATE("NAME_ITEM_", SUBSTITUTE(SUBSTITUTE(UPPER(B516), " ", ""), ".", ""))</f>
        <v/>
      </c>
      <c r="B516" s="29" t="inlineStr">
        <is>
          <t>Tapunium Z</t>
        </is>
      </c>
      <c r="C516" s="29">
        <f>CONCATENATE("カプ","Ｚ")</f>
        <v/>
      </c>
      <c r="D516" s="29" t="inlineStr">
        <is>
          <t>Tokozélite</t>
        </is>
      </c>
      <c r="E516" s="29" t="inlineStr">
        <is>
          <t>Kapium Z</t>
        </is>
      </c>
      <c r="F516" s="29" t="inlineStr">
        <is>
          <t>Tapistal Z</t>
        </is>
      </c>
      <c r="G516" s="29" t="inlineStr">
        <is>
          <t>Tapium Z</t>
        </is>
      </c>
      <c r="H516" s="29" t="inlineStr">
        <is>
          <t>카푸Ｚ</t>
        </is>
      </c>
      <c r="I516" s="29" t="inlineStr">
        <is>
          <t>卡璞Ｚ</t>
        </is>
      </c>
      <c r="J516" s="29">
        <f>I516</f>
        <v/>
      </c>
      <c r="K516" s="29">
        <f>F516</f>
        <v/>
      </c>
    </row>
    <row r="517">
      <c r="A517" s="29">
        <f>CONCATENATE("NAME_ITEM_", SUBSTITUTE(SUBSTITUTE(UPPER(B517), " ", ""), ".", ""))</f>
        <v/>
      </c>
      <c r="B517" s="29" t="inlineStr">
        <is>
          <t>Marshadium Z</t>
        </is>
      </c>
      <c r="C517" s="29">
        <f>CONCATENATE(Pokemon!C803,"Ｚ")</f>
        <v/>
      </c>
      <c r="D517" s="29" t="inlineStr">
        <is>
          <t>Marshadozélite</t>
        </is>
      </c>
      <c r="E517" s="29" t="inlineStr">
        <is>
          <t>Marshadownium Z</t>
        </is>
      </c>
      <c r="F517" s="29" t="inlineStr">
        <is>
          <t>Marshastal Z</t>
        </is>
      </c>
      <c r="G517" s="29">
        <f>B517</f>
        <v/>
      </c>
      <c r="H517" s="29">
        <f>CONCATENATE(Pokemon!H803,"Ｚ")</f>
        <v/>
      </c>
      <c r="I517" s="29">
        <f>IFERROR(__xludf.DUMMYFUNCTION("GOOGLETRANSLATE(J517,""zh_HANS"",""zh_HANT"")"),"瑪夏多Ｚ")</f>
        <v/>
      </c>
      <c r="J517" s="29">
        <f>CONCATENATE(Pokemon!J803,"Ｚ")</f>
        <v/>
      </c>
      <c r="K517" s="29">
        <f>F517</f>
        <v/>
      </c>
    </row>
    <row r="518">
      <c r="A518" s="29">
        <f>CONCATENATE("NAME_ITEM_", SUBSTITUTE(SUBSTITUTE(UPPER(B518), " ", ""), ".", ""))</f>
        <v/>
      </c>
      <c r="B518" s="29" t="inlineStr">
        <is>
          <t>Aloraichium Z</t>
        </is>
      </c>
      <c r="C518" s="29">
        <f>CONCATENATE("アロライ","Ｚ")</f>
        <v/>
      </c>
      <c r="D518" s="29" t="inlineStr">
        <is>
          <t>Aloraïzélite</t>
        </is>
      </c>
      <c r="E518" s="29" t="inlineStr">
        <is>
          <t>A-Raichunium Z</t>
        </is>
      </c>
      <c r="F518" s="29" t="inlineStr">
        <is>
          <t>Alo-Raistal Z</t>
        </is>
      </c>
      <c r="G518" s="29" t="inlineStr">
        <is>
          <t>Aloraicium Z</t>
        </is>
      </c>
      <c r="H518" s="29" t="inlineStr">
        <is>
          <t>알로라이Ｚ</t>
        </is>
      </c>
      <c r="I518" s="29">
        <f>IFERROR(__xludf.DUMMYFUNCTION("GOOGLETRANSLATE(J518,""zh_HANS"",""zh_HANT"")"),"阿羅雷Ｚ")</f>
        <v/>
      </c>
      <c r="J518" s="29" t="inlineStr">
        <is>
          <t>阿罗雷Ｚ</t>
        </is>
      </c>
      <c r="K518" s="29">
        <f>F518</f>
        <v/>
      </c>
    </row>
    <row r="519">
      <c r="A519" s="29">
        <f>CONCATENATE("NAME_ITEM_", SUBSTITUTE(SUBSTITUTE(UPPER(B519), " ", ""), ".", ""))</f>
        <v/>
      </c>
      <c r="B519" s="29" t="inlineStr">
        <is>
          <t>Snorlium Z</t>
        </is>
      </c>
      <c r="C519" s="29">
        <f>CONCATENATE(Pokemon!C144,"Ｚ")</f>
        <v/>
      </c>
      <c r="D519" s="29" t="inlineStr">
        <is>
          <t>Ronflézélite</t>
        </is>
      </c>
      <c r="E519" s="29" t="inlineStr">
        <is>
          <t>Relaxonium Z</t>
        </is>
      </c>
      <c r="F519" s="29" t="inlineStr">
        <is>
          <t>Snorlastal Z</t>
        </is>
      </c>
      <c r="G519" s="29" t="inlineStr">
        <is>
          <t>Snorlactium Z</t>
        </is>
      </c>
      <c r="H519" s="29">
        <f>CONCATENATE(Pokemon!H144,"Ｚ")</f>
        <v/>
      </c>
      <c r="I519" s="29">
        <f>IFERROR(__xludf.DUMMYFUNCTION("GOOGLETRANSLATE(J519,""zh_HANS"",""zh_HANT"")"),"卡比獸Ｚ")</f>
        <v/>
      </c>
      <c r="J519" s="29">
        <f>CONCATENATE(Pokemon!J144,"Ｚ")</f>
        <v/>
      </c>
      <c r="K519" s="29">
        <f>F519</f>
        <v/>
      </c>
    </row>
    <row r="520">
      <c r="A520" s="29">
        <f>CONCATENATE("NAME_ITEM_", SUBSTITUTE(SUBSTITUTE(UPPER(B520), " ", ""), ".", ""))</f>
        <v/>
      </c>
      <c r="B520" s="29" t="inlineStr">
        <is>
          <t>Eevium Z</t>
        </is>
      </c>
      <c r="C520" s="29">
        <f>CONCATENATE(Pokemon!C134,"Ｚ")</f>
        <v/>
      </c>
      <c r="D520" s="29" t="inlineStr">
        <is>
          <t>Évolizélite</t>
        </is>
      </c>
      <c r="E520" s="29" t="inlineStr">
        <is>
          <t>Evolium Z</t>
        </is>
      </c>
      <c r="F520" s="29" t="inlineStr">
        <is>
          <t>Eeveestal Z</t>
        </is>
      </c>
      <c r="G520" s="29">
        <f>B520</f>
        <v/>
      </c>
      <c r="H520" s="29">
        <f>CONCATENATE(Pokemon!H134,"Ｚ")</f>
        <v/>
      </c>
      <c r="I520" s="29">
        <f>IFERROR(__xludf.DUMMYFUNCTION("GOOGLETRANSLATE(J520,""zh_HANS"",""zh_HANT"")"),"伊布Ｚ")</f>
        <v/>
      </c>
      <c r="J520" s="29">
        <f>CONCATENATE(Pokemon!J134,"Ｚ")</f>
        <v/>
      </c>
      <c r="K520" s="29">
        <f>F520</f>
        <v/>
      </c>
    </row>
    <row r="521">
      <c r="A521" s="29">
        <f>CONCATENATE("NAME_ITEM_", SUBSTITUTE(SUBSTITUTE(UPPER(B521), " ", ""), ".", ""))</f>
        <v/>
      </c>
      <c r="B521" s="29" t="inlineStr">
        <is>
          <t>Mewnium Z</t>
        </is>
      </c>
      <c r="C521" s="29">
        <f>CONCATENATE(Pokemon!C152,"Ｚ")</f>
        <v/>
      </c>
      <c r="D521" s="29" t="inlineStr">
        <is>
          <t>Mewzélite</t>
        </is>
      </c>
      <c r="E521" s="29">
        <f>B521</f>
        <v/>
      </c>
      <c r="F521" s="29" t="inlineStr">
        <is>
          <t>Mewstal Z</t>
        </is>
      </c>
      <c r="G521" s="29">
        <f>B521</f>
        <v/>
      </c>
      <c r="H521" s="29">
        <f>CONCATENATE(Pokemon!H152,"Ｚ")</f>
        <v/>
      </c>
      <c r="I521" s="29">
        <f>IFERROR(__xludf.DUMMYFUNCTION("GOOGLETRANSLATE(J521,""zh_HANS"",""zh_HANT"")"),"夢幻Ｚ")</f>
        <v/>
      </c>
      <c r="J521" s="29">
        <f>CONCATENATE(Pokemon!J152,"Ｚ")</f>
        <v/>
      </c>
      <c r="K521" s="29">
        <f>F521</f>
        <v/>
      </c>
    </row>
    <row r="522">
      <c r="A522" s="29">
        <f>CONCATENATE("NAME_ITEM_", SUBSTITUTE(SUBSTITUTE(UPPER(B522), " ", ""), ".", ""))</f>
        <v/>
      </c>
      <c r="B522" s="29" t="inlineStr">
        <is>
          <t>Pikashunium Z</t>
        </is>
      </c>
      <c r="C522" s="29">
        <f>CONCATENATE("サトピカ","Ｚ")</f>
        <v/>
      </c>
      <c r="D522" s="29" t="inlineStr">
        <is>
          <t>Pikachazélite</t>
        </is>
      </c>
      <c r="E522" s="29">
        <f>CONCATENATE("Ash-",E512)</f>
        <v/>
      </c>
      <c r="F522" s="29">
        <f>CONCATENATE("Ash-",F512)</f>
        <v/>
      </c>
      <c r="G522" s="29" t="inlineStr">
        <is>
          <t>Ashpikacium Z</t>
        </is>
      </c>
      <c r="H522" s="29" t="inlineStr">
        <is>
          <t>지우피카Ｚ</t>
        </is>
      </c>
      <c r="I522" s="29" t="inlineStr">
        <is>
          <t>智皮卡Ｚ</t>
        </is>
      </c>
      <c r="J522" s="29">
        <f>I522</f>
        <v/>
      </c>
      <c r="K522" s="29">
        <f>F522</f>
        <v/>
      </c>
    </row>
    <row r="523">
      <c r="A523" s="29">
        <f>CONCATENATE("NAME_ITEM_", SUBSTITUTE(SUBSTITUTE(UPPER(B523), " ", ""), ".", ""))</f>
        <v/>
      </c>
      <c r="B523" s="29" t="inlineStr">
        <is>
          <t>Adrenaline Orb</t>
        </is>
      </c>
      <c r="C523" s="29" t="inlineStr">
        <is>
          <t>ビビリだま</t>
        </is>
      </c>
      <c r="D523" s="29" t="inlineStr">
        <is>
          <t>Orbe Frousse</t>
        </is>
      </c>
      <c r="E523" s="29" t="inlineStr">
        <is>
          <t>Zitterorb</t>
        </is>
      </c>
      <c r="F523" s="29" t="inlineStr">
        <is>
          <t>Nerviosfera</t>
        </is>
      </c>
      <c r="G523" s="29" t="inlineStr">
        <is>
          <t>Fifasfera</t>
        </is>
      </c>
      <c r="H523" s="29" t="inlineStr">
        <is>
          <t>주눅구슬</t>
        </is>
      </c>
      <c r="I523" s="29" t="inlineStr">
        <is>
          <t>膽怯球</t>
        </is>
      </c>
      <c r="J523" s="29">
        <f>IFERROR(__xludf.DUMMYFUNCTION("GOOGLETRANSLATE(I523,""zh_HANT"",""zh_HANS"")"),"胆怯球")</f>
        <v/>
      </c>
      <c r="K523" s="29">
        <f>F523</f>
        <v/>
      </c>
    </row>
    <row r="524">
      <c r="A524" s="29">
        <f>CONCATENATE("NAME_ITEM_", SUBSTITUTE(SUBSTITUTE(UPPER(B524), " ", ""), ".", ""))</f>
        <v/>
      </c>
      <c r="B524" s="29" t="inlineStr">
        <is>
          <t>Terrain Extender</t>
        </is>
      </c>
      <c r="C524" s="29" t="inlineStr">
        <is>
          <t>グランドコート</t>
        </is>
      </c>
      <c r="D524" s="29" t="inlineStr">
        <is>
          <t>Champ'Duit</t>
        </is>
      </c>
      <c r="E524" s="29" t="inlineStr">
        <is>
          <t>Feldbeschichtung</t>
        </is>
      </c>
      <c r="F524" s="29" t="inlineStr">
        <is>
          <t>Cubresuelos</t>
        </is>
      </c>
      <c r="G524" s="29" t="inlineStr">
        <is>
          <t>Fissacampo</t>
        </is>
      </c>
      <c r="H524" s="29" t="inlineStr">
        <is>
          <t>그라운드코트</t>
        </is>
      </c>
      <c r="I524" s="29" t="inlineStr">
        <is>
          <t>大地膜</t>
        </is>
      </c>
      <c r="J524" s="29">
        <f>I524</f>
        <v/>
      </c>
      <c r="K524" s="29">
        <f>F524</f>
        <v/>
      </c>
    </row>
    <row r="525">
      <c r="A525" s="29">
        <f>CONCATENATE("NAME_ITEM_", SUBSTITUTE(SUBSTITUTE(UPPER(B525), " ", ""), ".", ""))</f>
        <v/>
      </c>
      <c r="B525" s="29" t="inlineStr">
        <is>
          <t>Protective Pads</t>
        </is>
      </c>
      <c r="C525" s="29" t="inlineStr">
        <is>
          <t>ぼうごパッド</t>
        </is>
      </c>
      <c r="D525" s="29" t="inlineStr">
        <is>
          <t>Pare-Effet</t>
        </is>
      </c>
      <c r="E525" s="29" t="inlineStr">
        <is>
          <t>Schutzpolster</t>
        </is>
      </c>
      <c r="F525" s="29" t="inlineStr">
        <is>
          <t>Paracontacto</t>
        </is>
      </c>
      <c r="G525" s="29" t="inlineStr">
        <is>
          <t>Smorzaurti</t>
        </is>
      </c>
      <c r="H525" s="29" t="inlineStr">
        <is>
          <t>방호패드</t>
        </is>
      </c>
      <c r="I525" s="29" t="inlineStr">
        <is>
          <t>部位護具</t>
        </is>
      </c>
      <c r="J525" s="29">
        <f>IFERROR(__xludf.DUMMYFUNCTION("GOOGLETRANSLATE(I525,""zh_HANT"",""zh_HANS"")"),"部位护具")</f>
        <v/>
      </c>
      <c r="K525" s="29">
        <f>F525</f>
        <v/>
      </c>
    </row>
    <row r="526">
      <c r="A526" s="29">
        <f>CONCATENATE("NAME_ITEM_", SUBSTITUTE(SUBSTITUTE(UPPER(B526), " ", ""), ".", ""))</f>
        <v/>
      </c>
      <c r="B526" s="29" t="inlineStr">
        <is>
          <t>Electric Seed</t>
        </is>
      </c>
      <c r="C526" s="29" t="inlineStr">
        <is>
          <t>エレキシード</t>
        </is>
      </c>
      <c r="D526" s="29" t="inlineStr">
        <is>
          <t>Graine Électrik</t>
        </is>
      </c>
      <c r="E526" s="29" t="inlineStr">
        <is>
          <t>Elektro-Samen</t>
        </is>
      </c>
      <c r="F526" s="29" t="inlineStr">
        <is>
          <t>Semilla Electro</t>
        </is>
      </c>
      <c r="G526" s="29" t="inlineStr">
        <is>
          <t>Elettroseme</t>
        </is>
      </c>
      <c r="H526" s="29" t="inlineStr">
        <is>
          <t>일렉트릭시드</t>
        </is>
      </c>
      <c r="I526" s="29" t="inlineStr">
        <is>
          <t>電氣種子</t>
        </is>
      </c>
      <c r="J526" s="29">
        <f>IFERROR(__xludf.DUMMYFUNCTION("GOOGLETRANSLATE(I526,""zh_HANT"",""zh_HANS"")"),"电气种子")</f>
        <v/>
      </c>
      <c r="K526" s="29">
        <f>F526</f>
        <v/>
      </c>
    </row>
    <row r="527">
      <c r="A527" s="29">
        <f>CONCATENATE("NAME_ITEM_", SUBSTITUTE(SUBSTITUTE(UPPER(B527), " ", ""), ".", ""))</f>
        <v/>
      </c>
      <c r="B527" s="29" t="inlineStr">
        <is>
          <t>Psychic Seed</t>
        </is>
      </c>
      <c r="C527" s="29" t="inlineStr">
        <is>
          <t>サイコシード</t>
        </is>
      </c>
      <c r="D527" s="29" t="inlineStr">
        <is>
          <t>Graine Psychique</t>
        </is>
      </c>
      <c r="E527" s="29" t="inlineStr">
        <is>
          <t>Psycho-Samen</t>
        </is>
      </c>
      <c r="F527" s="29" t="inlineStr">
        <is>
          <t>Semilla Psique</t>
        </is>
      </c>
      <c r="G527" s="29" t="inlineStr">
        <is>
          <t>Psicoseme</t>
        </is>
      </c>
      <c r="H527" s="29" t="inlineStr">
        <is>
          <t>사이코시드</t>
        </is>
      </c>
      <c r="I527" s="29" t="inlineStr">
        <is>
          <t>精神種子</t>
        </is>
      </c>
      <c r="J527" s="29">
        <f>IFERROR(__xludf.DUMMYFUNCTION("GOOGLETRANSLATE(I527,""zh_HANT"",""zh_HANS"")"),"精神种子")</f>
        <v/>
      </c>
      <c r="K527" s="29">
        <f>F527</f>
        <v/>
      </c>
    </row>
    <row r="528">
      <c r="A528" s="29">
        <f>CONCATENATE("NAME_ITEM_", SUBSTITUTE(SUBSTITUTE(UPPER(B528), " ", ""), ".", ""))</f>
        <v/>
      </c>
      <c r="B528" s="29" t="inlineStr">
        <is>
          <t>Misty Seed</t>
        </is>
      </c>
      <c r="C528" s="29" t="inlineStr">
        <is>
          <t>ミストシード</t>
        </is>
      </c>
      <c r="D528" s="29" t="inlineStr">
        <is>
          <t>Graine Brume</t>
        </is>
      </c>
      <c r="E528" s="29" t="inlineStr">
        <is>
          <t>Nebel-Samen</t>
        </is>
      </c>
      <c r="F528" s="29" t="inlineStr">
        <is>
          <t>Semilla Bruma</t>
        </is>
      </c>
      <c r="G528" s="29" t="inlineStr">
        <is>
          <t>Nebbiaseme</t>
        </is>
      </c>
      <c r="H528" s="29" t="inlineStr">
        <is>
          <t>미스트시드</t>
        </is>
      </c>
      <c r="I528" s="29" t="inlineStr">
        <is>
          <t>薄霧種子</t>
        </is>
      </c>
      <c r="J528" s="29">
        <f>IFERROR(__xludf.DUMMYFUNCTION("GOOGLETRANSLATE(I528,""zh_HANT"",""zh_HANS"")"),"薄雾种子")</f>
        <v/>
      </c>
      <c r="K528" s="29">
        <f>F528</f>
        <v/>
      </c>
    </row>
    <row r="529">
      <c r="A529" s="29">
        <f>CONCATENATE("NAME_ITEM_", SUBSTITUTE(SUBSTITUTE(UPPER(B529), " ", ""), ".", ""))</f>
        <v/>
      </c>
      <c r="B529" s="29" t="inlineStr">
        <is>
          <t>Grassy Seed</t>
        </is>
      </c>
      <c r="C529" s="29" t="inlineStr">
        <is>
          <t>グラスシード</t>
        </is>
      </c>
      <c r="D529" s="29" t="inlineStr">
        <is>
          <t>Graine Herbe</t>
        </is>
      </c>
      <c r="E529" s="29" t="inlineStr">
        <is>
          <t>Gras-Samen</t>
        </is>
      </c>
      <c r="F529" s="29" t="inlineStr">
        <is>
          <t>Semilla Hierba</t>
        </is>
      </c>
      <c r="G529" s="29" t="inlineStr">
        <is>
          <t>Erbaseme</t>
        </is>
      </c>
      <c r="H529" s="29" t="inlineStr">
        <is>
          <t>그래스시드</t>
        </is>
      </c>
      <c r="I529" s="29" t="inlineStr">
        <is>
          <t>青草種子</t>
        </is>
      </c>
      <c r="J529" s="29">
        <f>IFERROR(__xludf.DUMMYFUNCTION("GOOGLETRANSLATE(I529,""zh_HANT"",""zh_HANS"")"),"青草种子")</f>
        <v/>
      </c>
      <c r="K529" s="29">
        <f>F529</f>
        <v/>
      </c>
    </row>
    <row r="530">
      <c r="A530" s="29">
        <f>CONCATENATE("NAME_ITEM_", SUBSTITUTE(SUBSTITUTE(UPPER(B530), " ", ""), ".", ""))</f>
        <v/>
      </c>
      <c r="B530" s="29">
        <f>CONCATENATE(Types!B3, " Memory")</f>
        <v/>
      </c>
      <c r="C530" s="29" t="inlineStr">
        <is>
          <t>ファイトメモリ</t>
        </is>
      </c>
      <c r="D530" s="29">
        <f>CONCATENATE("ROM ",Types!D3)</f>
        <v/>
      </c>
      <c r="E530" s="29">
        <f>CONCATENATE(Types!E3, "-Disc")</f>
        <v/>
      </c>
      <c r="F530" s="29">
        <f>CONCATENATE("Disco ",Types!F3)</f>
        <v/>
      </c>
      <c r="G530" s="29">
        <f>CONCATENATE("ROM ",Types!G3)</f>
        <v/>
      </c>
      <c r="H530" s="29" t="inlineStr">
        <is>
          <t>파이팅메모리</t>
        </is>
      </c>
      <c r="I530" s="29">
        <f>IFERROR(__xludf.DUMMYFUNCTION("GOOGLETRANSLATE(J530,""zh_HANS"",""zh_HANT"")"),"格鬥儲存碟")</f>
        <v/>
      </c>
      <c r="J530" s="29">
        <f>CONCATENATE(Types!J3, "存储碟")</f>
        <v/>
      </c>
      <c r="K530" s="29">
        <f>F530</f>
        <v/>
      </c>
    </row>
    <row r="531">
      <c r="A531" s="29">
        <f>CONCATENATE("NAME_ITEM_", SUBSTITUTE(SUBSTITUTE(UPPER(B531), " ", ""), ".", ""))</f>
        <v/>
      </c>
      <c r="B531" s="29">
        <f>CONCATENATE(Types!B4, " Memory")</f>
        <v/>
      </c>
      <c r="C531" s="29" t="inlineStr">
        <is>
          <t>フライングメモリ</t>
        </is>
      </c>
      <c r="D531" s="29">
        <f>CONCATENATE("ROM ",Types!D4)</f>
        <v/>
      </c>
      <c r="E531" s="29">
        <f>CONCATENATE(Types!E4, "-Disc")</f>
        <v/>
      </c>
      <c r="F531" s="29">
        <f>CONCATENATE("Disco ",Types!F4)</f>
        <v/>
      </c>
      <c r="G531" s="29">
        <f>CONCATENATE("ROM ",Types!G4)</f>
        <v/>
      </c>
      <c r="H531" s="29" t="inlineStr">
        <is>
          <t>플라잉메모리</t>
        </is>
      </c>
      <c r="I531" s="29">
        <f>IFERROR(__xludf.DUMMYFUNCTION("GOOGLETRANSLATE(J531,""zh_HANS"",""zh_HANT"")"),"飛行收納碟")</f>
        <v/>
      </c>
      <c r="J531" s="29" t="inlineStr">
        <is>
          <t>飞翔存储碟</t>
        </is>
      </c>
      <c r="K531" s="29">
        <f>F531</f>
        <v/>
      </c>
    </row>
    <row r="532">
      <c r="A532" s="29">
        <f>CONCATENATE("NAME_ITEM_", SUBSTITUTE(SUBSTITUTE(UPPER(B532), " ", ""), ".", ""))</f>
        <v/>
      </c>
      <c r="B532" s="29">
        <f>CONCATENATE(Types!B5, " Memory")</f>
        <v/>
      </c>
      <c r="C532" s="29" t="inlineStr">
        <is>
          <t>ポイズンメモリ</t>
        </is>
      </c>
      <c r="D532" s="29">
        <f>CONCATENATE("ROM ",Types!D5)</f>
        <v/>
      </c>
      <c r="E532" s="29">
        <f>CONCATENATE(Types!E5, "-Disc")</f>
        <v/>
      </c>
      <c r="F532" s="29">
        <f>CONCATENATE("Disco ",Types!F5)</f>
        <v/>
      </c>
      <c r="G532" s="29">
        <f>CONCATENATE("ROM ",Types!G5)</f>
        <v/>
      </c>
      <c r="H532" s="29" t="inlineStr">
        <is>
          <t>포이즌메모리</t>
        </is>
      </c>
      <c r="I532" s="29">
        <f>IFERROR(__xludf.DUMMYFUNCTION("GOOGLETRANSLATE(J532,""zh_HANS"",""zh_HANT"")"),"毒儲存碟")</f>
        <v/>
      </c>
      <c r="J532" s="29">
        <f>CONCATENATE(Types!J5, "存储碟")</f>
        <v/>
      </c>
      <c r="K532" s="29">
        <f>F532</f>
        <v/>
      </c>
    </row>
    <row r="533">
      <c r="A533" s="29">
        <f>CONCATENATE("NAME_ITEM_", SUBSTITUTE(SUBSTITUTE(UPPER(B533), " ", ""), ".", ""))</f>
        <v/>
      </c>
      <c r="B533" s="29">
        <f>CONCATENATE(Types!B6, " Memory")</f>
        <v/>
      </c>
      <c r="C533" s="29" t="inlineStr">
        <is>
          <t>グラウンドメモリ</t>
        </is>
      </c>
      <c r="D533" s="29">
        <f>CONCATENATE("ROM ",Types!D6)</f>
        <v/>
      </c>
      <c r="E533" s="29">
        <f>CONCATENATE(Types!E6, "-Disc")</f>
        <v/>
      </c>
      <c r="F533" s="29">
        <f>CONCATENATE("Disco ",Types!F6)</f>
        <v/>
      </c>
      <c r="G533" s="29">
        <f>CONCATENATE("ROM ",Types!G6)</f>
        <v/>
      </c>
      <c r="H533" s="29" t="inlineStr">
        <is>
          <t>그라운드메모리</t>
        </is>
      </c>
      <c r="I533" s="29">
        <f>IFERROR(__xludf.DUMMYFUNCTION("GOOGLETRANSLATE(J533,""zh_HANS"",""zh_HANT"")"),"大地儲存碟")</f>
        <v/>
      </c>
      <c r="J533" s="29" t="inlineStr">
        <is>
          <t>大地存储碟</t>
        </is>
      </c>
      <c r="K533" s="29">
        <f>F533</f>
        <v/>
      </c>
    </row>
    <row r="534">
      <c r="A534" s="29">
        <f>CONCATENATE("NAME_ITEM_", SUBSTITUTE(SUBSTITUTE(UPPER(B534), " ", ""), ".", ""))</f>
        <v/>
      </c>
      <c r="B534" s="29">
        <f>CONCATENATE(Types!B7, " Memory")</f>
        <v/>
      </c>
      <c r="C534" s="29" t="inlineStr">
        <is>
          <t>ロックメモリ</t>
        </is>
      </c>
      <c r="D534" s="29">
        <f>CONCATENATE("ROM ",Types!D7)</f>
        <v/>
      </c>
      <c r="E534" s="29">
        <f>CONCATENATE(Types!E7, "-Disc")</f>
        <v/>
      </c>
      <c r="F534" s="29">
        <f>CONCATENATE("Disco ",Types!F7)</f>
        <v/>
      </c>
      <c r="G534" s="29">
        <f>CONCATENATE("ROM ",Types!G7)</f>
        <v/>
      </c>
      <c r="H534" s="29" t="inlineStr">
        <is>
          <t>락메모리</t>
        </is>
      </c>
      <c r="I534" s="29">
        <f>IFERROR(__xludf.DUMMYFUNCTION("GOOGLETRANSLATE(J534,""zh_HANS"",""zh_HANT"")"),"岩石儲存碟")</f>
        <v/>
      </c>
      <c r="J534" s="29">
        <f>CONCATENATE(Types!J7, "存储碟")</f>
        <v/>
      </c>
      <c r="K534" s="29">
        <f>F534</f>
        <v/>
      </c>
    </row>
    <row r="535">
      <c r="A535" s="29">
        <f>CONCATENATE("NAME_ITEM_", SUBSTITUTE(SUBSTITUTE(UPPER(B535), " ", ""), ".", ""))</f>
        <v/>
      </c>
      <c r="B535" s="29">
        <f>CONCATENATE(Types!B8, " Memory")</f>
        <v/>
      </c>
      <c r="C535" s="29" t="inlineStr">
        <is>
          <t>バグメモリ</t>
        </is>
      </c>
      <c r="D535" s="29">
        <f>CONCATENATE("ROM ",Types!D8)</f>
        <v/>
      </c>
      <c r="E535" s="29">
        <f>CONCATENATE(Types!E8, "-Disc")</f>
        <v/>
      </c>
      <c r="F535" s="29">
        <f>CONCATENATE("Disco ",Types!F8)</f>
        <v/>
      </c>
      <c r="G535" s="29">
        <f>CONCATENATE("ROM ",Types!G8)</f>
        <v/>
      </c>
      <c r="H535" s="29" t="inlineStr">
        <is>
          <t>버그메모리</t>
        </is>
      </c>
      <c r="I535" s="29">
        <f>IFERROR(__xludf.DUMMYFUNCTION("GOOGLETRANSLATE(J535,""zh_HANS"",""zh_HANT"")"),"蟲子儲存碟")</f>
        <v/>
      </c>
      <c r="J535" s="29" t="inlineStr">
        <is>
          <t>虫子存储碟</t>
        </is>
      </c>
      <c r="K535" s="29">
        <f>F535</f>
        <v/>
      </c>
    </row>
    <row r="536">
      <c r="A536" s="29">
        <f>CONCATENATE("NAME_ITEM_", SUBSTITUTE(SUBSTITUTE(UPPER(B536), " ", ""), ".", ""))</f>
        <v/>
      </c>
      <c r="B536" s="29">
        <f>CONCATENATE(Types!B9, " Memory")</f>
        <v/>
      </c>
      <c r="C536" s="29" t="inlineStr">
        <is>
          <t>ゴーストメモリ</t>
        </is>
      </c>
      <c r="D536" s="29">
        <f>CONCATENATE("ROM ",Types!D9)</f>
        <v/>
      </c>
      <c r="E536" s="29">
        <f>CONCATENATE(Types!E9, "-Disc")</f>
        <v/>
      </c>
      <c r="F536" s="29">
        <f>CONCATENATE("Disco ",Types!F9)</f>
        <v/>
      </c>
      <c r="G536" s="29">
        <f>CONCATENATE("ROM ",Types!G9)</f>
        <v/>
      </c>
      <c r="H536" s="29">
        <f>CONCATENATE(Types!H9,"메모리")</f>
        <v/>
      </c>
      <c r="I536" s="29">
        <f>IFERROR(__xludf.DUMMYFUNCTION("GOOGLETRANSLATE(J536,""zh_HANS"",""zh_HANT"")"),"幽靈儲存碟")</f>
        <v/>
      </c>
      <c r="J536" s="29">
        <f>CONCATENATE(Types!J9, "存储碟")</f>
        <v/>
      </c>
      <c r="K536" s="29">
        <f>F536</f>
        <v/>
      </c>
    </row>
    <row r="537">
      <c r="A537" s="29">
        <f>CONCATENATE("NAME_ITEM_", SUBSTITUTE(SUBSTITUTE(UPPER(B537), " ", ""), ".", ""))</f>
        <v/>
      </c>
      <c r="B537" s="29">
        <f>CONCATENATE(Types!B10, " Memory")</f>
        <v/>
      </c>
      <c r="C537" s="29" t="inlineStr">
        <is>
          <t>スチールメモリ</t>
        </is>
      </c>
      <c r="D537" s="29">
        <f>CONCATENATE("ROM ",Types!D10)</f>
        <v/>
      </c>
      <c r="E537" s="29">
        <f>CONCATENATE(Types!E10, "-Disc")</f>
        <v/>
      </c>
      <c r="F537" s="29">
        <f>CONCATENATE("Disco ",Types!F10)</f>
        <v/>
      </c>
      <c r="G537" s="29">
        <f>CONCATENATE("ROM ",Types!G10)</f>
        <v/>
      </c>
      <c r="H537" s="29" t="inlineStr">
        <is>
          <t>스틸메모리</t>
        </is>
      </c>
      <c r="I537" s="29">
        <f>IFERROR(__xludf.DUMMYFUNCTION("GOOGLETRANSLATE(J537,""zh_HANS"",""zh_HANT"")"),"鋼鐵儲存碟")</f>
        <v/>
      </c>
      <c r="J537" s="29" t="inlineStr">
        <is>
          <t>钢铁存储碟</t>
        </is>
      </c>
      <c r="K537" s="29">
        <f>F537</f>
        <v/>
      </c>
    </row>
    <row r="538">
      <c r="A538" s="29">
        <f>CONCATENATE("NAME_ITEM_", SUBSTITUTE(SUBSTITUTE(UPPER(B538), " ", ""), ".", ""))</f>
        <v/>
      </c>
      <c r="B538" s="29">
        <f>CONCATENATE(Types!B11, " Memory")</f>
        <v/>
      </c>
      <c r="C538" s="29" t="inlineStr">
        <is>
          <t>ファイヤーメモリ</t>
        </is>
      </c>
      <c r="D538" s="29">
        <f>CONCATENATE("ROM ",Types!D11)</f>
        <v/>
      </c>
      <c r="E538" s="29">
        <f>CONCATENATE(Types!E11, "-Disc")</f>
        <v/>
      </c>
      <c r="F538" s="29">
        <f>CONCATENATE("Disco ",Types!F11)</f>
        <v/>
      </c>
      <c r="G538" s="29">
        <f>CONCATENATE("ROM ",Types!G11)</f>
        <v/>
      </c>
      <c r="H538" s="29" t="inlineStr">
        <is>
          <t>파이어메모리</t>
        </is>
      </c>
      <c r="I538" s="29">
        <f>IFERROR(__xludf.DUMMYFUNCTION("GOOGLETRANSLATE(J538,""zh_HANS"",""zh_HANT"")"),"火焰儲存碟")</f>
        <v/>
      </c>
      <c r="J538" s="29" t="inlineStr">
        <is>
          <t>火焰存储碟</t>
        </is>
      </c>
      <c r="K538" s="29">
        <f>F538</f>
        <v/>
      </c>
    </row>
    <row r="539">
      <c r="A539" s="29">
        <f>CONCATENATE("NAME_ITEM_", SUBSTITUTE(SUBSTITUTE(UPPER(B539), " ", ""), ".", ""))</f>
        <v/>
      </c>
      <c r="B539" s="29">
        <f>CONCATENATE(Types!B12, " Memory")</f>
        <v/>
      </c>
      <c r="C539" s="29" t="inlineStr">
        <is>
          <t>ウォーターメモリ</t>
        </is>
      </c>
      <c r="D539" s="29">
        <f>CONCATENATE("ROM ",Types!D12)</f>
        <v/>
      </c>
      <c r="E539" s="29">
        <f>CONCATENATE(Types!E12, "-Disc")</f>
        <v/>
      </c>
      <c r="F539" s="29">
        <f>CONCATENATE("Disco ",Types!F12)</f>
        <v/>
      </c>
      <c r="G539" s="29">
        <f>CONCATENATE("ROM ",Types!G12)</f>
        <v/>
      </c>
      <c r="H539" s="29" t="inlineStr">
        <is>
          <t>워터메모리</t>
        </is>
      </c>
      <c r="I539" s="29">
        <f>IFERROR(__xludf.DUMMYFUNCTION("GOOGLETRANSLATE(J539,""zh_HANS"",""zh_HANT"")"),"清水儲存碟")</f>
        <v/>
      </c>
      <c r="J539" s="29">
        <f>CONCATENATE("清",Types!J12, "存储碟")</f>
        <v/>
      </c>
      <c r="K539" s="29">
        <f>F539</f>
        <v/>
      </c>
    </row>
    <row r="540">
      <c r="A540" s="29">
        <f>CONCATENATE("NAME_ITEM_", SUBSTITUTE(SUBSTITUTE(UPPER(B540), " ", ""), ".", ""))</f>
        <v/>
      </c>
      <c r="B540" s="29">
        <f>CONCATENATE(Types!B13, " Memory")</f>
        <v/>
      </c>
      <c r="C540" s="29" t="inlineStr">
        <is>
          <t>グラスメモリ</t>
        </is>
      </c>
      <c r="D540" s="29">
        <f>CONCATENATE("ROM ",Types!D13)</f>
        <v/>
      </c>
      <c r="E540" s="29">
        <f>CONCATENATE(Types!E13, "-Disc")</f>
        <v/>
      </c>
      <c r="F540" s="29">
        <f>CONCATENATE("Disco ",Types!F13)</f>
        <v/>
      </c>
      <c r="G540" s="29">
        <f>CONCATENATE("ROM ",Types!G13)</f>
        <v/>
      </c>
      <c r="H540" s="29" t="inlineStr">
        <is>
          <t>그래스메모리</t>
        </is>
      </c>
      <c r="I540" s="29">
        <f>IFERROR(__xludf.DUMMYFUNCTION("GOOGLETRANSLATE(J540,""zh_HANS"",""zh_HANT"")"),"青草儲存碟")</f>
        <v/>
      </c>
      <c r="J540" s="29">
        <f>CONCATENATE("青",Types!J13, "存储碟")</f>
        <v/>
      </c>
      <c r="K540" s="29">
        <f>F540</f>
        <v/>
      </c>
    </row>
    <row r="541">
      <c r="A541" s="29">
        <f>CONCATENATE("NAME_ITEM_", SUBSTITUTE(SUBSTITUTE(UPPER(B541), " ", ""), ".", ""))</f>
        <v/>
      </c>
      <c r="B541" s="29">
        <f>CONCATENATE(Types!B14, " Memory")</f>
        <v/>
      </c>
      <c r="C541" s="29" t="inlineStr">
        <is>
          <t>イレクトロメモリ</t>
        </is>
      </c>
      <c r="D541" s="29">
        <f>CONCATENATE("ROM ",Types!D14)</f>
        <v/>
      </c>
      <c r="E541" s="29">
        <f>CONCATENATE(Types!E14, "-Disc")</f>
        <v/>
      </c>
      <c r="F541" s="29">
        <f>CONCATENATE("Disco ",Types!F14)</f>
        <v/>
      </c>
      <c r="G541" s="29">
        <f>CONCATENATE("ROM ",Types!G14)</f>
        <v/>
      </c>
      <c r="H541" s="29" t="inlineStr">
        <is>
          <t>일렉트릭메모리</t>
        </is>
      </c>
      <c r="I541" s="29">
        <f>IFERROR(__xludf.DUMMYFUNCTION("GOOGLETRANSLATE(J541,""zh_HANS"",""zh_HANT"")"),"電子儲存碟")</f>
        <v/>
      </c>
      <c r="J541" s="29">
        <f>CONCATENATE(Types!J14, "子存储碟")</f>
        <v/>
      </c>
      <c r="K541" s="29">
        <f>F541</f>
        <v/>
      </c>
    </row>
    <row r="542">
      <c r="A542" s="29">
        <f>CONCATENATE("NAME_ITEM_", SUBSTITUTE(SUBSTITUTE(UPPER(B542), " ", ""), ".", ""))</f>
        <v/>
      </c>
      <c r="B542" s="29">
        <f>CONCATENATE(Types!B15, " Memory")</f>
        <v/>
      </c>
      <c r="C542" s="29" t="inlineStr">
        <is>
          <t>サイキックメモリ</t>
        </is>
      </c>
      <c r="D542" s="29">
        <f>CONCATENATE("ROM ",Types!D15)</f>
        <v/>
      </c>
      <c r="E542" s="29">
        <f>CONCATENATE(Types!E15, "-Disc")</f>
        <v/>
      </c>
      <c r="F542" s="29">
        <f>CONCATENATE("Disco ",Types!F15)</f>
        <v/>
      </c>
      <c r="G542" s="29">
        <f>CONCATENATE("ROM ",Types!G15)</f>
        <v/>
      </c>
      <c r="H542" s="29" t="inlineStr">
        <is>
          <t>사이킥메모리</t>
        </is>
      </c>
      <c r="I542" s="29">
        <f>IFERROR(__xludf.DUMMYFUNCTION("GOOGLETRANSLATE(J542,""zh_HANS"",""zh_HANT"")"),"精神儲存碟")</f>
        <v/>
      </c>
      <c r="J542" s="29" t="inlineStr">
        <is>
          <t>精神存储碟</t>
        </is>
      </c>
      <c r="K542" s="29">
        <f>F542</f>
        <v/>
      </c>
    </row>
    <row r="543">
      <c r="A543" s="29">
        <f>CONCATENATE("NAME_ITEM_", SUBSTITUTE(SUBSTITUTE(UPPER(B543), " ", ""), ".", ""))</f>
        <v/>
      </c>
      <c r="B543" s="29">
        <f>CONCATENATE(Types!B16, " Memory")</f>
        <v/>
      </c>
      <c r="C543" s="29" t="inlineStr">
        <is>
          <t>アイスメモリ</t>
        </is>
      </c>
      <c r="D543" s="29">
        <f>CONCATENATE("ROM ",Types!D16)</f>
        <v/>
      </c>
      <c r="E543" s="29">
        <f>CONCATENATE(Types!E16, "-Disc")</f>
        <v/>
      </c>
      <c r="F543" s="29">
        <f>CONCATENATE("Disco ",Types!F16)</f>
        <v/>
      </c>
      <c r="G543" s="29">
        <f>CONCATENATE("ROM ",Types!G16)</f>
        <v/>
      </c>
      <c r="H543" s="29" t="inlineStr">
        <is>
          <t>아이스메모리</t>
        </is>
      </c>
      <c r="I543" s="29">
        <f>IFERROR(__xludf.DUMMYFUNCTION("GOOGLETRANSLATE(J543,""zh_HANS"",""zh_HANT"")"),"冰雪儲存碟")</f>
        <v/>
      </c>
      <c r="J543" s="29">
        <f>CONCATENATE(Types!J16, "雪存储碟")</f>
        <v/>
      </c>
      <c r="K543" s="29">
        <f>F543</f>
        <v/>
      </c>
    </row>
    <row r="544">
      <c r="A544" s="29">
        <f>CONCATENATE("NAME_ITEM_", SUBSTITUTE(SUBSTITUTE(UPPER(B544), " ", ""), ".", ""))</f>
        <v/>
      </c>
      <c r="B544" s="29">
        <f>CONCATENATE(Types!B17, " Memory")</f>
        <v/>
      </c>
      <c r="C544" s="29" t="inlineStr">
        <is>
          <t>ドラゴンメモリ</t>
        </is>
      </c>
      <c r="D544" s="29">
        <f>CONCATENATE("ROM ",Types!D17)</f>
        <v/>
      </c>
      <c r="E544" s="29">
        <f>CONCATENATE(Types!E17, "-Disc")</f>
        <v/>
      </c>
      <c r="F544" s="29">
        <f>CONCATENATE("Disco ",Types!F17)</f>
        <v/>
      </c>
      <c r="G544" s="29">
        <f>CONCATENATE("ROM ",Types!G17)</f>
        <v/>
      </c>
      <c r="H544" s="29">
        <f>CONCATENATE(Types!H17,"메모리")</f>
        <v/>
      </c>
      <c r="I544" s="29">
        <f>IFERROR(__xludf.DUMMYFUNCTION("GOOGLETRANSLATE(J544,""zh_HANS"",""zh_HANT"")"),"龍儲存碟")</f>
        <v/>
      </c>
      <c r="J544" s="29">
        <f>CONCATENATE(Types!J17, "存储碟")</f>
        <v/>
      </c>
      <c r="K544" s="29">
        <f>F544</f>
        <v/>
      </c>
    </row>
    <row r="545">
      <c r="A545" s="29">
        <f>CONCATENATE("NAME_ITEM_", SUBSTITUTE(SUBSTITUTE(UPPER(B545), " ", ""), ".", ""))</f>
        <v/>
      </c>
      <c r="B545" s="29">
        <f>CONCATENATE(Types!B18, " Memory")</f>
        <v/>
      </c>
      <c r="C545" s="29" t="inlineStr">
        <is>
          <t>ダークメモリ</t>
        </is>
      </c>
      <c r="D545" s="29">
        <f>CONCATENATE("ROM ",Types!D18)</f>
        <v/>
      </c>
      <c r="E545" s="29">
        <f>CONCATENATE(Types!E18, "-Disc")</f>
        <v/>
      </c>
      <c r="F545" s="29">
        <f>CONCATENATE("Disco ",Types!F18)</f>
        <v/>
      </c>
      <c r="G545" s="29">
        <f>CONCATENATE("ROM ",Types!G18)</f>
        <v/>
      </c>
      <c r="H545" s="29" t="inlineStr">
        <is>
          <t>다크메모리</t>
        </is>
      </c>
      <c r="I545" s="29">
        <f>IFERROR(__xludf.DUMMYFUNCTION("GOOGLETRANSLATE(J545,""zh_HANS"",""zh_HANT"")"),"黑暗儲存碟")</f>
        <v/>
      </c>
      <c r="J545" s="29" t="inlineStr">
        <is>
          <t>黑暗存储碟</t>
        </is>
      </c>
      <c r="K545" s="29">
        <f>F545</f>
        <v/>
      </c>
    </row>
    <row r="546">
      <c r="A546" s="29">
        <f>CONCATENATE("NAME_ITEM_", SUBSTITUTE(SUBSTITUTE(UPPER(B546), " ", ""), ".", ""))</f>
        <v/>
      </c>
      <c r="B546" s="29">
        <f>CONCATENATE(Types!B19, " Memory")</f>
        <v/>
      </c>
      <c r="C546" s="29" t="inlineStr">
        <is>
          <t>フェアリーメモリ</t>
        </is>
      </c>
      <c r="D546" s="29">
        <f>CONCATENATE("ROM ",Types!D19)</f>
        <v/>
      </c>
      <c r="E546" s="29">
        <f>CONCATENATE(Types!E19, "-Disc")</f>
        <v/>
      </c>
      <c r="F546" s="29">
        <f>CONCATENATE("Disco ",Types!F19)</f>
        <v/>
      </c>
      <c r="G546" s="29">
        <f>CONCATENATE("ROM ",Types!G19)</f>
        <v/>
      </c>
      <c r="H546" s="29">
        <f>CONCATENATE(Types!H19,"메모리")</f>
        <v/>
      </c>
      <c r="I546" s="29">
        <f>IFERROR(__xludf.DUMMYFUNCTION("GOOGLETRANSLATE(J546,""zh_HANS"",""zh_HANT"")"),"妖精收納碟")</f>
        <v/>
      </c>
      <c r="J546" s="29">
        <f>CONCATENATE(Types!J19, "存储碟")</f>
        <v/>
      </c>
      <c r="K546" s="29">
        <f>F546</f>
        <v/>
      </c>
    </row>
    <row r="547">
      <c r="A547" s="29">
        <f>CONCATENATE("NAME_ITEM_", SUBSTITUTE(SUBSTITUTE(UPPER(B547), " ", ""), ".", ""))</f>
        <v/>
      </c>
      <c r="B547" s="29" t="inlineStr">
        <is>
          <t>Solganium Z</t>
        </is>
      </c>
      <c r="C547" s="29">
        <f>CONCATENATE(Pokemon!C792,"Ｚ")</f>
        <v/>
      </c>
      <c r="D547" s="29" t="inlineStr">
        <is>
          <t>Solgazélite</t>
        </is>
      </c>
      <c r="E547" s="29" t="inlineStr">
        <is>
          <t>Solgalium Z</t>
        </is>
      </c>
      <c r="F547" s="29" t="inlineStr">
        <is>
          <t>Solgaleostal Z</t>
        </is>
      </c>
      <c r="G547" s="29" t="inlineStr">
        <is>
          <t>Solgaleium Z</t>
        </is>
      </c>
      <c r="H547" s="29">
        <f>CONCATENATE(Pokemon!H792,"Ｚ")</f>
        <v/>
      </c>
      <c r="I547" s="29">
        <f>CONCATENATE(Pokemon!I792,"Ｚ")</f>
        <v/>
      </c>
      <c r="J547" s="29">
        <f>CONCATENATE(Pokemon!J792,"Ｚ")</f>
        <v/>
      </c>
      <c r="K547" s="29">
        <f>F547</f>
        <v/>
      </c>
    </row>
    <row r="548">
      <c r="A548" s="29">
        <f>CONCATENATE("NAME_ITEM_", SUBSTITUTE(SUBSTITUTE(UPPER(B548), " ", ""), ".", ""))</f>
        <v/>
      </c>
      <c r="B548" s="29" t="inlineStr">
        <is>
          <t>Lunalium Z</t>
        </is>
      </c>
      <c r="C548" s="29">
        <f>CONCATENATE(Pokemon!C793,"Ｚ")</f>
        <v/>
      </c>
      <c r="D548" s="29" t="inlineStr">
        <is>
          <t>Lunazélite</t>
        </is>
      </c>
      <c r="E548" s="29">
        <f>B548</f>
        <v/>
      </c>
      <c r="F548" s="29" t="inlineStr">
        <is>
          <t>Lunalastal Z</t>
        </is>
      </c>
      <c r="G548" s="29">
        <f>B548</f>
        <v/>
      </c>
      <c r="H548" s="29">
        <f>CONCATENATE(Pokemon!H793,"Ｚ")</f>
        <v/>
      </c>
      <c r="I548" s="29">
        <f>CONCATENATE(Pokemon!I793,"Ｚ")</f>
        <v/>
      </c>
      <c r="J548" s="29">
        <f>CONCATENATE(Pokemon!J793,"Ｚ")</f>
        <v/>
      </c>
      <c r="K548" s="29">
        <f>F548</f>
        <v/>
      </c>
    </row>
    <row r="549">
      <c r="A549" s="29">
        <f>CONCATENATE("NAME_ITEM_", SUBSTITUTE(SUBSTITUTE(UPPER(B549), " ", ""), ".", ""))</f>
        <v/>
      </c>
      <c r="B549" s="29" t="inlineStr">
        <is>
          <t>Ultranecrozium Z</t>
        </is>
      </c>
      <c r="C549" s="29">
        <f>CONCATENATE(Pokemon!C180,"Ｚ")</f>
        <v/>
      </c>
      <c r="D549" s="29" t="inlineStr">
        <is>
          <t>Ultranécrozélite</t>
        </is>
      </c>
      <c r="E549" s="29">
        <f>B549</f>
        <v/>
      </c>
      <c r="F549" s="29" t="inlineStr">
        <is>
          <t>Ultranecrostal Z</t>
        </is>
      </c>
      <c r="G549" s="29">
        <f>B549</f>
        <v/>
      </c>
      <c r="H549" s="29" t="inlineStr">
        <is>
          <t>울트라네크로Ｚ</t>
        </is>
      </c>
      <c r="I549" s="29">
        <f>IFERROR(__xludf.DUMMYFUNCTION("GOOGLETRANSLATE(J549,""zh_HANS"",""zh_HANT"")"),"極奈克洛Ｚ")</f>
        <v/>
      </c>
      <c r="J549" s="29" t="inlineStr">
        <is>
          <t>极奈克洛Ｚ</t>
        </is>
      </c>
      <c r="K549" s="29">
        <f>F549</f>
        <v/>
      </c>
    </row>
    <row r="550">
      <c r="A550" s="29">
        <f>CONCATENATE("NAME_ITEM_", SUBSTITUTE(SUBSTITUTE(UPPER(B550), " ", ""), ".", ""))</f>
        <v/>
      </c>
      <c r="B550" s="29" t="inlineStr">
        <is>
          <t>Mimikium Z</t>
        </is>
      </c>
      <c r="C550" s="29">
        <f>CONCATENATE(Pokemon!C779,"Ｚ")</f>
        <v/>
      </c>
      <c r="D550" s="29" t="inlineStr">
        <is>
          <t>Mimiquizélite</t>
        </is>
      </c>
      <c r="E550" s="29" t="inlineStr">
        <is>
          <t>Mimigmium Z</t>
        </is>
      </c>
      <c r="F550" s="29" t="inlineStr">
        <is>
          <t>Mimikyustal Z</t>
        </is>
      </c>
      <c r="G550" s="29" t="inlineStr">
        <is>
          <t>Mimikyum Z</t>
        </is>
      </c>
      <c r="H550" s="29">
        <f>CONCATENATE(Pokemon!H779,"Ｚ")</f>
        <v/>
      </c>
      <c r="I550" s="29">
        <f>CONCATENATE(Pokemon!I779,"Ｚ")</f>
        <v/>
      </c>
      <c r="J550" s="29">
        <f>CONCATENATE(Pokemon!J779,"Ｚ")</f>
        <v/>
      </c>
      <c r="K550" s="29">
        <f>F550</f>
        <v/>
      </c>
    </row>
    <row r="551">
      <c r="A551" s="29">
        <f>CONCATENATE("NAME_ITEM_", SUBSTITUTE(SUBSTITUTE(UPPER(B551), " ", ""), ".", ""))</f>
        <v/>
      </c>
      <c r="B551" s="29" t="inlineStr">
        <is>
          <t>Lycanium Z</t>
        </is>
      </c>
      <c r="C551" s="29">
        <f>CONCATENATE(Pokemon!C746,"Ｚ")</f>
        <v/>
      </c>
      <c r="D551" s="29" t="inlineStr">
        <is>
          <t>Lougarozélite</t>
        </is>
      </c>
      <c r="E551" s="29" t="inlineStr">
        <is>
          <t>Wolwerockium Z</t>
        </is>
      </c>
      <c r="F551" s="29" t="inlineStr">
        <is>
          <t>Lycanrostal Z</t>
        </is>
      </c>
      <c r="G551" s="29" t="inlineStr">
        <is>
          <t>Lycanrochium Z</t>
        </is>
      </c>
      <c r="H551" s="29">
        <f>CONCATENATE(Pokemon!H746,"Ｚ")</f>
        <v/>
      </c>
      <c r="I551" s="29">
        <f>CONCATENATE(Pokemon!I746,"Ｚ")</f>
        <v/>
      </c>
      <c r="J551" s="29">
        <f>CONCATENATE(Pokemon!J746,"Ｚ")</f>
        <v/>
      </c>
      <c r="K551" s="29">
        <f>F551</f>
        <v/>
      </c>
    </row>
    <row r="552">
      <c r="A552" s="29">
        <f>CONCATENATE("NAME_ITEM_", SUBSTITUTE(SUBSTITUTE(UPPER(B552), " ", ""), ".", ""))</f>
        <v/>
      </c>
      <c r="B552" s="29" t="inlineStr">
        <is>
          <t>Kommonium Z</t>
        </is>
      </c>
      <c r="C552" s="29">
        <f>CONCATENATE(Pokemon!C785,"Ｚ")</f>
        <v/>
      </c>
      <c r="D552" s="29" t="inlineStr">
        <is>
          <t>Ékaïzélite</t>
        </is>
      </c>
      <c r="E552" s="29" t="inlineStr">
        <is>
          <t>Grandirasium Z</t>
        </is>
      </c>
      <c r="F552" s="29" t="inlineStr">
        <is>
          <t>Kommostal Z</t>
        </is>
      </c>
      <c r="G552" s="29">
        <f>B552</f>
        <v/>
      </c>
      <c r="H552" s="29">
        <f>CONCATENATE(Pokemon!H785,"Ｚ")</f>
        <v/>
      </c>
      <c r="I552" s="29">
        <f>CONCATENATE(Pokemon!I785,"Ｚ")</f>
        <v/>
      </c>
      <c r="J552" s="29">
        <f>CONCATENATE(Pokemon!J785,"Ｚ")</f>
        <v/>
      </c>
      <c r="K552" s="29">
        <f>F552</f>
        <v/>
      </c>
    </row>
    <row r="553">
      <c r="A553" s="29">
        <f>CONCATENATE("NAME_ITEM_", SUBSTITUTE(SUBSTITUTE(UPPER(B553), " ", ""), ".", ""))</f>
        <v/>
      </c>
      <c r="B553" s="29" t="inlineStr">
        <is>
          <t>Rusted Sword</t>
        </is>
      </c>
      <c r="C553" s="29" t="inlineStr">
        <is>
          <t>くちたけん</t>
        </is>
      </c>
      <c r="D553" s="29" t="inlineStr">
        <is>
          <t>Épée Rouillée</t>
        </is>
      </c>
      <c r="E553" s="29" t="inlineStr">
        <is>
          <t>Rostiges Schwert</t>
        </is>
      </c>
      <c r="F553" s="29" t="inlineStr">
        <is>
          <t>Espada Oxidada</t>
        </is>
      </c>
      <c r="G553" s="29" t="inlineStr">
        <is>
          <t>Spada rovinata</t>
        </is>
      </c>
      <c r="H553" s="29" t="inlineStr">
        <is>
          <t>녹슨검</t>
        </is>
      </c>
      <c r="I553" s="29" t="inlineStr">
        <is>
          <t>腐朽的劍</t>
        </is>
      </c>
      <c r="J553" s="29">
        <f>IFERROR(__xludf.DUMMYFUNCTION("GOOGLETRANSLATE(I553,""zh_HANT"",""zh_HANS"")"),"腐朽的剑")</f>
        <v/>
      </c>
      <c r="K553" s="29">
        <f>F553</f>
        <v/>
      </c>
    </row>
    <row r="554">
      <c r="A554" s="29">
        <f>CONCATENATE("NAME_ITEM_", SUBSTITUTE(SUBSTITUTE(UPPER(B554), " ", ""), ".", ""))</f>
        <v/>
      </c>
      <c r="B554" s="29" t="inlineStr">
        <is>
          <t>Rusted Shield</t>
        </is>
      </c>
      <c r="C554" s="29" t="inlineStr">
        <is>
          <t>くちたたて</t>
        </is>
      </c>
      <c r="D554" s="29" t="inlineStr">
        <is>
          <t>Bouclier Rouilé</t>
        </is>
      </c>
      <c r="E554" s="29" t="inlineStr">
        <is>
          <t>Rostiges Schild</t>
        </is>
      </c>
      <c r="F554" s="29" t="inlineStr">
        <is>
          <t>Escudo Oxidada</t>
        </is>
      </c>
      <c r="G554" s="29" t="inlineStr">
        <is>
          <t>Scudo rovinata</t>
        </is>
      </c>
      <c r="H554" s="29" t="inlineStr">
        <is>
          <t>녹슨방패</t>
        </is>
      </c>
      <c r="I554" s="29" t="inlineStr">
        <is>
          <t>腐朽的盾</t>
        </is>
      </c>
      <c r="J554" s="29">
        <f>I554</f>
        <v/>
      </c>
      <c r="K554" s="29">
        <f>F554</f>
        <v/>
      </c>
    </row>
    <row r="555">
      <c r="A555" s="29">
        <f>CONCATENATE("NAME_ITEM_", SUBSTITUTE(SUBSTITUTE(UPPER(B555), " ", ""), ".", ""))</f>
        <v/>
      </c>
      <c r="B555" s="29" t="inlineStr">
        <is>
          <t>Strawberry Sweet</t>
        </is>
      </c>
      <c r="C555" s="29" t="inlineStr">
        <is>
          <t>いちごアメざいく</t>
        </is>
      </c>
      <c r="D555" s="29" t="inlineStr">
        <is>
          <t>Fraise en Sucre</t>
        </is>
      </c>
      <c r="E555" s="29" t="inlineStr">
        <is>
          <t>Zucker-Erdbeere</t>
        </is>
      </c>
      <c r="F555" s="29" t="inlineStr">
        <is>
          <t>Confite Fresa</t>
        </is>
      </c>
      <c r="G555" s="29" t="inlineStr">
        <is>
          <t>Bonbonfragola</t>
        </is>
      </c>
      <c r="H555" s="29" t="inlineStr">
        <is>
          <t>딸기사탕공예</t>
        </is>
      </c>
      <c r="I555" s="29" t="inlineStr">
        <is>
          <t>草莓糖飾</t>
        </is>
      </c>
      <c r="J555" s="29">
        <f>IFERROR(__xludf.DUMMYFUNCTION("GOOGLETRANSLATE(I555,""zh_HANT"",""zh_HANS"")"),"草莓糖饰")</f>
        <v/>
      </c>
      <c r="K555" s="29">
        <f>F555</f>
        <v/>
      </c>
    </row>
    <row r="556">
      <c r="A556" s="29">
        <f>CONCATENATE("NAME_ITEM_", SUBSTITUTE(SUBSTITUTE(UPPER(B556), " ", ""), ".", ""))</f>
        <v/>
      </c>
      <c r="B556" s="29" t="inlineStr">
        <is>
          <t>Love Sweet</t>
        </is>
      </c>
      <c r="C556" s="29" t="inlineStr">
        <is>
          <t>ハートアメざいく</t>
        </is>
      </c>
      <c r="D556" s="29" t="inlineStr">
        <is>
          <t>Cœur en Sucre</t>
        </is>
      </c>
      <c r="E556" s="29" t="inlineStr">
        <is>
          <t>Zucker-Herz</t>
        </is>
      </c>
      <c r="F556" s="29" t="inlineStr">
        <is>
          <t>Confite Corazón</t>
        </is>
      </c>
      <c r="G556" s="29" t="inlineStr">
        <is>
          <t>Bonboncuore</t>
        </is>
      </c>
      <c r="H556" s="29" t="inlineStr">
        <is>
          <t>하트사탕공예</t>
        </is>
      </c>
      <c r="I556" s="29" t="inlineStr">
        <is>
          <t>愛心糖飾</t>
        </is>
      </c>
      <c r="J556" s="29">
        <f>IFERROR(__xludf.DUMMYFUNCTION("GOOGLETRANSLATE(I556,""zh_HANT"",""zh_HANS"")"),"爱心糖饰")</f>
        <v/>
      </c>
      <c r="K556" s="29">
        <f>F556</f>
        <v/>
      </c>
    </row>
    <row r="557">
      <c r="A557" s="29">
        <f>CONCATENATE("NAME_ITEM_", SUBSTITUTE(SUBSTITUTE(UPPER(B557), " ", ""), ".", ""))</f>
        <v/>
      </c>
      <c r="B557" s="29" t="inlineStr">
        <is>
          <t>Berry Sweet</t>
        </is>
      </c>
      <c r="C557" s="29" t="inlineStr">
        <is>
          <t>ベリーアメざいく</t>
        </is>
      </c>
      <c r="D557" s="29" t="inlineStr">
        <is>
          <t>Baie en Sucre</t>
        </is>
      </c>
      <c r="E557" s="29" t="inlineStr">
        <is>
          <t>Zucker-Beere</t>
        </is>
      </c>
      <c r="F557" s="29" t="inlineStr">
        <is>
          <t>Confite Fruto</t>
        </is>
      </c>
      <c r="G557" s="29" t="inlineStr">
        <is>
          <t>Bonbonbosco</t>
        </is>
      </c>
      <c r="H557" s="29" t="inlineStr">
        <is>
          <t>베리사탕공예</t>
        </is>
      </c>
      <c r="I557" s="29" t="inlineStr">
        <is>
          <t>野莓糖飾</t>
        </is>
      </c>
      <c r="J557" s="29">
        <f>IFERROR(__xludf.DUMMYFUNCTION("GOOGLETRANSLATE(I557,""zh_HANT"",""zh_HANS"")"),"野莓糖饰")</f>
        <v/>
      </c>
      <c r="K557" s="29">
        <f>F557</f>
        <v/>
      </c>
    </row>
    <row r="558">
      <c r="A558" s="29">
        <f>CONCATENATE("NAME_ITEM_", SUBSTITUTE(SUBSTITUTE(UPPER(B558), " ", ""), ".", ""))</f>
        <v/>
      </c>
      <c r="B558" s="29" t="inlineStr">
        <is>
          <t>Clover Sweet</t>
        </is>
      </c>
      <c r="C558" s="29" t="inlineStr">
        <is>
          <t>よつばアメざいく</t>
        </is>
      </c>
      <c r="D558" s="29" t="inlineStr">
        <is>
          <t>Trèfle en Sucre</t>
        </is>
      </c>
      <c r="E558" s="29" t="inlineStr">
        <is>
          <t>Zucker-Kleeblatt</t>
        </is>
      </c>
      <c r="F558" s="29" t="inlineStr">
        <is>
          <t>Confite Trébol</t>
        </is>
      </c>
      <c r="G558" s="29" t="inlineStr">
        <is>
          <t>Bonbonfoglio</t>
        </is>
      </c>
      <c r="H558" s="29" t="inlineStr">
        <is>
          <t>네잎사탕공예</t>
        </is>
      </c>
      <c r="I558" s="29" t="inlineStr">
        <is>
          <t>幸運草糖飾</t>
        </is>
      </c>
      <c r="J558" s="29">
        <f>IFERROR(__xludf.DUMMYFUNCTION("GOOGLETRANSLATE(I558,""zh_HANT"",""zh_HANS"")"),"幸运草糖饰")</f>
        <v/>
      </c>
      <c r="K558" s="29">
        <f>F558</f>
        <v/>
      </c>
    </row>
    <row r="559">
      <c r="A559" s="29">
        <f>CONCATENATE("NAME_ITEM_", SUBSTITUTE(SUBSTITUTE(UPPER(B559), " ", ""), ".", ""))</f>
        <v/>
      </c>
      <c r="B559" s="29" t="inlineStr">
        <is>
          <t>Flower Sweet</t>
        </is>
      </c>
      <c r="C559" s="29" t="inlineStr">
        <is>
          <t>おはなアメざいく</t>
        </is>
      </c>
      <c r="D559" s="29" t="inlineStr">
        <is>
          <t>Fleur en Sucre</t>
        </is>
      </c>
      <c r="E559" s="29" t="inlineStr">
        <is>
          <t>Zucker-Blume</t>
        </is>
      </c>
      <c r="F559" s="29" t="inlineStr">
        <is>
          <t>Confite Flor</t>
        </is>
      </c>
      <c r="G559" s="29" t="inlineStr">
        <is>
          <t>Bonbonfiore</t>
        </is>
      </c>
      <c r="H559" s="29" t="inlineStr">
        <is>
          <t>꽃사탕공예</t>
        </is>
      </c>
      <c r="I559" s="29" t="inlineStr">
        <is>
          <t>花朵糖飾</t>
        </is>
      </c>
      <c r="J559" s="29">
        <f>IFERROR(__xludf.DUMMYFUNCTION("GOOGLETRANSLATE(I559,""zh_HANT"",""zh_HANS"")"),"花朵糖饰")</f>
        <v/>
      </c>
      <c r="K559" s="29">
        <f>F559</f>
        <v/>
      </c>
    </row>
    <row r="560">
      <c r="A560" s="29">
        <f>CONCATENATE("NAME_ITEM_", SUBSTITUTE(SUBSTITUTE(UPPER(B560), " ", ""), ".", ""))</f>
        <v/>
      </c>
      <c r="B560" s="29" t="inlineStr">
        <is>
          <t>Star Sweet</t>
        </is>
      </c>
      <c r="C560" s="29" t="inlineStr">
        <is>
          <t>スターアメざいく</t>
        </is>
      </c>
      <c r="D560" s="29" t="inlineStr">
        <is>
          <t>Étoile en Sucre</t>
        </is>
      </c>
      <c r="E560" s="29" t="inlineStr">
        <is>
          <t>Zucker-Stern</t>
        </is>
      </c>
      <c r="F560" s="29" t="inlineStr">
        <is>
          <t>Confite Estella</t>
        </is>
      </c>
      <c r="G560" s="29" t="inlineStr">
        <is>
          <t>Bonbonstella</t>
        </is>
      </c>
      <c r="H560" s="29" t="inlineStr">
        <is>
          <t>스타사탕공예</t>
        </is>
      </c>
      <c r="I560" s="29" t="inlineStr">
        <is>
          <t>星星糖飾</t>
        </is>
      </c>
      <c r="J560" s="29">
        <f>IFERROR(__xludf.DUMMYFUNCTION("GOOGLETRANSLATE(I560,""zh_HANT"",""zh_HANS"")"),"星星糖饰")</f>
        <v/>
      </c>
      <c r="K560" s="29">
        <f>F560</f>
        <v/>
      </c>
    </row>
    <row r="561">
      <c r="A561" s="29">
        <f>CONCATENATE("NAME_ITEM_", SUBSTITUTE(SUBSTITUTE(UPPER(B561), " ", ""), ".", ""))</f>
        <v/>
      </c>
      <c r="B561" s="29" t="inlineStr">
        <is>
          <t>Ribbon Sweet</t>
        </is>
      </c>
      <c r="C561" s="29" t="inlineStr">
        <is>
          <t>リボンアメざいく</t>
        </is>
      </c>
      <c r="D561" s="29" t="inlineStr">
        <is>
          <t>Ruban en Sucre</t>
        </is>
      </c>
      <c r="E561" s="29" t="inlineStr">
        <is>
          <t>Zucker-Schleife</t>
        </is>
      </c>
      <c r="F561" s="29" t="inlineStr">
        <is>
          <t>Confite Lazo</t>
        </is>
      </c>
      <c r="G561" s="29" t="inlineStr">
        <is>
          <t>Bonbonfiocco</t>
        </is>
      </c>
      <c r="H561" s="29" t="inlineStr">
        <is>
          <t>리본사탕공예</t>
        </is>
      </c>
      <c r="I561" s="29" t="inlineStr">
        <is>
          <t>蝴蝶結糖飾</t>
        </is>
      </c>
      <c r="J561" s="29">
        <f>IFERROR(__xludf.DUMMYFUNCTION("GOOGLETRANSLATE(I561,""zh_HANT"",""zh_HANS"")"),"蝴蝶结糖饰")</f>
        <v/>
      </c>
      <c r="K561" s="29">
        <f>F561</f>
        <v/>
      </c>
    </row>
    <row r="562">
      <c r="A562" s="29">
        <f>CONCATENATE("NAME_ITEM_", SUBSTITUTE(SUBSTITUTE(UPPER(B562), " ", ""), ".", ""))</f>
        <v/>
      </c>
      <c r="B562" s="29" t="inlineStr">
        <is>
          <t>Throat Spray</t>
        </is>
      </c>
      <c r="C562" s="29" t="inlineStr">
        <is>
          <t>のどスプレー</t>
        </is>
      </c>
      <c r="D562" s="29" t="inlineStr">
        <is>
          <t>Spray Gorge</t>
        </is>
      </c>
      <c r="E562" s="29" t="inlineStr">
        <is>
          <t>Halsspray</t>
        </is>
      </c>
      <c r="F562" s="29" t="inlineStr">
        <is>
          <t>Espray Bucal</t>
        </is>
      </c>
      <c r="G562" s="29" t="inlineStr">
        <is>
          <t>Spray gola</t>
        </is>
      </c>
      <c r="H562" s="29" t="inlineStr">
        <is>
          <t>목스프레이</t>
        </is>
      </c>
      <c r="I562" s="29" t="inlineStr">
        <is>
          <t>爽喉噴霧</t>
        </is>
      </c>
      <c r="J562" s="29">
        <f>IFERROR(__xludf.DUMMYFUNCTION("GOOGLETRANSLATE(I562,""zh_HANT"",""zh_HANS"")"),"爽喉喷雾")</f>
        <v/>
      </c>
      <c r="K562" s="29">
        <f>F562</f>
        <v/>
      </c>
    </row>
    <row r="563">
      <c r="A563" s="29">
        <f>CONCATENATE("NAME_ITEM_", SUBSTITUTE(SUBSTITUTE(UPPER(B563), " ", ""), ".", ""))</f>
        <v/>
      </c>
      <c r="B563" s="29" t="inlineStr">
        <is>
          <t>Eject Pack</t>
        </is>
      </c>
      <c r="C563" s="29" t="inlineStr">
        <is>
          <t>だっしゅつパック</t>
        </is>
      </c>
      <c r="D563" s="29" t="inlineStr">
        <is>
          <t>Sac Fuite</t>
        </is>
      </c>
      <c r="E563" s="29" t="inlineStr">
        <is>
          <t>Fluchttasche</t>
        </is>
      </c>
      <c r="F563" s="29" t="inlineStr">
        <is>
          <t>Mochila Escape</t>
        </is>
      </c>
      <c r="G563" s="29" t="inlineStr">
        <is>
          <t>Zainofuga</t>
        </is>
      </c>
      <c r="H563" s="29" t="inlineStr">
        <is>
          <t>탈출팩</t>
        </is>
      </c>
      <c r="I563" s="29" t="inlineStr">
        <is>
          <t>避難背包</t>
        </is>
      </c>
      <c r="J563" s="29">
        <f>IFERROR(__xludf.DUMMYFUNCTION("GOOGLETRANSLATE(I563,""zh_HANT"",""zh_HANS"")"),"避难背包")</f>
        <v/>
      </c>
      <c r="K563" s="29">
        <f>F563</f>
        <v/>
      </c>
    </row>
    <row r="564">
      <c r="A564" s="29" t="inlineStr">
        <is>
          <t>NAME_ITEM_HEAVYDUTYBOOTS</t>
        </is>
      </c>
      <c r="B564" s="29" t="inlineStr">
        <is>
          <t>Heavy-Duty Boots</t>
        </is>
      </c>
      <c r="C564" s="29" t="inlineStr">
        <is>
          <t>あつぞこブーツ</t>
        </is>
      </c>
      <c r="D564" s="29" t="inlineStr">
        <is>
          <t>Grosses Bottes</t>
        </is>
      </c>
      <c r="E564" s="29" t="inlineStr">
        <is>
          <t>Plateauschuhe</t>
        </is>
      </c>
      <c r="F564" s="29" t="inlineStr">
        <is>
          <t>Botas Gruesas</t>
        </is>
      </c>
      <c r="G564" s="29" t="inlineStr">
        <is>
          <t>Scarponi robusti</t>
        </is>
      </c>
      <c r="H564" s="29" t="inlineStr">
        <is>
          <t>통굽부츠</t>
        </is>
      </c>
      <c r="I564" s="29" t="inlineStr">
        <is>
          <t>厚底靴</t>
        </is>
      </c>
      <c r="J564" s="29">
        <f>I564</f>
        <v/>
      </c>
      <c r="K564" s="29">
        <f>F564</f>
        <v/>
      </c>
    </row>
    <row r="565">
      <c r="A565" s="29">
        <f>CONCATENATE("NAME_ITEM_", SUBSTITUTE(SUBSTITUTE(UPPER(B565), " ", ""), ".", ""))</f>
        <v/>
      </c>
      <c r="B565" s="29" t="inlineStr">
        <is>
          <t>Blunder Policy</t>
        </is>
      </c>
      <c r="C565" s="29" t="inlineStr">
        <is>
          <t>からぶりほけん</t>
        </is>
      </c>
      <c r="D565" s="29" t="inlineStr">
        <is>
          <t>Assurance Échec</t>
        </is>
      </c>
      <c r="E565" s="29" t="inlineStr">
        <is>
          <t>Fehlschlagschutz</t>
        </is>
      </c>
      <c r="F565" s="29" t="inlineStr">
        <is>
          <t>Seguro Fallo</t>
        </is>
      </c>
      <c r="G565" s="29" t="inlineStr">
        <is>
          <t>Fiascopolizza</t>
        </is>
      </c>
      <c r="H565" s="29" t="inlineStr">
        <is>
          <t>허탕보험</t>
        </is>
      </c>
      <c r="I565" s="29" t="inlineStr">
        <is>
          <t>打空保險</t>
        </is>
      </c>
      <c r="J565" s="29">
        <f>IFERROR(__xludf.DUMMYFUNCTION("GOOGLETRANSLATE(I565,""zh_HANT"",""zh_HANS"")"),"打空保险")</f>
        <v/>
      </c>
      <c r="K565" s="29">
        <f>F565</f>
        <v/>
      </c>
    </row>
    <row r="566">
      <c r="A566" s="29">
        <f>CONCATENATE("NAME_ITEM_", SUBSTITUTE(SUBSTITUTE(UPPER(B566), " ", ""), ".", ""))</f>
        <v/>
      </c>
      <c r="B566" s="29" t="inlineStr">
        <is>
          <t>Room Service</t>
        </is>
      </c>
      <c r="C566" s="29" t="inlineStr">
        <is>
          <t>ルームサービス</t>
        </is>
      </c>
      <c r="D566" s="29" t="inlineStr">
        <is>
          <t>Chariot Distordu</t>
        </is>
      </c>
      <c r="E566" s="29" t="inlineStr">
        <is>
          <t>Bizarroservice</t>
        </is>
      </c>
      <c r="F566" s="29" t="inlineStr">
        <is>
          <t>Servicio Raro</t>
        </is>
      </c>
      <c r="G566" s="29" t="inlineStr">
        <is>
          <t>Distorservizio</t>
        </is>
      </c>
      <c r="H566" s="29" t="inlineStr">
        <is>
          <t>룸서비스</t>
        </is>
      </c>
      <c r="I566" s="29" t="inlineStr">
        <is>
          <t>客房服務</t>
        </is>
      </c>
      <c r="J566" s="29">
        <f>IFERROR(__xludf.DUMMYFUNCTION("GOOGLETRANSLATE(I566,""zh_HANT"",""zh_HANS"")"),"客房服务")</f>
        <v/>
      </c>
      <c r="K566" s="29">
        <f>F566</f>
        <v/>
      </c>
    </row>
    <row r="567">
      <c r="A567" s="29">
        <f>CONCATENATE("NAME_ITEM_", SUBSTITUTE(SUBSTITUTE(UPPER(B567), " ", ""), ".", ""))</f>
        <v/>
      </c>
      <c r="B567" s="29" t="inlineStr">
        <is>
          <t>Utility Umbrella</t>
        </is>
      </c>
      <c r="C567" s="29" t="inlineStr">
        <is>
          <t>ばんのうがさ</t>
        </is>
      </c>
      <c r="D567" s="29" t="inlineStr">
        <is>
          <t>Parapluie Solide</t>
        </is>
      </c>
      <c r="E567" s="29" t="inlineStr">
        <is>
          <t>Allzweckschirm</t>
        </is>
      </c>
      <c r="F567" s="29" t="inlineStr">
        <is>
          <t>Parasol Multiuso</t>
        </is>
      </c>
      <c r="G567" s="29" t="inlineStr">
        <is>
          <t>Superombrello</t>
        </is>
      </c>
      <c r="H567" s="29" t="inlineStr">
        <is>
          <t>만능우산</t>
        </is>
      </c>
      <c r="I567" s="29" t="inlineStr">
        <is>
          <t>萬能傘</t>
        </is>
      </c>
      <c r="J567" s="29">
        <f>IFERROR(__xludf.DUMMYFUNCTION("GOOGLETRANSLATE(I567,""zh_HANT"",""zh_HANS"")"),"万能伞")</f>
        <v/>
      </c>
      <c r="K567" s="29">
        <f>F567</f>
        <v/>
      </c>
    </row>
    <row r="568">
      <c r="A568" s="29">
        <f>CONCATENATE("NAME_ITEM_", SUBSTITUTE(SUBSTITUTE(UPPER(B568), " ", ""), ".", ""))</f>
        <v/>
      </c>
      <c r="B568" s="29" t="inlineStr">
        <is>
          <t>Adamant Crystal</t>
        </is>
      </c>
      <c r="C568" s="29">
        <f>CONCATENATE("だい",C370)</f>
        <v/>
      </c>
      <c r="D568" s="29" t="inlineStr">
        <is>
          <t>Globe Adamant</t>
        </is>
      </c>
      <c r="E568" s="29" t="inlineStr">
        <is>
          <t>Adamasferoide</t>
        </is>
      </c>
      <c r="F568" s="29">
        <f>CONCATENATE("Gran ",F370)</f>
        <v/>
      </c>
      <c r="G568" s="29" t="inlineStr">
        <is>
          <t>Adamasferoide</t>
        </is>
      </c>
      <c r="H568" s="29">
        <f>CONCATENATE("큰",H370)</f>
        <v/>
      </c>
      <c r="I568" s="29">
        <f>CONCATENATE("大",I370)</f>
        <v/>
      </c>
      <c r="J568" s="29">
        <f>IFERROR(__xludf.DUMMYFUNCTION("GOOGLETRANSLATE(I568,""zh_HANT"",""zh_HANS"")"),"大金刚宝珠")</f>
        <v/>
      </c>
      <c r="K568" s="29">
        <f>F568</f>
        <v/>
      </c>
    </row>
    <row r="569">
      <c r="A569" s="29">
        <f>CONCATENATE("NAME_ITEM_", SUBSTITUTE(SUBSTITUTE(UPPER(B569), " ", ""), ".", ""))</f>
        <v/>
      </c>
      <c r="B569" s="29" t="inlineStr">
        <is>
          <t>Lustrous Globe</t>
        </is>
      </c>
      <c r="C569" s="29">
        <f>CONCATENATE("だい",C371)</f>
        <v/>
      </c>
      <c r="D569" s="29" t="inlineStr">
        <is>
          <t>Globe Perlé</t>
        </is>
      </c>
      <c r="E569" s="29" t="inlineStr">
        <is>
          <t>Weißkristall</t>
        </is>
      </c>
      <c r="F569" s="29">
        <f>CONCATENATE("Gran ",F371)</f>
        <v/>
      </c>
      <c r="G569" s="29" t="inlineStr">
        <is>
          <t>Splendisferoide</t>
        </is>
      </c>
      <c r="H569" s="29">
        <f>CONCATENATE("큰",H371)</f>
        <v/>
      </c>
      <c r="I569" s="29" t="inlineStr">
        <is>
          <t>大白寶玉</t>
        </is>
      </c>
      <c r="J569" s="29">
        <f>IFERROR(__xludf.DUMMYFUNCTION("GOOGLETRANSLATE(I569,""zh_HANT"",""zh_HANS"")"),"大白宝玉")</f>
        <v/>
      </c>
      <c r="K569" s="29">
        <f>F569</f>
        <v/>
      </c>
    </row>
    <row r="570">
      <c r="A570" s="29">
        <f>CONCATENATE("NAME_ITEM_", SUBSTITUTE(SUBSTITUTE(UPPER(B570), " ", ""), ".", ""))</f>
        <v/>
      </c>
      <c r="B570" s="29" t="inlineStr">
        <is>
          <t>Griseous Core</t>
        </is>
      </c>
      <c r="C570" s="29">
        <f>CONCATENATE("だい",C372)</f>
        <v/>
      </c>
      <c r="D570" s="29" t="inlineStr">
        <is>
          <t>Globe Platiné</t>
        </is>
      </c>
      <c r="E570" s="29" t="inlineStr">
        <is>
          <t>Platinumkristall</t>
        </is>
      </c>
      <c r="F570" s="29">
        <f>CONCATENATE("Gran ",F372)</f>
        <v/>
      </c>
      <c r="G570" s="29" t="inlineStr">
        <is>
          <t>Grigiosferoide</t>
        </is>
      </c>
      <c r="H570" s="29">
        <f>CONCATENATE("큰",H372)</f>
        <v/>
      </c>
      <c r="I570" s="29" t="inlineStr">
        <is>
          <t>大白金寶玉</t>
        </is>
      </c>
      <c r="J570" s="29">
        <f>IFERROR(__xludf.DUMMYFUNCTION("GOOGLETRANSLATE(I570,""zh_HANT"",""zh_HANS"")"),"大白金宝玉")</f>
        <v/>
      </c>
      <c r="K570" s="29">
        <f>F570</f>
        <v/>
      </c>
    </row>
    <row r="571">
      <c r="A571" s="29">
        <f>CONCATENATE("NAME_ITEM_", SUBSTITUTE(SUBSTITUTE(UPPER(B571), " ", ""), ".", ""))</f>
        <v/>
      </c>
      <c r="B571" s="29" t="inlineStr">
        <is>
          <t>Booster Energy</t>
        </is>
      </c>
      <c r="C571" s="29" t="inlineStr">
        <is>
          <t>ブーストエナジー</t>
        </is>
      </c>
      <c r="D571" s="29" t="inlineStr">
        <is>
          <t>Énergie Booster</t>
        </is>
      </c>
      <c r="E571" s="29" t="inlineStr">
        <is>
          <t>Energiekapsel</t>
        </is>
      </c>
      <c r="F571" s="29" t="inlineStr">
        <is>
          <t>Energía Potenciadora</t>
        </is>
      </c>
      <c r="G571" s="29" t="inlineStr">
        <is>
          <t>Capsula Energetica</t>
        </is>
      </c>
      <c r="H571" s="29" t="inlineStr">
        <is>
          <t>부스트에너지</t>
        </is>
      </c>
      <c r="I571" s="29" t="inlineStr">
        <is>
          <t>驅勁能量</t>
        </is>
      </c>
      <c r="J571" s="29">
        <f>IFERROR(__xludf.DUMMYFUNCTION("GOOGLETRANSLATE(I571,""zh_HANT"",""zh_HANS"")"),"驱劲能量")</f>
        <v/>
      </c>
      <c r="K571" s="29">
        <f>F571</f>
        <v/>
      </c>
    </row>
    <row r="572">
      <c r="A572" s="29">
        <f>CONCATENATE("NAME_ITEM_", SUBSTITUTE(SUBSTITUTE(UPPER(B572), " ", ""), ".", ""))</f>
        <v/>
      </c>
      <c r="B572" s="29" t="inlineStr">
        <is>
          <t>Ability Shield</t>
        </is>
      </c>
      <c r="C572" s="29" t="inlineStr">
        <is>
          <t>とくせいガード</t>
        </is>
      </c>
      <c r="D572" s="29" t="inlineStr">
        <is>
          <t>Garde-Talent</t>
        </is>
      </c>
      <c r="E572" s="29" t="inlineStr">
        <is>
          <t>Fähigkeitenschild</t>
        </is>
      </c>
      <c r="F572" s="29" t="inlineStr">
        <is>
          <t>Escudo Habilidad</t>
        </is>
      </c>
      <c r="G572" s="29" t="inlineStr">
        <is>
          <t>Scudo abilità</t>
        </is>
      </c>
      <c r="H572" s="29" t="inlineStr">
        <is>
          <t>특성가드</t>
        </is>
      </c>
      <c r="I572" s="29" t="inlineStr">
        <is>
          <t>特性護具</t>
        </is>
      </c>
      <c r="J572" s="29">
        <f>IFERROR(__xludf.DUMMYFUNCTION("GOOGLETRANSLATE(I572,""zh_HANT"",""zh_HANS"")"),"特性护具")</f>
        <v/>
      </c>
      <c r="K572" s="29">
        <f>F572</f>
        <v/>
      </c>
    </row>
    <row r="573">
      <c r="A573" s="29">
        <f>CONCATENATE("NAME_ITEM_", SUBSTITUTE(SUBSTITUTE(UPPER(B573), " ", ""), ".", ""))</f>
        <v/>
      </c>
      <c r="B573" s="29" t="inlineStr">
        <is>
          <t>Clear Amulet</t>
        </is>
      </c>
      <c r="C573" s="29" t="inlineStr">
        <is>
          <t>クリアチャーム</t>
        </is>
      </c>
      <c r="D573" s="29" t="inlineStr">
        <is>
          <t>Talisman Sain</t>
        </is>
      </c>
      <c r="E573" s="29" t="inlineStr">
        <is>
          <t>Neutralschmuck</t>
        </is>
      </c>
      <c r="F573" s="29" t="inlineStr">
        <is>
          <t>Amuleto Puro</t>
        </is>
      </c>
      <c r="G573" s="29" t="inlineStr">
        <is>
          <t>Ciondolochiaro</t>
        </is>
      </c>
      <c r="H573" s="6" t="inlineStr">
        <is>
          <t>클리어참</t>
        </is>
      </c>
      <c r="I573" s="29" t="inlineStr">
        <is>
          <t>清淨墜飾</t>
        </is>
      </c>
      <c r="J573" s="29">
        <f>IFERROR(__xludf.DUMMYFUNCTION("GOOGLETRANSLATE(I573,""zh_HANT"",""zh_HANS"")"),"清净坠饰")</f>
        <v/>
      </c>
      <c r="K573" s="29">
        <f>F573</f>
        <v/>
      </c>
    </row>
    <row r="574">
      <c r="A574" s="29">
        <f>CONCATENATE("NAME_ITEM_", SUBSTITUTE(SUBSTITUTE(UPPER(B574), " ", ""), ".", ""))</f>
        <v/>
      </c>
      <c r="B574" s="29" t="inlineStr">
        <is>
          <t>Mirror Herb</t>
        </is>
      </c>
      <c r="C574" s="29" t="inlineStr">
        <is>
          <t>ものまねハーブ</t>
        </is>
      </c>
      <c r="D574" s="29" t="inlineStr">
        <is>
          <t>Feuille Copieuse</t>
        </is>
      </c>
      <c r="E574" s="29" t="inlineStr">
        <is>
          <t>Kopierkraut</t>
        </is>
      </c>
      <c r="F574" s="29" t="inlineStr">
        <is>
          <t>Hierba Copia</t>
        </is>
      </c>
      <c r="G574" s="29" t="inlineStr">
        <is>
          <t>Foglia carbone</t>
        </is>
      </c>
      <c r="H574" s="29" t="inlineStr">
        <is>
          <t>흉내허브</t>
        </is>
      </c>
      <c r="I574" s="29" t="inlineStr">
        <is>
          <t>模仿香草</t>
        </is>
      </c>
      <c r="J574" s="29">
        <f>I574</f>
        <v/>
      </c>
      <c r="K574" s="29">
        <f>F574</f>
        <v/>
      </c>
    </row>
    <row r="575">
      <c r="A575" s="29">
        <f>CONCATENATE("NAME_ITEM_", SUBSTITUTE(SUBSTITUTE(UPPER(B575), " ", ""), ".", ""))</f>
        <v/>
      </c>
      <c r="B575" s="29" t="inlineStr">
        <is>
          <t>Punching Glove</t>
        </is>
      </c>
      <c r="C575" s="29" t="inlineStr">
        <is>
          <t>パンチグローブ</t>
        </is>
      </c>
      <c r="D575" s="29" t="inlineStr">
        <is>
          <t>Gant de Boxe</t>
        </is>
      </c>
      <c r="E575" s="29" t="inlineStr">
        <is>
          <t>Boxhandschuh</t>
        </is>
      </c>
      <c r="F575" s="29" t="inlineStr">
        <is>
          <t>Guante de Boxeo</t>
        </is>
      </c>
      <c r="G575" s="29" t="inlineStr">
        <is>
          <t>Guantone</t>
        </is>
      </c>
      <c r="H575" s="29" t="inlineStr">
        <is>
          <t>펀치글러브</t>
        </is>
      </c>
      <c r="I575" s="29" t="inlineStr">
        <is>
          <t>拳擊手套</t>
        </is>
      </c>
      <c r="J575" s="29">
        <f>IFERROR(__xludf.DUMMYFUNCTION("GOOGLETRANSLATE(I575,""zh_HANT"",""zh_HANS"")"),"拳击手套")</f>
        <v/>
      </c>
      <c r="K575" s="29">
        <f>F575</f>
        <v/>
      </c>
    </row>
    <row r="576">
      <c r="A576" s="29">
        <f>CONCATENATE("NAME_ITEM_", SUBSTITUTE(SUBSTITUTE(UPPER(B576), " ", ""), ".", ""))</f>
        <v/>
      </c>
      <c r="B576" s="29" t="inlineStr">
        <is>
          <t>Covert Cloak</t>
        </is>
      </c>
      <c r="C576" s="29" t="inlineStr">
        <is>
          <t>おんみつマント</t>
        </is>
      </c>
      <c r="D576" s="29" t="inlineStr">
        <is>
          <t>Cape Obscure</t>
        </is>
      </c>
      <c r="E576" s="29" t="inlineStr">
        <is>
          <t>Tarnumhang</t>
        </is>
      </c>
      <c r="F576" s="29" t="inlineStr">
        <is>
          <t>Capa Furtiva</t>
        </is>
      </c>
      <c r="G576" s="29" t="inlineStr">
        <is>
          <t>Anonimanto</t>
        </is>
      </c>
      <c r="H576" s="29" t="inlineStr">
        <is>
          <t>은밀망토</t>
        </is>
      </c>
      <c r="I576" s="29" t="inlineStr">
        <is>
          <t>密探斗篷</t>
        </is>
      </c>
      <c r="J576" s="29">
        <f>I576</f>
        <v/>
      </c>
      <c r="K576" s="29">
        <f>F576</f>
        <v/>
      </c>
    </row>
    <row r="577">
      <c r="A577" s="29">
        <f>CONCATENATE("NAME_ITEM_", SUBSTITUTE(SUBSTITUTE(UPPER(B577), " ", ""), ".", ""))</f>
        <v/>
      </c>
      <c r="B577" s="29" t="inlineStr">
        <is>
          <t>Loaded Dice</t>
        </is>
      </c>
      <c r="C577" s="29" t="inlineStr">
        <is>
          <t>いかさまダイス</t>
        </is>
      </c>
      <c r="D577" s="29" t="inlineStr">
        <is>
          <t>Dé Pipé</t>
        </is>
      </c>
      <c r="E577" s="29" t="inlineStr">
        <is>
          <t>Gezinkter Würfel</t>
        </is>
      </c>
      <c r="F577" s="29" t="inlineStr">
        <is>
          <t>Dado Trucato</t>
        </is>
      </c>
      <c r="G577" s="29" t="inlineStr">
        <is>
          <t>Dado Truccato</t>
        </is>
      </c>
      <c r="H577" s="29" t="inlineStr">
        <is>
          <t>속임수주사위</t>
        </is>
      </c>
      <c r="I577" s="29" t="inlineStr">
        <is>
          <t>老千骰子</t>
        </is>
      </c>
      <c r="J577" s="29" t="inlineStr">
        <is>
          <t>机变骰子</t>
        </is>
      </c>
      <c r="K577" s="29">
        <f>F577</f>
        <v/>
      </c>
    </row>
    <row r="578">
      <c r="A578" s="29" t="inlineStr">
        <is>
          <t>NAME_ITEM_LEADERSCREST</t>
        </is>
      </c>
      <c r="B578" s="29" t="inlineStr">
        <is>
          <t>Leader's Crest</t>
        </is>
      </c>
      <c r="C578" s="29" t="inlineStr">
        <is>
          <t>かしらのしるし</t>
        </is>
      </c>
      <c r="D578" s="29" t="inlineStr">
        <is>
          <t>Emblème du Général</t>
        </is>
      </c>
      <c r="E578" s="29" t="inlineStr">
        <is>
          <t>Anführersymbol</t>
        </is>
      </c>
      <c r="F578" s="29" t="inlineStr">
        <is>
          <t>Distintivo de Líder</t>
        </is>
      </c>
      <c r="G578" s="29" t="inlineStr">
        <is>
          <t>Simbolo del Capo</t>
        </is>
      </c>
      <c r="H578" s="29" t="inlineStr">
        <is>
          <t>대장의징표</t>
        </is>
      </c>
      <c r="I578" s="29">
        <f>IFERROR(__xludf.DUMMYFUNCTION("GOOGLETRANSLATE(J578,""zh_HANS"",""zh_HANT"")"),"頭領憑證")</f>
        <v/>
      </c>
      <c r="J578" s="29" t="inlineStr">
        <is>
          <t>头领凭证</t>
        </is>
      </c>
      <c r="K578" s="29">
        <f>F578</f>
        <v/>
      </c>
    </row>
    <row r="579">
      <c r="A579" s="29">
        <f>CONCATENATE("NAME_ITEM_", SUBSTITUTE(SUBSTITUTE(UPPER(B579), " ", ""), ".", ""))</f>
        <v/>
      </c>
      <c r="B579" s="29" t="inlineStr">
        <is>
          <t>Fairy Feather</t>
        </is>
      </c>
      <c r="C579" s="29" t="inlineStr">
        <is>
          <t>ようけいのハネ</t>
        </is>
      </c>
      <c r="D579" s="29" t="inlineStr">
        <is>
          <t>Plume Enchantée</t>
        </is>
      </c>
      <c r="E579" s="29" t="inlineStr">
        <is>
          <t>Feendaune</t>
        </is>
      </c>
      <c r="F579" s="29" t="inlineStr">
        <is>
          <t>Pluma Feérica</t>
        </is>
      </c>
      <c r="G579" s="29" t="inlineStr">
        <is>
          <t>Pluma Fatata</t>
        </is>
      </c>
      <c r="H579" s="29" t="inlineStr">
        <is>
          <t>요정의깃털</t>
        </is>
      </c>
      <c r="I579" s="29" t="inlineStr">
        <is>
          <t>妖精之羽</t>
        </is>
      </c>
      <c r="J579" s="29">
        <f>I579</f>
        <v/>
      </c>
      <c r="K579" s="29">
        <f>F579</f>
        <v/>
      </c>
    </row>
    <row r="580">
      <c r="A580" s="29">
        <f>CONCATENATE("NAME_ITEM_", SUBSTITUTE(SUBSTITUTE(UPPER(B580), " ", ""), ".", ""))</f>
        <v/>
      </c>
      <c r="B580" s="29">
        <f>Forms!B223</f>
        <v/>
      </c>
      <c r="C580" s="29">
        <f>Forms!C223</f>
        <v/>
      </c>
      <c r="D580" s="29">
        <f>Forms!D223</f>
        <v/>
      </c>
      <c r="E580" s="29">
        <f>Forms!E223</f>
        <v/>
      </c>
      <c r="F580" s="29">
        <f>Forms!F223</f>
        <v/>
      </c>
      <c r="G580" s="29">
        <f>Forms!G223</f>
        <v/>
      </c>
      <c r="H580" s="29">
        <f>Forms!H223</f>
        <v/>
      </c>
      <c r="I580" s="29">
        <f>Forms!I223</f>
        <v/>
      </c>
      <c r="J580" s="29">
        <f>Forms!J223</f>
        <v/>
      </c>
      <c r="K580" s="29">
        <f>F580</f>
        <v/>
      </c>
    </row>
    <row r="581">
      <c r="A581" s="29">
        <f>CONCATENATE("NAME_ITEM_", SUBSTITUTE(SUBSTITUTE(UPPER(B581), " ", ""), ".", ""))</f>
        <v/>
      </c>
      <c r="B581" s="29">
        <f>Forms!B221</f>
        <v/>
      </c>
      <c r="C581" s="29">
        <f>Forms!C221</f>
        <v/>
      </c>
      <c r="D581" s="29">
        <f>Forms!D221</f>
        <v/>
      </c>
      <c r="E581" s="29">
        <f>Forms!E221</f>
        <v/>
      </c>
      <c r="F581" s="29">
        <f>Forms!F221</f>
        <v/>
      </c>
      <c r="G581" s="29">
        <f>Forms!G221</f>
        <v/>
      </c>
      <c r="H581" s="29">
        <f>Forms!H221</f>
        <v/>
      </c>
      <c r="I581" s="29">
        <f>Forms!I221</f>
        <v/>
      </c>
      <c r="J581" s="29">
        <f>Forms!J221</f>
        <v/>
      </c>
      <c r="K581" s="29">
        <f>F581</f>
        <v/>
      </c>
    </row>
    <row r="582">
      <c r="A582" s="29">
        <f>CONCATENATE("NAME_ITEM_", SUBSTITUTE(SUBSTITUTE(UPPER(B582), " ", ""), ".", ""))</f>
        <v/>
      </c>
      <c r="B582" s="29">
        <f>Forms!B222</f>
        <v/>
      </c>
      <c r="C582" s="29">
        <f>Forms!C222</f>
        <v/>
      </c>
      <c r="D582" s="29">
        <f>Forms!D222</f>
        <v/>
      </c>
      <c r="E582" s="29">
        <f>Forms!E222</f>
        <v/>
      </c>
      <c r="F582" s="29">
        <f>Forms!F222</f>
        <v/>
      </c>
      <c r="G582" s="29">
        <f>Forms!G222</f>
        <v/>
      </c>
      <c r="H582" s="29">
        <f>Forms!H222</f>
        <v/>
      </c>
      <c r="I582" s="29">
        <f>Forms!I222</f>
        <v/>
      </c>
      <c r="J582" s="29">
        <f>Forms!J222</f>
        <v/>
      </c>
      <c r="K582" s="29">
        <f>F582</f>
        <v/>
      </c>
    </row>
    <row r="583">
      <c r="A583" s="29">
        <f>CONCATENATE("NAME_ITEM_", SUBSTITUTE(SUBSTITUTE(UPPER(B583), " ", ""), ".", ""))</f>
        <v/>
      </c>
      <c r="B583" s="29" t="inlineStr">
        <is>
          <t>Clefablite</t>
        </is>
      </c>
      <c r="C583" s="29">
        <f>CONCATENATE(Pokemon!C37,"ナイト")</f>
        <v/>
      </c>
      <c r="D583" s="29" t="inlineStr">
        <is>
          <t>Mélodelfite</t>
        </is>
      </c>
      <c r="E583" s="29" t="inlineStr">
        <is>
          <t>Pixinit</t>
        </is>
      </c>
      <c r="F583" s="29">
        <f>SUBSTITUTE(G583,"ite","ita")</f>
        <v/>
      </c>
      <c r="G583" s="29">
        <f>B583</f>
        <v/>
      </c>
      <c r="H583" s="29">
        <f>CONCATENATE(Pokemon!H37,"나이트")</f>
        <v/>
      </c>
      <c r="I583" s="29">
        <f>IFERROR(__xludf.DUMMYFUNCTION("GOOGLETRANSLATE(J583,""zh_HANS"",""zh_HANT"")"),"皮可西進化石")</f>
        <v/>
      </c>
      <c r="J583" s="29">
        <f>CONCATENATE(Pokemon!J37,"进化石")</f>
        <v/>
      </c>
      <c r="K583" s="29">
        <f>F583</f>
        <v/>
      </c>
    </row>
    <row r="584">
      <c r="A584" s="29">
        <f>CONCATENATE("NAME_ITEM_", SUBSTITUTE(SUBSTITUTE(UPPER(B584), " ", ""), ".", ""))</f>
        <v/>
      </c>
      <c r="B584" s="29" t="inlineStr">
        <is>
          <t>Victreebelite</t>
        </is>
      </c>
      <c r="C584" s="29">
        <f>CONCATENATE(Pokemon!C72,"ナイト")</f>
        <v/>
      </c>
      <c r="D584" s="29" t="inlineStr">
        <is>
          <t>Empiflorite</t>
        </is>
      </c>
      <c r="E584" s="29" t="inlineStr">
        <is>
          <t>Sarzenianit</t>
        </is>
      </c>
      <c r="F584" s="29">
        <f>SUBSTITUTE(G584,"ite","ita")</f>
        <v/>
      </c>
      <c r="G584" s="29">
        <f>B584</f>
        <v/>
      </c>
      <c r="H584" s="29">
        <f>CONCATENATE(Pokemon!H72,"나이트")</f>
        <v/>
      </c>
      <c r="I584" s="29">
        <f>IFERROR(__xludf.DUMMYFUNCTION("GOOGLETRANSLATE(J584,""zh_HANS"",""zh_HANT"")"),"大食花進化石")</f>
        <v/>
      </c>
      <c r="J584" s="29">
        <f>CONCATENATE(Pokemon!J72,"进化石")</f>
        <v/>
      </c>
      <c r="K584" s="29">
        <f>F584</f>
        <v/>
      </c>
    </row>
    <row r="585">
      <c r="A585" s="29">
        <f>CONCATENATE("NAME_ITEM_", SUBSTITUTE(SUBSTITUTE(UPPER(B585), " ", ""), ".", ""))</f>
        <v/>
      </c>
      <c r="B585" s="29" t="inlineStr">
        <is>
          <t>Starminite</t>
        </is>
      </c>
      <c r="C585" s="29">
        <f>CONCATENATE(Pokemon!C122,"ナイト")</f>
        <v/>
      </c>
      <c r="D585" s="29" t="inlineStr">
        <is>
          <t>Starossite</t>
        </is>
      </c>
      <c r="E585" s="29" t="inlineStr">
        <is>
          <t>Starmienit</t>
        </is>
      </c>
      <c r="F585" s="29">
        <f>SUBSTITUTE(G585,"ite","ita")</f>
        <v/>
      </c>
      <c r="G585" s="29" t="inlineStr">
        <is>
          <t>Starmite</t>
        </is>
      </c>
      <c r="H585" s="29">
        <f>CONCATENATE(Pokemon!H122,"나이트")</f>
        <v/>
      </c>
      <c r="I585" s="29">
        <f>IFERROR(__xludf.DUMMYFUNCTION("GOOGLETRANSLATE(J585,""zh_HANS"",""zh_HANT"")"),"寶石海星進化石")</f>
        <v/>
      </c>
      <c r="J585" s="29">
        <f>CONCATENATE(Pokemon!J122,"进化石")</f>
        <v/>
      </c>
      <c r="K585" s="29">
        <f>F585</f>
        <v/>
      </c>
    </row>
    <row r="586">
      <c r="A586" s="29">
        <f>CONCATENATE("NAME_ITEM_", SUBSTITUTE(SUBSTITUTE(UPPER(B586), " ", ""), ".", ""))</f>
        <v/>
      </c>
      <c r="B586" s="29" t="inlineStr">
        <is>
          <t>Dragoninite</t>
        </is>
      </c>
      <c r="C586" s="29">
        <f>CONCATENATE(Pokemon!C150,"ナイト")</f>
        <v/>
      </c>
      <c r="D586" s="29" t="inlineStr">
        <is>
          <t>Dracolossite</t>
        </is>
      </c>
      <c r="E586" s="29" t="inlineStr">
        <is>
          <t>Dragoranit</t>
        </is>
      </c>
      <c r="F586" s="29">
        <f>SUBSTITUTE(G586,"ite","ita")</f>
        <v/>
      </c>
      <c r="G586" s="29">
        <f>B586</f>
        <v/>
      </c>
      <c r="H586" s="29">
        <f>CONCATENATE(Pokemon!H150,"나이트")</f>
        <v/>
      </c>
      <c r="I586" s="29">
        <f>IFERROR(__xludf.DUMMYFUNCTION("GOOGLETRANSLATE(J586,""zh_HANS"",""zh_HANT"")"),"快龍進化石")</f>
        <v/>
      </c>
      <c r="J586" s="29">
        <f>CONCATENATE(Pokemon!J150,"进化石")</f>
        <v/>
      </c>
      <c r="K586" s="29">
        <f>F586</f>
        <v/>
      </c>
    </row>
    <row r="587">
      <c r="A587" s="29">
        <f>CONCATENATE("NAME_ITEM_", SUBSTITUTE(SUBSTITUTE(UPPER(B587), " ", ""), ".", ""))</f>
        <v/>
      </c>
      <c r="B587" s="29" t="inlineStr">
        <is>
          <t>Meganiumite</t>
        </is>
      </c>
      <c r="C587" s="29">
        <f>CONCATENATE(Pokemon!C155,"ナイト")</f>
        <v/>
      </c>
      <c r="D587" s="29" t="inlineStr">
        <is>
          <t>Méganiumite</t>
        </is>
      </c>
      <c r="E587" s="29" t="inlineStr">
        <is>
          <t>Meganienit</t>
        </is>
      </c>
      <c r="F587" s="29">
        <f>SUBSTITUTE(G587,"ite","ita")</f>
        <v/>
      </c>
      <c r="G587" s="29">
        <f>B587</f>
        <v/>
      </c>
      <c r="H587" s="29">
        <f>CONCATENATE(Pokemon!H155,"나이트")</f>
        <v/>
      </c>
      <c r="I587" s="29">
        <f>IFERROR(__xludf.DUMMYFUNCTION("GOOGLETRANSLATE(J587,""zh_HANS"",""zh_HANT"")"),"大竺葵進化石")</f>
        <v/>
      </c>
      <c r="J587" s="29">
        <f>CONCATENATE(Pokemon!J155,"进化石")</f>
        <v/>
      </c>
      <c r="K587" s="29">
        <f>F587</f>
        <v/>
      </c>
    </row>
    <row r="588">
      <c r="A588" s="29">
        <f>CONCATENATE("NAME_ITEM_", SUBSTITUTE(SUBSTITUTE(UPPER(B588), " ", ""), ".", ""))</f>
        <v/>
      </c>
      <c r="B588" s="29" t="inlineStr">
        <is>
          <t>Feraligite</t>
        </is>
      </c>
      <c r="C588" s="29">
        <f>CONCATENATE(Pokemon!C161,"ナイト")</f>
        <v/>
      </c>
      <c r="D588" s="29" t="inlineStr">
        <is>
          <t>Aligatueurite</t>
        </is>
      </c>
      <c r="E588" s="29" t="inlineStr">
        <is>
          <t>Impergatornit</t>
        </is>
      </c>
      <c r="F588" s="29">
        <f>SUBSTITUTE(G588,"ite","ita")</f>
        <v/>
      </c>
      <c r="G588" s="29" t="inlineStr">
        <is>
          <t>Feraligatrite</t>
        </is>
      </c>
      <c r="H588" s="29">
        <f>CONCATENATE(Pokemon!H161,"나이트")</f>
        <v/>
      </c>
      <c r="I588" s="29">
        <f>IFERROR(__xludf.DUMMYFUNCTION("GOOGLETRANSLATE(J588,""zh_HANS"",""zh_HANT"")"),"大力鱷進化石")</f>
        <v/>
      </c>
      <c r="J588" s="29">
        <f>CONCATENATE(Pokemon!J161,"进化石")</f>
        <v/>
      </c>
      <c r="K588" s="29">
        <f>F588</f>
        <v/>
      </c>
    </row>
    <row r="589">
      <c r="A589" s="29">
        <f>CONCATENATE("NAME_ITEM_", SUBSTITUTE(SUBSTITUTE(UPPER(B589), " ", ""), ".", ""))</f>
        <v/>
      </c>
      <c r="B589" s="29" t="inlineStr">
        <is>
          <t>Skarmorite</t>
        </is>
      </c>
      <c r="C589" s="29">
        <f>CONCATENATE(Pokemon!C228,"ナイト")</f>
        <v/>
      </c>
      <c r="D589" s="29" t="inlineStr">
        <is>
          <t>Airmurite</t>
        </is>
      </c>
      <c r="E589" s="29" t="inlineStr">
        <is>
          <t>Panzaeronit</t>
        </is>
      </c>
      <c r="F589" s="29">
        <f>SUBSTITUTE(G589,"ite","ita")</f>
        <v/>
      </c>
      <c r="G589" s="29">
        <f>B589</f>
        <v/>
      </c>
      <c r="H589" s="29">
        <f>CONCATENATE(Pokemon!H228,"나이트")</f>
        <v/>
      </c>
      <c r="I589" s="29">
        <f>IFERROR(__xludf.DUMMYFUNCTION("GOOGLETRANSLATE(J589,""zh_HANS"",""zh_HANT"")"),"盔甲鳥進化石")</f>
        <v/>
      </c>
      <c r="J589" s="29">
        <f>CONCATENATE(Pokemon!J228,"进化石")</f>
        <v/>
      </c>
      <c r="K589" s="29">
        <f>F589</f>
        <v/>
      </c>
    </row>
    <row r="590">
      <c r="A590" s="29">
        <f>CONCATENATE("NAME_ITEM_", SUBSTITUTE(SUBSTITUTE(UPPER(B590), " ", ""), ".", ""))</f>
        <v/>
      </c>
      <c r="B590" s="29" t="inlineStr">
        <is>
          <t>Froslassite</t>
        </is>
      </c>
      <c r="C590" s="29">
        <f>CONCATENATE(Pokemon!C478,"ナイト")</f>
        <v/>
      </c>
      <c r="D590" s="29" t="inlineStr">
        <is>
          <t>Momartikite</t>
        </is>
      </c>
      <c r="E590" s="29" t="inlineStr">
        <is>
          <t>Frosdedjenit</t>
        </is>
      </c>
      <c r="F590" s="29">
        <f>SUBSTITUTE(G590,"ite","ita")</f>
        <v/>
      </c>
      <c r="G590" s="29">
        <f>B590</f>
        <v/>
      </c>
      <c r="H590" s="29">
        <f>CONCATENATE(Pokemon!H479,"나이트")</f>
        <v/>
      </c>
      <c r="I590" s="29">
        <f>IFERROR(__xludf.DUMMYFUNCTION("GOOGLETRANSLATE(J590,""zh_HANS"",""zh_HANT"")"),"雪妖女進化石")</f>
        <v/>
      </c>
      <c r="J590" s="29">
        <f>CONCATENATE(Pokemon!J479,"进化石")</f>
        <v/>
      </c>
      <c r="K590" s="29">
        <f>F590</f>
        <v/>
      </c>
    </row>
    <row r="591">
      <c r="A591" s="29">
        <f>CONCATENATE("NAME_ITEM_", SUBSTITUTE(SUBSTITUTE(UPPER(B591), " ", ""), ".", ""))</f>
        <v/>
      </c>
      <c r="B591" s="29" t="inlineStr">
        <is>
          <t>Emboarite</t>
        </is>
      </c>
      <c r="C591" s="29">
        <f>CONCATENATE(Pokemon!C501,"ナイト")</f>
        <v/>
      </c>
      <c r="D591" s="29" t="inlineStr">
        <is>
          <t>Roitiflamite</t>
        </is>
      </c>
      <c r="E591" s="29" t="inlineStr">
        <is>
          <t>Flambirexonit</t>
        </is>
      </c>
      <c r="F591" s="29">
        <f>SUBSTITUTE(G591,"ite","ita")</f>
        <v/>
      </c>
      <c r="G591" s="29">
        <f>B591</f>
        <v/>
      </c>
      <c r="H591" s="29">
        <f>CONCATENATE(Pokemon!H501,"나이트")</f>
        <v/>
      </c>
      <c r="I591" s="29">
        <f>IFERROR(__xludf.DUMMYFUNCTION("GOOGLETRANSLATE(J591,""zh_HANS"",""zh_HANT"")"),"炎武王進化石")</f>
        <v/>
      </c>
      <c r="J591" s="29">
        <f>CONCATENATE(Pokemon!J501,"进化石")</f>
        <v/>
      </c>
      <c r="K591" s="29">
        <f>F591</f>
        <v/>
      </c>
    </row>
    <row r="592">
      <c r="A592" s="29">
        <f>CONCATENATE("NAME_ITEM_", SUBSTITUTE(SUBSTITUTE(UPPER(B592), " ", ""), ".", ""))</f>
        <v/>
      </c>
      <c r="B592" s="29" t="inlineStr">
        <is>
          <t>Excadrite</t>
        </is>
      </c>
      <c r="C592" s="29">
        <f>CONCATENATE(Pokemon!C531,"ナイト")</f>
        <v/>
      </c>
      <c r="D592" s="29" t="inlineStr">
        <is>
          <t>Minotaupite</t>
        </is>
      </c>
      <c r="E592" s="29" t="inlineStr">
        <is>
          <t>Stalobornit</t>
        </is>
      </c>
      <c r="F592" s="29">
        <f>SUBSTITUTE(G592,"ite","ita")</f>
        <v/>
      </c>
      <c r="G592" s="29" t="inlineStr">
        <is>
          <t>Excadrillite</t>
        </is>
      </c>
      <c r="H592" s="29">
        <f>CONCATENATE(Pokemon!H531,"나이트")</f>
        <v/>
      </c>
      <c r="I592" s="29">
        <f>IFERROR(__xludf.DUMMYFUNCTION("GOOGLETRANSLATE(J592,""zh_HANS"",""zh_HANT"")"),"龍頭地鼠進化石")</f>
        <v/>
      </c>
      <c r="J592" s="29">
        <f>CONCATENATE(Pokemon!J531,"进化石")</f>
        <v/>
      </c>
      <c r="K592" s="29">
        <f>F592</f>
        <v/>
      </c>
    </row>
    <row r="593">
      <c r="A593" s="29">
        <f>CONCATENATE("NAME_ITEM_", SUBSTITUTE(SUBSTITUTE(UPPER(B593), " ", ""), ".", ""))</f>
        <v/>
      </c>
      <c r="B593" s="29" t="inlineStr">
        <is>
          <t>Scolipite</t>
        </is>
      </c>
      <c r="C593" s="29">
        <f>CONCATENATE(Pokemon!C546,"ナイト")</f>
        <v/>
      </c>
      <c r="D593" s="29" t="inlineStr">
        <is>
          <t>Brutapodite</t>
        </is>
      </c>
      <c r="E593" s="29" t="inlineStr">
        <is>
          <t>Cerapendranit</t>
        </is>
      </c>
      <c r="F593" s="29">
        <f>SUBSTITUTE(G593,"ite","ita")</f>
        <v/>
      </c>
      <c r="G593" s="29" t="inlineStr">
        <is>
          <t>Scolipedite</t>
        </is>
      </c>
      <c r="H593" s="29">
        <f>CONCATENATE(Pokemon!H546,"나이트")</f>
        <v/>
      </c>
      <c r="I593" s="29">
        <f>IFERROR(__xludf.DUMMYFUNCTION("GOOGLETRANSLATE(J593,""zh_HANS"",""zh_HANT"")"),"蜈蚣王進化石")</f>
        <v/>
      </c>
      <c r="J593" s="29">
        <f>CONCATENATE(Pokemon!J546,"进化石")</f>
        <v/>
      </c>
      <c r="K593" s="29">
        <f>F593</f>
        <v/>
      </c>
    </row>
    <row r="594">
      <c r="A594" s="29">
        <f>CONCATENATE("NAME_ITEM_", SUBSTITUTE(SUBSTITUTE(UPPER(B594), " ", ""), ".", ""))</f>
        <v/>
      </c>
      <c r="B594" s="29" t="inlineStr">
        <is>
          <t>Scraftinite</t>
        </is>
      </c>
      <c r="C594" s="29">
        <f>CONCATENATE(Pokemon!C561,"ナイト")</f>
        <v/>
      </c>
      <c r="D594" s="29" t="inlineStr">
        <is>
          <t>Baggaïdite</t>
        </is>
      </c>
      <c r="E594" s="29" t="inlineStr">
        <is>
          <t>Irokexonit</t>
        </is>
      </c>
      <c r="F594" s="29">
        <f>SUBSTITUTE(G594,"ite","ita")</f>
        <v/>
      </c>
      <c r="G594" s="29" t="inlineStr">
        <is>
          <t>Scraftite</t>
        </is>
      </c>
      <c r="H594" s="29">
        <f>CONCATENATE(Pokemon!H561,"나이트")</f>
        <v/>
      </c>
      <c r="I594" s="29">
        <f>IFERROR(__xludf.DUMMYFUNCTION("GOOGLETRANSLATE(J594,""zh_HANS"",""zh_HANT"")"),"頭巾混混進化石")</f>
        <v/>
      </c>
      <c r="J594" s="29">
        <f>CONCATENATE(Pokemon!J561,"进化石")</f>
        <v/>
      </c>
      <c r="K594" s="29">
        <f>F594</f>
        <v/>
      </c>
    </row>
    <row r="595">
      <c r="A595" s="29">
        <f>CONCATENATE("NAME_ITEM_", SUBSTITUTE(SUBSTITUTE(UPPER(B595), " ", ""), ".", ""))</f>
        <v/>
      </c>
      <c r="B595" s="29" t="inlineStr">
        <is>
          <t>Eelektrossite</t>
        </is>
      </c>
      <c r="C595" s="29">
        <f>CONCATENATE(Pokemon!C605,"ナイト")</f>
        <v/>
      </c>
      <c r="D595" s="29" t="inlineStr">
        <is>
          <t>Ohmassacrite</t>
        </is>
      </c>
      <c r="E595" s="29" t="inlineStr">
        <is>
          <t>Zapplarangonit</t>
        </is>
      </c>
      <c r="F595" s="29">
        <f>SUBSTITUTE(G595,"ite","ita")</f>
        <v/>
      </c>
      <c r="G595" s="29">
        <f>B595</f>
        <v/>
      </c>
      <c r="H595" s="29">
        <f>CONCATENATE(Pokemon!H605,"나이트")</f>
        <v/>
      </c>
      <c r="I595" s="29">
        <f>IFERROR(__xludf.DUMMYFUNCTION("GOOGLETRANSLATE(J595,""zh_HANS"",""zh_HANT"")"),"麻麻鰻魚王進化石")</f>
        <v/>
      </c>
      <c r="J595" s="29">
        <f>CONCATENATE(Pokemon!J605,"进化石")</f>
        <v/>
      </c>
      <c r="K595" s="29">
        <f>F595</f>
        <v/>
      </c>
    </row>
    <row r="596">
      <c r="A596" s="29">
        <f>CONCATENATE("NAME_ITEM_", SUBSTITUTE(SUBSTITUTE(UPPER(B596), " ", ""), ".", ""))</f>
        <v/>
      </c>
      <c r="B596" s="29" t="inlineStr">
        <is>
          <t>Chandelurite</t>
        </is>
      </c>
      <c r="C596" s="29">
        <f>CONCATENATE(Pokemon!C610,"ナイト")</f>
        <v/>
      </c>
      <c r="D596" s="29" t="inlineStr">
        <is>
          <t>Lugulabrite</t>
        </is>
      </c>
      <c r="E596" s="29" t="inlineStr">
        <is>
          <t>Skelabranit</t>
        </is>
      </c>
      <c r="F596" s="29">
        <f>SUBSTITUTE(G596,"ite","ita")</f>
        <v/>
      </c>
      <c r="G596" s="29">
        <f>B596</f>
        <v/>
      </c>
      <c r="H596" s="29">
        <f>CONCATENATE(Pokemon!H610,"나이트")</f>
        <v/>
      </c>
      <c r="I596" s="29">
        <f>IFERROR(__xludf.DUMMYFUNCTION("GOOGLETRANSLATE(J596,""zh_HANS"",""zh_HANT"")"),"水晶燈火靈進化石")</f>
        <v/>
      </c>
      <c r="J596" s="29">
        <f>CONCATENATE(Pokemon!J610,"进化石")</f>
        <v/>
      </c>
      <c r="K596" s="29">
        <f>F596</f>
        <v/>
      </c>
    </row>
    <row r="597">
      <c r="A597" s="29">
        <f>CONCATENATE("NAME_ITEM_", SUBSTITUTE(SUBSTITUTE(UPPER(B597), " ", ""), ".", ""))</f>
        <v/>
      </c>
      <c r="B597" s="29" t="inlineStr">
        <is>
          <t>Chesnaughtite</t>
        </is>
      </c>
      <c r="C597" s="29">
        <f>CONCATENATE(Pokemon!C653,"ナイト")</f>
        <v/>
      </c>
      <c r="D597" s="29" t="inlineStr">
        <is>
          <t>Blindépiquite</t>
        </is>
      </c>
      <c r="E597" s="29" t="inlineStr">
        <is>
          <t>Brigaronit</t>
        </is>
      </c>
      <c r="F597" s="29">
        <f>SUBSTITUTE(G597,"ite","ita")</f>
        <v/>
      </c>
      <c r="G597" s="29">
        <f>B597</f>
        <v/>
      </c>
      <c r="H597" s="29">
        <f>CONCATENATE(Pokemon!H653,"나이트")</f>
        <v/>
      </c>
      <c r="I597" s="29">
        <f>IFERROR(__xludf.DUMMYFUNCTION("GOOGLETRANSLATE(J597,""zh_HANS"",""zh_HANT"")"),"布里卡隆進化石")</f>
        <v/>
      </c>
      <c r="J597" s="29">
        <f>CONCATENATE(Pokemon!J653,"进化石")</f>
        <v/>
      </c>
      <c r="K597" s="29">
        <f>F597</f>
        <v/>
      </c>
    </row>
    <row r="598">
      <c r="A598" s="29">
        <f>CONCATENATE("NAME_ITEM_", SUBSTITUTE(SUBSTITUTE(UPPER(B598), " ", ""), ".", ""))</f>
        <v/>
      </c>
      <c r="B598" s="29" t="inlineStr">
        <is>
          <t>Delphoxite</t>
        </is>
      </c>
      <c r="C598" s="29">
        <f>CONCATENATE(Pokemon!C656,"ナイト")</f>
        <v/>
      </c>
      <c r="D598" s="29" t="inlineStr">
        <is>
          <t>Goupelinite</t>
        </is>
      </c>
      <c r="E598" s="29" t="inlineStr">
        <is>
          <t>Fennexisnit</t>
        </is>
      </c>
      <c r="F598" s="29">
        <f>SUBSTITUTE(G598,"ite","ita")</f>
        <v/>
      </c>
      <c r="G598" s="29">
        <f>B598</f>
        <v/>
      </c>
      <c r="H598" s="29">
        <f>CONCATENATE(Pokemon!H656,"나이트")</f>
        <v/>
      </c>
      <c r="I598" s="29">
        <f>IFERROR(__xludf.DUMMYFUNCTION("GOOGLETRANSLATE(J598,""zh_HANS"",""zh_HANT"")"),"妖火紅狐進化石")</f>
        <v/>
      </c>
      <c r="J598" s="29">
        <f>CONCATENATE(Pokemon!J656,"进化石")</f>
        <v/>
      </c>
      <c r="K598" s="29">
        <f>F598</f>
        <v/>
      </c>
    </row>
    <row r="599">
      <c r="A599" s="29">
        <f>CONCATENATE("NAME_ITEM_", SUBSTITUTE(SUBSTITUTE(UPPER(B599), " ", ""), ".", ""))</f>
        <v/>
      </c>
      <c r="B599" s="29" t="inlineStr">
        <is>
          <t>Greninjite</t>
        </is>
      </c>
      <c r="C599" s="29">
        <f>CONCATENATE(Pokemon!C659,"ナイト")</f>
        <v/>
      </c>
      <c r="D599" s="29" t="inlineStr">
        <is>
          <t>Amphinolite</t>
        </is>
      </c>
      <c r="E599" s="29" t="inlineStr">
        <is>
          <t>Quajutsunit</t>
        </is>
      </c>
      <c r="F599" s="29" t="inlineStr">
        <is>
          <t>Greninjanita</t>
        </is>
      </c>
      <c r="G599" s="29">
        <f>B599</f>
        <v/>
      </c>
      <c r="H599" s="29">
        <f>CONCATENATE(Pokemon!H659,"나이트")</f>
        <v/>
      </c>
      <c r="I599" s="29">
        <f>IFERROR(__xludf.DUMMYFUNCTION("GOOGLETRANSLATE(J599,""zh_HANS"",""zh_HANT"")"),"甲賀忍蛙進化石")</f>
        <v/>
      </c>
      <c r="J599" s="29">
        <f>CONCATENATE(Pokemon!J659,"进化石")</f>
        <v/>
      </c>
      <c r="K599" s="29">
        <f>F599</f>
        <v/>
      </c>
    </row>
    <row r="600">
      <c r="A600" s="29">
        <f>CONCATENATE("NAME_ITEM_", SUBSTITUTE(SUBSTITUTE(UPPER(B600), " ", ""), ".", ""))</f>
        <v/>
      </c>
      <c r="B600" s="29" t="inlineStr">
        <is>
          <t>Pyroarite</t>
        </is>
      </c>
      <c r="C600" s="29">
        <f>CONCATENATE(Pokemon!C669,"ナイト")</f>
        <v/>
      </c>
      <c r="D600" s="29" t="inlineStr">
        <is>
          <t>Néméliosite</t>
        </is>
      </c>
      <c r="E600" s="29" t="inlineStr">
        <is>
          <t>Pyroleonit</t>
        </is>
      </c>
      <c r="F600" s="29">
        <f>SUBSTITUTE(G600,"ite","ita")</f>
        <v/>
      </c>
      <c r="G600" s="29">
        <f>B600</f>
        <v/>
      </c>
      <c r="H600" s="29">
        <f>CONCATENATE(Pokemon!H669,"나이트")</f>
        <v/>
      </c>
      <c r="I600" s="29">
        <f>IFERROR(__xludf.DUMMYFUNCTION("GOOGLETRANSLATE(J600,""zh_HANS"",""zh_HANT"")"),"火炎獅進化石")</f>
        <v/>
      </c>
      <c r="J600" s="29">
        <f>CONCATENATE(Pokemon!J669,"进化石")</f>
        <v/>
      </c>
      <c r="K600" s="29">
        <f>F600</f>
        <v/>
      </c>
    </row>
    <row r="601">
      <c r="A601" s="29">
        <f>CONCATENATE("NAME_ITEM_", SUBSTITUTE(SUBSTITUTE(UPPER(B601), " ", ""), ".", ""))</f>
        <v/>
      </c>
      <c r="B601" s="29" t="inlineStr">
        <is>
          <t>Floettite</t>
        </is>
      </c>
      <c r="C601" s="29">
        <f>CONCATENATE(Pokemon!C671,"ナイト")</f>
        <v/>
      </c>
      <c r="D601" s="29">
        <f>B601</f>
        <v/>
      </c>
      <c r="E601" s="29" t="inlineStr">
        <is>
          <t>Floetteonit</t>
        </is>
      </c>
      <c r="F601" s="29">
        <f>SUBSTITUTE(G601,"ite","ita")</f>
        <v/>
      </c>
      <c r="G601" s="29">
        <f>B601</f>
        <v/>
      </c>
      <c r="H601" s="29">
        <f>CONCATENATE(Pokemon!H671,"나이트")</f>
        <v/>
      </c>
      <c r="I601" s="29">
        <f>IFERROR(__xludf.DUMMYFUNCTION("GOOGLETRANSLATE(J601,""zh_HANS"",""zh_HANT"")"),"花葉蒂進化石")</f>
        <v/>
      </c>
      <c r="J601" s="29">
        <f>CONCATENATE(Pokemon!J671,"进化石")</f>
        <v/>
      </c>
      <c r="K601" s="29">
        <f>F601</f>
        <v/>
      </c>
    </row>
    <row r="602">
      <c r="A602" s="29">
        <f>CONCATENATE("NAME_ITEM_", SUBSTITUTE(SUBSTITUTE(UPPER(B602), " ", ""), ".", ""))</f>
        <v/>
      </c>
      <c r="B602" s="29" t="inlineStr">
        <is>
          <t>Malamarite</t>
        </is>
      </c>
      <c r="C602" s="29">
        <f>CONCATENATE(Pokemon!C688,"ナイト")</f>
        <v/>
      </c>
      <c r="D602" s="29" t="inlineStr">
        <is>
          <t>Sepiatrocite</t>
        </is>
      </c>
      <c r="E602" s="29" t="inlineStr">
        <is>
          <t>Calamaneronit</t>
        </is>
      </c>
      <c r="F602" s="29">
        <f>SUBSTITUTE(G602,"ite","ita")</f>
        <v/>
      </c>
      <c r="G602" s="29">
        <f>B602</f>
        <v/>
      </c>
      <c r="H602" s="29">
        <f>CONCATENATE(Pokemon!H688,"나이트")</f>
        <v/>
      </c>
      <c r="I602" s="29">
        <f>IFERROR(__xludf.DUMMYFUNCTION("GOOGLETRANSLATE(J602,""zh_HANS"",""zh_HANT"")"),"烏賊王進化石")</f>
        <v/>
      </c>
      <c r="J602" s="29">
        <f>CONCATENATE(Pokemon!J688,"进化石")</f>
        <v/>
      </c>
      <c r="K602" s="29">
        <f>F602</f>
        <v/>
      </c>
    </row>
    <row r="603">
      <c r="A603" s="29">
        <f>CONCATENATE("NAME_ITEM_", SUBSTITUTE(SUBSTITUTE(UPPER(B603), " ", ""), ".", ""))</f>
        <v/>
      </c>
      <c r="B603" s="29" t="inlineStr">
        <is>
          <t>Barbaracite</t>
        </is>
      </c>
      <c r="C603" s="29">
        <f>CONCATENATE(Pokemon!C690,"ナイト")</f>
        <v/>
      </c>
      <c r="D603" s="29" t="inlineStr">
        <is>
          <t>Golgopathite</t>
        </is>
      </c>
      <c r="E603" s="29" t="inlineStr">
        <is>
          <t>Thanathoranit</t>
        </is>
      </c>
      <c r="F603" s="29">
        <f>SUBSTITUTE(G603,"ite","ita")</f>
        <v/>
      </c>
      <c r="G603" s="29" t="inlineStr">
        <is>
          <t>Barbaraclite</t>
        </is>
      </c>
      <c r="H603" s="29">
        <f>CONCATENATE(Pokemon!H690,"나이트")</f>
        <v/>
      </c>
      <c r="I603" s="29">
        <f>IFERROR(__xludf.DUMMYFUNCTION("GOOGLETRANSLATE(J603,""zh_HANS"",""zh_HANT"")"),"龜足巨鎧進化石")</f>
        <v/>
      </c>
      <c r="J603" s="29">
        <f>CONCATENATE(Pokemon!J690,"进化石")</f>
        <v/>
      </c>
      <c r="K603" s="29">
        <f>F603</f>
        <v/>
      </c>
    </row>
    <row r="604">
      <c r="A604" s="29">
        <f>CONCATENATE("NAME_ITEM_", SUBSTITUTE(SUBSTITUTE(UPPER(B604), " ", ""), ".", ""))</f>
        <v/>
      </c>
      <c r="B604" s="29" t="inlineStr">
        <is>
          <t>Dragalgite</t>
        </is>
      </c>
      <c r="C604" s="29" t="inlineStr">
        <is>
          <t>ドラミドナイト</t>
        </is>
      </c>
      <c r="D604" s="29" t="inlineStr">
        <is>
          <t>Kravarekite</t>
        </is>
      </c>
      <c r="E604" s="29" t="inlineStr">
        <is>
          <t>Tandraknit</t>
        </is>
      </c>
      <c r="F604" s="29">
        <f>SUBSTITUTE(G604,"ite","ita")</f>
        <v/>
      </c>
      <c r="G604" s="29">
        <f>B604</f>
        <v/>
      </c>
      <c r="H604" s="29">
        <f>CONCATENATE(Pokemon!H692,"나이트")</f>
        <v/>
      </c>
      <c r="I604" s="29">
        <f>IFERROR(__xludf.DUMMYFUNCTION("GOOGLETRANSLATE(J604,""zh_HANS"",""zh_HANT"")"),"毒藻龍進化石")</f>
        <v/>
      </c>
      <c r="J604" s="29">
        <f>CONCATENATE(Pokemon!J692,"进化石")</f>
        <v/>
      </c>
      <c r="K604" s="29">
        <f>F604</f>
        <v/>
      </c>
    </row>
    <row r="605">
      <c r="A605" s="29">
        <f>CONCATENATE("NAME_ITEM_", SUBSTITUTE(SUBSTITUTE(UPPER(B605), " ", ""), ".", ""))</f>
        <v/>
      </c>
      <c r="B605" s="29" t="inlineStr">
        <is>
          <t>Hawlunchanite</t>
        </is>
      </c>
      <c r="C605" s="29">
        <f>CONCATENATE(Pokemon!C702,"ナイト")</f>
        <v/>
      </c>
      <c r="D605" s="29" t="inlineStr">
        <is>
          <t>Brutalibrite</t>
        </is>
      </c>
      <c r="E605" s="29" t="inlineStr">
        <is>
          <t>Resladeronit</t>
        </is>
      </c>
      <c r="F605" s="29">
        <f>SUBSTITUTE(B605,"ite","ita")</f>
        <v/>
      </c>
      <c r="G605" s="29" t="inlineStr">
        <is>
          <t>Hawluchite</t>
        </is>
      </c>
      <c r="H605" s="29">
        <f>CONCATENATE(Pokemon!H702,"나이트")</f>
        <v/>
      </c>
      <c r="I605" s="29">
        <f>IFERROR(__xludf.DUMMYFUNCTION("GOOGLETRANSLATE(J605,""zh_HANS"",""zh_HANT"")"),"摔角鷹人進化石")</f>
        <v/>
      </c>
      <c r="J605" s="29">
        <f>CONCATENATE(Pokemon!J702,"进化石")</f>
        <v/>
      </c>
      <c r="K605" s="29">
        <f>F605</f>
        <v/>
      </c>
    </row>
    <row r="606">
      <c r="A606" s="29">
        <f>CONCATENATE("NAME_ITEM_", SUBSTITUTE(SUBSTITUTE(UPPER(B606), " ", ""), ".", ""))</f>
        <v/>
      </c>
      <c r="B606" s="29" t="inlineStr">
        <is>
          <t>Zygardite</t>
        </is>
      </c>
      <c r="C606" s="29">
        <f>CONCATENATE(Pokemon!C719,"ナイト")</f>
        <v/>
      </c>
      <c r="D606" s="29">
        <f>B606</f>
        <v/>
      </c>
      <c r="E606" s="29" t="inlineStr">
        <is>
          <t>Zygardenit</t>
        </is>
      </c>
      <c r="F606" s="29">
        <f>SUBSTITUTE(G606,"ite","ita")</f>
        <v/>
      </c>
      <c r="G606" s="29">
        <f>B606</f>
        <v/>
      </c>
      <c r="H606" s="29">
        <f>CONCATENATE(Pokemon!H719,"나이트")</f>
        <v/>
      </c>
      <c r="I606" s="29">
        <f>IFERROR(__xludf.DUMMYFUNCTION("GOOGLETRANSLATE(J606,""zh_HANS"",""zh_HANT"")"),"基格爾德進化石")</f>
        <v/>
      </c>
      <c r="J606" s="29">
        <f>CONCATENATE(Pokemon!J719,"进化石")</f>
        <v/>
      </c>
      <c r="K606" s="29">
        <f>F606</f>
        <v/>
      </c>
    </row>
    <row r="607">
      <c r="A607" s="29">
        <f>CONCATENATE("NAME_ITEM_", SUBSTITUTE(SUBSTITUTE(UPPER(B607), " ", ""), ".", ""))</f>
        <v/>
      </c>
      <c r="B607" s="29" t="inlineStr">
        <is>
          <t>Drampanite</t>
        </is>
      </c>
      <c r="C607" s="29">
        <f>CONCATENATE(Pokemon!C781,"ナイト")</f>
        <v/>
      </c>
      <c r="D607" s="29" t="inlineStr">
        <is>
          <t>Draïeulite</t>
        </is>
      </c>
      <c r="E607" s="29" t="inlineStr">
        <is>
          <t>Sen-Longnit</t>
        </is>
      </c>
      <c r="F607" s="29">
        <f>SUBSTITUTE(B607,"ite","ita")</f>
        <v/>
      </c>
      <c r="G607" s="29" t="inlineStr">
        <is>
          <t>Drampite</t>
        </is>
      </c>
      <c r="H607" s="29">
        <f>CONCATENATE(Pokemon!H781,"나이트")</f>
        <v/>
      </c>
      <c r="I607" s="29">
        <f>IFERROR(__xludf.DUMMYFUNCTION("GOOGLETRANSLATE(J607,""zh_HANS"",""zh_HANT"")"),"老翁龍進化石")</f>
        <v/>
      </c>
      <c r="J607" s="29">
        <f>CONCATENATE(Pokemon!J781,"进化石")</f>
        <v/>
      </c>
      <c r="K607" s="29">
        <f>F607</f>
        <v/>
      </c>
    </row>
    <row r="608">
      <c r="A608" s="29">
        <f>CONCATENATE("NAME_ITEM_", SUBSTITUTE(SUBSTITUTE(UPPER(B608), " ", ""), ".", ""))</f>
        <v/>
      </c>
      <c r="B608" s="29" t="inlineStr">
        <is>
          <t>Falinksite</t>
        </is>
      </c>
      <c r="C608" s="29">
        <f>CONCATENATE(Pokemon!C871,"ナイト")</f>
        <v/>
      </c>
      <c r="D608" s="29" t="inlineStr">
        <is>
          <t>Hexadronite</t>
        </is>
      </c>
      <c r="E608" s="29" t="inlineStr">
        <is>
          <t>Legiosnit</t>
        </is>
      </c>
      <c r="F608" s="29">
        <f>SUBSTITUTE(G608,"ite","ita")</f>
        <v/>
      </c>
      <c r="G608" s="29">
        <f>B608</f>
        <v/>
      </c>
      <c r="H608" s="29">
        <f>CONCATENATE(Pokemon!H871,"나이트")</f>
        <v/>
      </c>
      <c r="I608" s="29">
        <f>IFERROR(__xludf.DUMMYFUNCTION("GOOGLETRANSLATE(J608,""zh_HANS"",""zh_HANT"")"),"列陣兵進化石")</f>
        <v/>
      </c>
      <c r="J608" s="29">
        <f>CONCATENATE(Pokemon!J871,"进化石")</f>
        <v/>
      </c>
      <c r="K608" s="29">
        <f>F608</f>
        <v/>
      </c>
    </row>
    <row r="609">
      <c r="A609" s="29">
        <f>CONCATENATE("NAME_ITEM_", SUBSTITUTE(SUBSTITUTE(UPPER(B609), " ", ""), ".", ""))</f>
        <v/>
      </c>
      <c r="B609" s="29" t="inlineStr">
        <is>
          <t>Heatranite</t>
        </is>
      </c>
      <c r="C609" s="29">
        <f>CONCATENATE(Pokemon!C486,"ナイト")</f>
        <v/>
      </c>
      <c r="D609" s="29">
        <f>B609</f>
        <v/>
      </c>
      <c r="E609" s="29" t="inlineStr">
        <is>
          <t>Heatranit</t>
        </is>
      </c>
      <c r="F609" s="29">
        <f>SUBSTITUTE(G609,"ite","ita")</f>
        <v/>
      </c>
      <c r="G609" s="29">
        <f>B609</f>
        <v/>
      </c>
      <c r="H609" s="29">
        <f>CONCATENATE(Pokemon!H486,"나이트")</f>
        <v/>
      </c>
      <c r="I609" s="29">
        <f>IFERROR(__xludf.DUMMYFUNCTION("GOOGLETRANSLATE(J609,""zh_HANS"",""zh_HANT"")"),"席多藍恩進化石")</f>
        <v/>
      </c>
      <c r="J609" s="29">
        <f>CONCATENATE(Pokemon!J486,"进化石")</f>
        <v/>
      </c>
      <c r="K609" s="29">
        <f>F609</f>
        <v/>
      </c>
    </row>
    <row r="610">
      <c r="A610" s="29">
        <f>CONCATENATE("NAME_ITEM_", SUBSTITUTE(SUBSTITUTE(UPPER(B610), " ", ""), ".", ""))</f>
        <v/>
      </c>
      <c r="B610" s="29" t="inlineStr">
        <is>
          <t>Darkranite</t>
        </is>
      </c>
      <c r="C610" s="29">
        <f>CONCATENATE(Pokemon!C492,"ナイト")</f>
        <v/>
      </c>
      <c r="D610" s="29" t="inlineStr">
        <is>
          <t>Darkraïte</t>
        </is>
      </c>
      <c r="E610" s="29" t="inlineStr">
        <is>
          <t>Darkrainit</t>
        </is>
      </c>
      <c r="F610" s="29">
        <f>CONCATENATE(E610,"a")</f>
        <v/>
      </c>
      <c r="G610" s="29" t="inlineStr">
        <is>
          <t>Darkraite</t>
        </is>
      </c>
      <c r="H610" s="29">
        <f>CONCATENATE(Pokemon!H492,"나이트")</f>
        <v/>
      </c>
      <c r="I610" s="29">
        <f>IFERROR(__xludf.DUMMYFUNCTION("GOOGLETRANSLATE(J610,""zh_HANS"",""zh_HANT"")"),"達克萊伊進化石")</f>
        <v/>
      </c>
      <c r="J610" s="29">
        <f>CONCATENATE(Pokemon!J492,"进化石")</f>
        <v/>
      </c>
      <c r="K610" s="29">
        <f>F610</f>
        <v/>
      </c>
    </row>
    <row r="611">
      <c r="A611" s="29">
        <f>CONCATENATE("NAME_ITEM_", SUBSTITUTE(SUBSTITUTE(UPPER(B611), " ", ""), ".", ""))</f>
        <v/>
      </c>
      <c r="B611" s="29" t="inlineStr">
        <is>
          <t>Zeraorite</t>
        </is>
      </c>
      <c r="C611" s="29">
        <f>CONCATENATE(Pokemon!C808,"ナイト")</f>
        <v/>
      </c>
      <c r="D611" s="29">
        <f>B611</f>
        <v/>
      </c>
      <c r="E611" s="29" t="inlineStr">
        <is>
          <t>Zeraoranit</t>
        </is>
      </c>
      <c r="F611" s="29">
        <f>CONCATENATE(E611,"a")</f>
        <v/>
      </c>
      <c r="G611" s="29">
        <f>B611</f>
        <v/>
      </c>
      <c r="H611" s="29">
        <f>CONCATENATE(Pokemon!H808,"나이트")</f>
        <v/>
      </c>
      <c r="I611" s="29">
        <f>IFERROR(__xludf.DUMMYFUNCTION("GOOGLETRANSLATE(J611,""zh_HANS"",""zh_HANT"")"),"捷拉奧拉進化石")</f>
        <v/>
      </c>
      <c r="J611" s="29">
        <f>CONCATENATE(Pokemon!J808,"进化石")</f>
        <v/>
      </c>
      <c r="K611" s="29">
        <f>F611</f>
        <v/>
      </c>
    </row>
    <row r="612">
      <c r="A612" s="29">
        <f>CONCATENATE("NAME_ITEM_", SUBSTITUTE(SUBSTITUTE(UPPER(B612), " ", ""), ".", ""))</f>
        <v/>
      </c>
      <c r="B612" s="29" t="inlineStr">
        <is>
          <t>Raichunite X</t>
        </is>
      </c>
      <c r="C612" s="29">
        <f>CONCATENATE(Pokemon!C27,"ナイト","Ｘ")</f>
        <v/>
      </c>
      <c r="D612" s="29" t="inlineStr">
        <is>
          <t>Raichuïte X</t>
        </is>
      </c>
      <c r="E612" s="29" t="inlineStr">
        <is>
          <t>Raichunit X</t>
        </is>
      </c>
      <c r="F612" s="29">
        <f>SUBSTITUTE(G612,"ite","ita")</f>
        <v/>
      </c>
      <c r="G612" s="29">
        <f>B612</f>
        <v/>
      </c>
      <c r="H612" s="29">
        <f>CONCATENATE(Pokemon!H27,"나이트","Ｘ")</f>
        <v/>
      </c>
      <c r="I612" s="29">
        <f>IFERROR(__xludf.DUMMYFUNCTION("GOOGLETRANSLATE(J612,""zh_HANS"",""zh_HANT"")"),"雷丘進化石Ｘ")</f>
        <v/>
      </c>
      <c r="J612" s="29">
        <f>CONCATENATE(Pokemon!J27,"进化石","Ｘ")</f>
        <v/>
      </c>
      <c r="K612" s="29">
        <f>F612</f>
        <v/>
      </c>
    </row>
    <row r="613">
      <c r="A613" s="29">
        <f>CONCATENATE("NAME_ITEM_", SUBSTITUTE(SUBSTITUTE(UPPER(B613), " ", ""), ".", ""))</f>
        <v/>
      </c>
      <c r="B613" s="29" t="inlineStr">
        <is>
          <t>Raichunite Y</t>
        </is>
      </c>
      <c r="C613" s="29">
        <f>CONCATENATE(Pokemon!C27,"ナイト","Ｙ")</f>
        <v/>
      </c>
      <c r="D613" s="29" t="inlineStr">
        <is>
          <t>Raichuïte Y</t>
        </is>
      </c>
      <c r="E613" s="29" t="inlineStr">
        <is>
          <t>Raichunit Y</t>
        </is>
      </c>
      <c r="F613" s="29">
        <f>SUBSTITUTE(G613,"ite","ita")</f>
        <v/>
      </c>
      <c r="G613" s="29">
        <f>B613</f>
        <v/>
      </c>
      <c r="H613" s="29">
        <f>CONCATENATE(Pokemon!H27,"나이트","Ｙ")</f>
        <v/>
      </c>
      <c r="I613" s="29">
        <f>IFERROR(__xludf.DUMMYFUNCTION("GOOGLETRANSLATE(J613,""zh_HANS"",""zh_HANT"")"),"雷丘進化石Ｙ")</f>
        <v/>
      </c>
      <c r="J613" s="29">
        <f>CONCATENATE(Pokemon!J27,"进化石","Ｙ")</f>
        <v/>
      </c>
      <c r="K613" s="29">
        <f>F613</f>
        <v/>
      </c>
    </row>
    <row r="614">
      <c r="A614" s="29">
        <f>CONCATENATE("NAME_ITEM_", SUBSTITUTE(SUBSTITUTE(UPPER(B614), " ", ""), ".", ""))</f>
        <v/>
      </c>
      <c r="B614" s="29" t="inlineStr">
        <is>
          <t>Chimechite</t>
        </is>
      </c>
      <c r="C614" s="29">
        <f>CONCATENATE(Pokemon!C359,"ナイト")</f>
        <v/>
      </c>
      <c r="D614" s="29" t="inlineStr">
        <is>
          <t>Éokite</t>
        </is>
      </c>
      <c r="E614" s="29" t="inlineStr">
        <is>
          <t>Palimpalimonit</t>
        </is>
      </c>
      <c r="F614" s="29">
        <f>SUBSTITUTE(G614,"ite","ita")</f>
        <v/>
      </c>
      <c r="G614" s="29">
        <f>B614</f>
        <v/>
      </c>
      <c r="H614" s="29">
        <f>CONCATENATE(Pokemon!H359,"나이트")</f>
        <v/>
      </c>
      <c r="I614" s="29">
        <f>IFERROR(__xludf.DUMMYFUNCTION("GOOGLETRANSLATE(J614,""zh_HANS"",""zh_HANT"")"),"風鈴鈴進化石")</f>
        <v/>
      </c>
      <c r="J614" s="29">
        <f>CONCATENATE(Pokemon!J359,"进化石")</f>
        <v/>
      </c>
      <c r="K614" s="29">
        <f>F614</f>
        <v/>
      </c>
    </row>
    <row r="615">
      <c r="A615" s="29">
        <f>CONCATENATE("NAME_ITEM_", SUBSTITUTE(SUBSTITUTE(UPPER(B615), " ", ""), ".", ""))</f>
        <v/>
      </c>
      <c r="B615" s="29">
        <f>CONCATENATE(B468, " Z")</f>
        <v/>
      </c>
      <c r="C615" s="29">
        <f>CONCATENATE(C468,"Ｚ")</f>
        <v/>
      </c>
      <c r="D615" s="29">
        <f>CONCATENATE(D468, " Z")</f>
        <v/>
      </c>
      <c r="E615" s="29">
        <f>CONCATENATE(E468, " Z")</f>
        <v/>
      </c>
      <c r="F615" s="29">
        <f>CONCATENATE(F468, " Z")</f>
        <v/>
      </c>
      <c r="G615" s="29">
        <f>CONCATENATE(G468, " Z")</f>
        <v/>
      </c>
      <c r="H615" s="29">
        <f>CONCATENATE(H468,"Ｚ")</f>
        <v/>
      </c>
      <c r="I615" s="29">
        <f>IFERROR(__xludf.DUMMYFUNCTION("GOOGLETRANSLATE(J615,""zh_HANS"",""zh_HANT"")"),"暴雪王進化石Ｚ")</f>
        <v/>
      </c>
      <c r="J615" s="29">
        <f>CONCATENATE(J468,"Ｚ")</f>
        <v/>
      </c>
      <c r="K615" s="29">
        <f>F615</f>
        <v/>
      </c>
    </row>
    <row r="616">
      <c r="A616" s="29">
        <f>CONCATENATE("NAME_ITEM_", SUBSTITUTE(SUBSTITUTE(UPPER(B616), " ", ""), ".", ""))</f>
        <v/>
      </c>
      <c r="B616" s="29" t="inlineStr">
        <is>
          <t>Staraptite</t>
        </is>
      </c>
      <c r="C616" s="29">
        <f>CONCATENATE(Pokemon!C399,"ナイト")</f>
        <v/>
      </c>
      <c r="D616" s="29" t="inlineStr">
        <is>
          <t>Étouraptorite</t>
        </is>
      </c>
      <c r="E616" s="29" t="inlineStr">
        <is>
          <t>Staraptornit</t>
        </is>
      </c>
      <c r="F616" s="29">
        <f>SUBSTITUTE(G616,"ite","ita")</f>
        <v/>
      </c>
      <c r="G616" s="29" t="inlineStr">
        <is>
          <t>Staraptorite</t>
        </is>
      </c>
      <c r="H616" s="29">
        <f>CONCATENATE(Pokemon!H399,"나이트")</f>
        <v/>
      </c>
      <c r="I616" s="29">
        <f>IFERROR(__xludf.DUMMYFUNCTION("GOOGLETRANSLATE(J616,""zh_HANS"",""zh_HANT"")"),"姆克鷹進化石")</f>
        <v/>
      </c>
      <c r="J616" s="29">
        <f>CONCATENATE(Pokemon!J399,"进化石")</f>
        <v/>
      </c>
      <c r="K616" s="29">
        <f>F616</f>
        <v/>
      </c>
    </row>
    <row r="617">
      <c r="A617" s="29">
        <f>CONCATENATE("NAME_ITEM_", SUBSTITUTE(SUBSTITUTE(UPPER(B617), " ", ""), ".", ""))</f>
        <v/>
      </c>
      <c r="B617" s="29">
        <f>CONCATENATE(B474, " Z")</f>
        <v/>
      </c>
      <c r="C617" s="29">
        <f>CONCATENATE(C474,"Ｚ")</f>
        <v/>
      </c>
      <c r="D617" s="29">
        <f>CONCATENATE(D474, " Z")</f>
        <v/>
      </c>
      <c r="E617" s="29">
        <f>CONCATENATE(E474, " Z")</f>
        <v/>
      </c>
      <c r="F617" s="29">
        <f>CONCATENATE(F474, " Z")</f>
        <v/>
      </c>
      <c r="G617" s="29">
        <f>CONCATENATE(G474, " Z")</f>
        <v/>
      </c>
      <c r="H617" s="29">
        <f>CONCATENATE(H474,"Ｚ")</f>
        <v/>
      </c>
      <c r="I617" s="29">
        <f>IFERROR(__xludf.DUMMYFUNCTION("GOOGLETRANSLATE(J617,""zh_HANS"",""zh_HANT"")"),"烈咬陸鯊進化石Ｚ")</f>
        <v/>
      </c>
      <c r="J617" s="29">
        <f>CONCATENATE(J474,"Ｚ")</f>
        <v/>
      </c>
      <c r="K617" s="29">
        <f>F617</f>
        <v/>
      </c>
    </row>
    <row r="618">
      <c r="A618" s="29">
        <f>CONCATENATE("NAME_ITEM_", SUBSTITUTE(SUBSTITUTE(UPPER(B618), " ", ""), ".", ""))</f>
        <v/>
      </c>
      <c r="B618" s="29">
        <f>CONCATENATE(B464, " Z")</f>
        <v/>
      </c>
      <c r="C618" s="29">
        <f>CONCATENATE(C464,"Ｚ")</f>
        <v/>
      </c>
      <c r="D618" s="29">
        <f>CONCATENATE(D464, " Z")</f>
        <v/>
      </c>
      <c r="E618" s="29">
        <f>CONCATENATE(E464, " Z")</f>
        <v/>
      </c>
      <c r="F618" s="29">
        <f>CONCATENATE(F464, " Z")</f>
        <v/>
      </c>
      <c r="G618" s="29">
        <f>CONCATENATE(G464, " Z")</f>
        <v/>
      </c>
      <c r="H618" s="29">
        <f>CONCATENATE(H464,"Ｚ")</f>
        <v/>
      </c>
      <c r="I618" s="29">
        <f>IFERROR(__xludf.DUMMYFUNCTION("GOOGLETRANSLATE(J618,""zh_HANS"",""zh_HANT"")"),"路卡利歐進化石Ｚ")</f>
        <v/>
      </c>
      <c r="J618" s="29">
        <f>CONCATENATE(J464,"Ｚ")</f>
        <v/>
      </c>
      <c r="K618" s="29">
        <f>F618</f>
        <v/>
      </c>
    </row>
    <row r="619">
      <c r="A619" s="29">
        <f>CONCATENATE("NAME_ITEM_", SUBSTITUTE(SUBSTITUTE(UPPER(B619), " ", ""), ".", ""))</f>
        <v/>
      </c>
      <c r="B619" s="29" t="inlineStr">
        <is>
          <t>Golurkite</t>
        </is>
      </c>
      <c r="C619" s="29">
        <f>CONCATENATE(Pokemon!C624,"ナイト")</f>
        <v/>
      </c>
      <c r="D619" s="29" t="inlineStr">
        <is>
          <t>Golemastokite</t>
        </is>
      </c>
      <c r="E619" s="29" t="inlineStr">
        <is>
          <t>Golgantesnit</t>
        </is>
      </c>
      <c r="F619" s="29">
        <f>SUBSTITUTE(G619,"ite","ita")</f>
        <v/>
      </c>
      <c r="G619" s="29">
        <f>B619</f>
        <v/>
      </c>
      <c r="H619" s="29">
        <f>CONCATENATE(Pokemon!H624,"나이트")</f>
        <v/>
      </c>
      <c r="I619" s="29">
        <f>IFERROR(__xludf.DUMMYFUNCTION("GOOGLETRANSLATE(J619,""zh_HANS"",""zh_HANT"")"),"泥偶巨人進化石")</f>
        <v/>
      </c>
      <c r="J619" s="29">
        <f>CONCATENATE(Pokemon!J624,"进化石")</f>
        <v/>
      </c>
      <c r="K619" s="29">
        <f>F619</f>
        <v/>
      </c>
    </row>
    <row r="620">
      <c r="A620" s="29">
        <f>CONCATENATE("NAME_ITEM_", SUBSTITUTE(SUBSTITUTE(UPPER(B620), " ", ""), ".", ""))</f>
        <v/>
      </c>
      <c r="B620" s="29" t="inlineStr">
        <is>
          <t>Meowsticite</t>
        </is>
      </c>
      <c r="C620" s="29">
        <f>CONCATENATE(Pokemon!C679,"ナイト")</f>
        <v/>
      </c>
      <c r="D620" s="29" t="inlineStr">
        <is>
          <t>Mistigrixite</t>
        </is>
      </c>
      <c r="E620" s="29" t="inlineStr">
        <is>
          <t>Psiaugonit</t>
        </is>
      </c>
      <c r="F620" s="29">
        <f>SUBSTITUTE(G620,"ite","ita")</f>
        <v/>
      </c>
      <c r="G620" s="29">
        <f>B620</f>
        <v/>
      </c>
      <c r="H620" s="29">
        <f>CONCATENATE(Pokemon!H679,"나이트")</f>
        <v/>
      </c>
      <c r="I620" s="29">
        <f>IFERROR(__xludf.DUMMYFUNCTION("GOOGLETRANSLATE(J620,""zh_HANS"",""zh_HANT"")"),"超能妙喵進化石")</f>
        <v/>
      </c>
      <c r="J620" s="29">
        <f>CONCATENATE(Pokemon!J679,"进化石")</f>
        <v/>
      </c>
      <c r="K620" s="29">
        <f>F620</f>
        <v/>
      </c>
    </row>
    <row r="621">
      <c r="A621" s="29">
        <f>CONCATENATE("NAME_ITEM_", SUBSTITUTE(SUBSTITUTE(UPPER(B621), " ", ""), ".", ""))</f>
        <v/>
      </c>
      <c r="B621" s="29" t="inlineStr">
        <is>
          <t>Crabominite</t>
        </is>
      </c>
      <c r="C621" s="29">
        <f>CONCATENATE(Pokemon!C741,"ナイト")</f>
        <v/>
      </c>
      <c r="D621" s="29" t="inlineStr">
        <is>
          <t>Crabominablite</t>
        </is>
      </c>
      <c r="E621" s="29" t="inlineStr">
        <is>
          <t>Krawellonit</t>
        </is>
      </c>
      <c r="F621" s="29">
        <f>SUBSTITUTE(G621,"ite","ita")</f>
        <v/>
      </c>
      <c r="G621" s="29">
        <f>D621</f>
        <v/>
      </c>
      <c r="H621" s="29">
        <f>CONCATENATE(Pokemon!H741,"나이트")</f>
        <v/>
      </c>
      <c r="I621" s="29">
        <f>IFERROR(__xludf.DUMMYFUNCTION("GOOGLETRANSLATE(J621,""zh_HANS"",""zh_HANT"")"),"好勝毛蟹進化石")</f>
        <v/>
      </c>
      <c r="J621" s="29">
        <f>CONCATENATE(Pokemon!J741,"进化石")</f>
        <v/>
      </c>
      <c r="K621" s="29">
        <f>F621</f>
        <v/>
      </c>
    </row>
    <row r="622">
      <c r="A622" s="29">
        <f>CONCATENATE("NAME_ITEM_", SUBSTITUTE(SUBSTITUTE(UPPER(B622), " ", ""), ".", ""))</f>
        <v/>
      </c>
      <c r="B622" s="29" t="inlineStr">
        <is>
          <t>Golisopite</t>
        </is>
      </c>
      <c r="C622" s="29">
        <f>CONCATENATE(Pokemon!C768,"ナイト")</f>
        <v/>
      </c>
      <c r="D622" s="29" t="inlineStr">
        <is>
          <t>Sarmuraïte</t>
        </is>
      </c>
      <c r="E622" s="29" t="inlineStr">
        <is>
          <t>Tectassnit</t>
        </is>
      </c>
      <c r="F622" s="29">
        <f>SUBSTITUTE(G622,"ite","ita")</f>
        <v/>
      </c>
      <c r="G622" s="29" t="inlineStr">
        <is>
          <t>Golisopodite</t>
        </is>
      </c>
      <c r="H622" s="29">
        <f>CONCATENATE(Pokemon!H769,"나이트")</f>
        <v/>
      </c>
      <c r="I622" s="29">
        <f>IFERROR(__xludf.DUMMYFUNCTION("GOOGLETRANSLATE(J622,""zh_HANS"",""zh_HANT"")"),"具甲武者進化石")</f>
        <v/>
      </c>
      <c r="J622" s="29">
        <f>CONCATENATE(Pokemon!J769,"进化石")</f>
        <v/>
      </c>
      <c r="K622" s="29">
        <f>F622</f>
        <v/>
      </c>
    </row>
    <row r="623">
      <c r="A623" s="29">
        <f>CONCATENATE("NAME_ITEM_", SUBSTITUTE(SUBSTITUTE(UPPER(B623), " ", ""), ".", ""))</f>
        <v/>
      </c>
      <c r="B623" s="29" t="inlineStr">
        <is>
          <t>Magearnite</t>
        </is>
      </c>
      <c r="C623" s="29">
        <f>CONCATENATE(Pokemon!C802,"ナイト")</f>
        <v/>
      </c>
      <c r="D623" s="29">
        <f>B623</f>
        <v/>
      </c>
      <c r="E623" s="29" t="inlineStr">
        <is>
          <t>Magearnanit</t>
        </is>
      </c>
      <c r="F623" s="29">
        <f>SUBSTITUTE(G623,"ite","ita")</f>
        <v/>
      </c>
      <c r="G623" s="29">
        <f>B623</f>
        <v/>
      </c>
      <c r="H623" s="29">
        <f>CONCATENATE(Pokemon!H802,"나이트")</f>
        <v/>
      </c>
      <c r="I623" s="29">
        <f>IFERROR(__xludf.DUMMYFUNCTION("GOOGLETRANSLATE(J623,""zh_HANS"",""zh_HANT"")"),"瑪機雅娜進化石")</f>
        <v/>
      </c>
      <c r="J623" s="29">
        <f>CONCATENATE(Pokemon!J802,"进化石")</f>
        <v/>
      </c>
      <c r="K623" s="29">
        <f>F623</f>
        <v/>
      </c>
    </row>
    <row r="624">
      <c r="A624" s="29">
        <f>CONCATENATE("NAME_ITEM_", SUBSTITUTE(SUBSTITUTE(UPPER(B624), " ", ""), ".", ""))</f>
        <v/>
      </c>
      <c r="B624" s="29" t="inlineStr">
        <is>
          <t>Scovillainite</t>
        </is>
      </c>
      <c r="C624" s="29">
        <f>CONCATENATE(Pokemon!C953,"ナイト")</f>
        <v/>
      </c>
      <c r="D624" s="29" t="inlineStr">
        <is>
          <t>Scovilainite</t>
        </is>
      </c>
      <c r="E624" s="29" t="inlineStr">
        <is>
          <t>Halupenjonit</t>
        </is>
      </c>
      <c r="F624" s="29">
        <f>SUBSTITUTE(G624,"ite","ita")</f>
        <v/>
      </c>
      <c r="G624" s="29">
        <f>B624</f>
        <v/>
      </c>
      <c r="H624" s="29">
        <f>CONCATENATE(Pokemon!H953,"나이트")</f>
        <v/>
      </c>
      <c r="I624" s="29">
        <f>IFERROR(__xludf.DUMMYFUNCTION("GOOGLETRANSLATE(J624,""zh_HANS"",""zh_HANT"")"),"狠辣椒進化石")</f>
        <v/>
      </c>
      <c r="J624" s="29">
        <f>CONCATENATE(Pokemon!J953,"进化石")</f>
        <v/>
      </c>
      <c r="K624" s="29">
        <f>F624</f>
        <v/>
      </c>
    </row>
    <row r="625">
      <c r="A625" s="29">
        <f>CONCATENATE("NAME_ITEM_", SUBSTITUTE(SUBSTITUTE(UPPER(B625), " ", ""), ".", ""))</f>
        <v/>
      </c>
      <c r="B625" s="29" t="inlineStr">
        <is>
          <t>Baxcalibrite</t>
        </is>
      </c>
      <c r="C625" s="29">
        <f>CONCATENATE(Pokemon!C999,"ナイト")</f>
        <v/>
      </c>
      <c r="D625" s="29" t="inlineStr">
        <is>
          <t>Glaivodite</t>
        </is>
      </c>
      <c r="E625" s="29" t="inlineStr">
        <is>
          <t>Espinodonit</t>
        </is>
      </c>
      <c r="F625" s="29">
        <f>SUBSTITUTE(G625,"ite","ita")</f>
        <v/>
      </c>
      <c r="G625" s="29" t="inlineStr">
        <is>
          <t>Baxcaliburite</t>
        </is>
      </c>
      <c r="H625" s="29">
        <f>CONCATENATE(Pokemon!H999,"나이트")</f>
        <v/>
      </c>
      <c r="I625" s="29">
        <f>IFERROR(__xludf.DUMMYFUNCTION("GOOGLETRANSLATE(J625,""zh_HANS"",""zh_HANT"")"),"戟脊龍進化石")</f>
        <v/>
      </c>
      <c r="J625" s="29">
        <f>CONCATENATE(Pokemon!J999,"进化石")</f>
        <v/>
      </c>
      <c r="K625" s="29">
        <f>F625</f>
        <v/>
      </c>
    </row>
    <row r="626">
      <c r="A626" s="29">
        <f>CONCATENATE("NAME_ITEM_", SUBSTITUTE(SUBSTITUTE(UPPER(B626), " ", ""), ".", ""))</f>
        <v/>
      </c>
      <c r="B626" s="29" t="inlineStr">
        <is>
          <t>Tatsugirinite</t>
        </is>
      </c>
      <c r="C626" s="29">
        <f>CONCATENATE(Pokemon!C979,"ナイト")</f>
        <v/>
      </c>
      <c r="D626" s="29" t="inlineStr">
        <is>
          <t>Nigirigonite</t>
        </is>
      </c>
      <c r="E626" s="29" t="inlineStr">
        <is>
          <t>Nigiraginit</t>
        </is>
      </c>
      <c r="F626" s="29">
        <f>SUBSTITUTE(G626,"ite","ita")</f>
        <v/>
      </c>
      <c r="G626" s="29" t="inlineStr">
        <is>
          <t>Tatsugirite</t>
        </is>
      </c>
      <c r="H626" s="29">
        <f>CONCATENATE(Pokemon!H979,"나이트")</f>
        <v/>
      </c>
      <c r="I626" s="29">
        <f>IFERROR(__xludf.DUMMYFUNCTION("GOOGLETRANSLATE(J626,""zh_HANS"",""zh_HANT"")"),"米立龍進化石")</f>
        <v/>
      </c>
      <c r="J626" s="29">
        <f>CONCATENATE(Pokemon!J979,"进化石")</f>
        <v/>
      </c>
      <c r="K626" s="29">
        <f>F626</f>
        <v/>
      </c>
    </row>
    <row r="627">
      <c r="A627" s="29">
        <f>CONCATENATE("NAME_ITEM_", SUBSTITUTE(SUBSTITUTE(UPPER(B627), " ", ""), ".", ""))</f>
        <v/>
      </c>
      <c r="B627" s="29" t="inlineStr">
        <is>
          <t>Glimmoranite</t>
        </is>
      </c>
      <c r="C627" s="29">
        <f>CONCATENATE(Pokemon!C971,"ナイト")</f>
        <v/>
      </c>
      <c r="D627" s="29" t="inlineStr">
        <is>
          <t>Floréclatite</t>
        </is>
      </c>
      <c r="E627" s="29" t="inlineStr">
        <is>
          <t>Lumifloranit</t>
        </is>
      </c>
      <c r="F627" s="29">
        <f>SUBSTITUTE(B627,"ite","ita")</f>
        <v/>
      </c>
      <c r="G627" s="29" t="inlineStr">
        <is>
          <t>Glimmorite</t>
        </is>
      </c>
      <c r="H627" s="29">
        <f>CONCATENATE(Pokemon!H971,"나이트")</f>
        <v/>
      </c>
      <c r="I627" s="29">
        <f>IFERROR(__xludf.DUMMYFUNCTION("GOOGLETRANSLATE(J627,""zh_HANS"",""zh_HANT"")"),"晶光花進化石")</f>
        <v/>
      </c>
      <c r="J627" s="29">
        <f>CONCATENATE(Pokemon!J971,"进化石")</f>
        <v/>
      </c>
      <c r="K627" s="29">
        <f>F627</f>
        <v/>
      </c>
    </row>
    <row r="628">
      <c r="A628" s="29">
        <f>CONCATENATE("NAME_ITEM_", SUBSTITUTE(SUBSTITUTE(UPPER(B628), " ", ""), ".", ""))</f>
        <v/>
      </c>
      <c r="B628" s="29" t="inlineStr">
        <is>
          <t>Red Apricorn</t>
        </is>
      </c>
      <c r="C628" s="29" t="inlineStr">
        <is>
          <t>あかぼんぐり</t>
        </is>
      </c>
      <c r="D628" s="29" t="inlineStr">
        <is>
          <t>Noigrume Rouge</t>
        </is>
      </c>
      <c r="E628" s="29" t="inlineStr">
        <is>
          <t>Aprikoko Rot</t>
        </is>
      </c>
      <c r="F628" s="29" t="inlineStr">
        <is>
          <t>Bonguri Rojo</t>
        </is>
      </c>
      <c r="G628" s="29" t="inlineStr">
        <is>
          <t>Ghicocca Rossa</t>
        </is>
      </c>
      <c r="H628" s="29" t="inlineStr">
        <is>
          <t>빨간규토리</t>
        </is>
      </c>
      <c r="I628" s="29" t="inlineStr">
        <is>
          <t>紅球果</t>
        </is>
      </c>
      <c r="J628" s="29">
        <f>IFERROR(__xludf.DUMMYFUNCTION("GOOGLETRANSLATE(I628,""zh_HANT"",""zh_HANS"")"),"红球果")</f>
        <v/>
      </c>
      <c r="K628" s="29">
        <f>F628</f>
        <v/>
      </c>
    </row>
    <row r="629">
      <c r="A629" s="29">
        <f>CONCATENATE("NAME_ITEM_", SUBSTITUTE(SUBSTITUTE(UPPER(B629), " ", ""), ".", ""))</f>
        <v/>
      </c>
      <c r="B629" s="29" t="inlineStr">
        <is>
          <t>Blue Apricorn</t>
        </is>
      </c>
      <c r="C629" s="29" t="inlineStr">
        <is>
          <t>あおぼんぐり</t>
        </is>
      </c>
      <c r="D629" s="29" t="inlineStr">
        <is>
          <t>Noigrume Bleu</t>
        </is>
      </c>
      <c r="E629" s="29" t="inlineStr">
        <is>
          <t>Aprikoko Blau</t>
        </is>
      </c>
      <c r="F629" s="29" t="inlineStr">
        <is>
          <t>Bonguri Azul</t>
        </is>
      </c>
      <c r="G629" s="29" t="inlineStr">
        <is>
          <t>Ghicocca Blu</t>
        </is>
      </c>
      <c r="H629" s="29" t="inlineStr">
        <is>
          <t>파란규토리</t>
        </is>
      </c>
      <c r="I629" s="29" t="inlineStr">
        <is>
          <t>藍球果</t>
        </is>
      </c>
      <c r="J629" s="29">
        <f>IFERROR(__xludf.DUMMYFUNCTION("GOOGLETRANSLATE(I629,""zh_HANT"",""zh_HANS"")"),"蓝球果")</f>
        <v/>
      </c>
      <c r="K629" s="29">
        <f>F629</f>
        <v/>
      </c>
    </row>
    <row r="630">
      <c r="A630" s="29">
        <f>CONCATENATE("NAME_ITEM_", SUBSTITUTE(SUBSTITUTE(UPPER(B630), " ", ""), ".", ""))</f>
        <v/>
      </c>
      <c r="B630" s="29" t="inlineStr">
        <is>
          <t>Yellow Apricorn</t>
        </is>
      </c>
      <c r="C630" s="29" t="inlineStr">
        <is>
          <t>きぼんぐり</t>
        </is>
      </c>
      <c r="D630" s="29" t="inlineStr">
        <is>
          <t>Noigrume Jaune</t>
        </is>
      </c>
      <c r="E630" s="29" t="inlineStr">
        <is>
          <t>Aprikoko Gelb</t>
        </is>
      </c>
      <c r="F630" s="29" t="inlineStr">
        <is>
          <t>Bonguri Amarillo</t>
        </is>
      </c>
      <c r="G630" s="29" t="inlineStr">
        <is>
          <t>Ghicocca Gialla</t>
        </is>
      </c>
      <c r="H630" s="29" t="inlineStr">
        <is>
          <t>노랑규토리</t>
        </is>
      </c>
      <c r="I630" s="29" t="inlineStr">
        <is>
          <t>黃球果</t>
        </is>
      </c>
      <c r="J630" s="29">
        <f>IFERROR(__xludf.DUMMYFUNCTION("GOOGLETRANSLATE(I630,""zh_HANT"",""zh_HANS"")"),"黄球果")</f>
        <v/>
      </c>
      <c r="K630" s="29">
        <f>F630</f>
        <v/>
      </c>
    </row>
    <row r="631">
      <c r="A631" s="29">
        <f>CONCATENATE("NAME_ITEM_", SUBSTITUTE(SUBSTITUTE(UPPER(B631), " ", ""), ".", ""))</f>
        <v/>
      </c>
      <c r="B631" s="29" t="inlineStr">
        <is>
          <t>Green Apricorn</t>
        </is>
      </c>
      <c r="C631" s="29" t="inlineStr">
        <is>
          <t>みどぼんぐり</t>
        </is>
      </c>
      <c r="D631" s="29" t="inlineStr">
        <is>
          <t>Noigrume Vert</t>
        </is>
      </c>
      <c r="E631" s="29" t="inlineStr">
        <is>
          <t>Aprikoko Grün</t>
        </is>
      </c>
      <c r="F631" s="29" t="inlineStr">
        <is>
          <t>Bonguri Verde</t>
        </is>
      </c>
      <c r="G631" s="29" t="inlineStr">
        <is>
          <t>Ghicocca Verde</t>
        </is>
      </c>
      <c r="H631" s="29" t="inlineStr">
        <is>
          <t>초록규토리</t>
        </is>
      </c>
      <c r="I631" s="29" t="inlineStr">
        <is>
          <t>綠球果</t>
        </is>
      </c>
      <c r="J631" s="29">
        <f>IFERROR(__xludf.DUMMYFUNCTION("GOOGLETRANSLATE(I631,""zh_HANT"",""zh_HANS"")"),"绿球果")</f>
        <v/>
      </c>
      <c r="K631" s="29">
        <f>F631</f>
        <v/>
      </c>
    </row>
    <row r="632">
      <c r="A632" s="29">
        <f>CONCATENATE("NAME_ITEM_", SUBSTITUTE(SUBSTITUTE(UPPER(B632), " ", ""), ".", ""))</f>
        <v/>
      </c>
      <c r="B632" s="29" t="inlineStr">
        <is>
          <t>Pink Apricorn</t>
        </is>
      </c>
      <c r="C632" s="29" t="inlineStr">
        <is>
          <t>ももぼんぐり</t>
        </is>
      </c>
      <c r="D632" s="29" t="inlineStr">
        <is>
          <t>Noigrume Rose</t>
        </is>
      </c>
      <c r="E632" s="29" t="inlineStr">
        <is>
          <t>Aprikoko Pink</t>
        </is>
      </c>
      <c r="F632" s="29" t="inlineStr">
        <is>
          <t>Bonguri Rosa</t>
        </is>
      </c>
      <c r="G632" s="29" t="inlineStr">
        <is>
          <t>Ghicocca Rosa</t>
        </is>
      </c>
      <c r="H632" s="29" t="inlineStr">
        <is>
          <t>담홍규토리</t>
        </is>
      </c>
      <c r="I632" s="29" t="inlineStr">
        <is>
          <t>粉球果</t>
        </is>
      </c>
      <c r="J632" s="29">
        <f>I632</f>
        <v/>
      </c>
      <c r="K632" s="29">
        <f>F632</f>
        <v/>
      </c>
    </row>
    <row r="633">
      <c r="A633" s="29">
        <f>CONCATENATE("NAME_ITEM_", SUBSTITUTE(SUBSTITUTE(UPPER(B633), " ", ""), ".", ""))</f>
        <v/>
      </c>
      <c r="B633" s="29" t="inlineStr">
        <is>
          <t>White Apricorn</t>
        </is>
      </c>
      <c r="C633" s="29" t="inlineStr">
        <is>
          <t>しろぼんぐり</t>
        </is>
      </c>
      <c r="D633" s="29" t="inlineStr">
        <is>
          <t>Noigrume Blanc</t>
        </is>
      </c>
      <c r="E633" s="29" t="inlineStr">
        <is>
          <t>Aprikoko Weiß</t>
        </is>
      </c>
      <c r="F633" s="29" t="inlineStr">
        <is>
          <t>Bonguri Blanco</t>
        </is>
      </c>
      <c r="G633" s="29" t="inlineStr">
        <is>
          <t>Ghicocca Bianca</t>
        </is>
      </c>
      <c r="H633" s="29" t="inlineStr">
        <is>
          <t>하얀규토리</t>
        </is>
      </c>
      <c r="I633" s="29" t="inlineStr">
        <is>
          <t>白球果</t>
        </is>
      </c>
      <c r="J633" s="29">
        <f>I633</f>
        <v/>
      </c>
      <c r="K633" s="29">
        <f>F633</f>
        <v/>
      </c>
    </row>
    <row r="634">
      <c r="A634" s="29">
        <f>CONCATENATE("NAME_ITEM_", SUBSTITUTE(SUBSTITUTE(UPPER(B634), " ", ""), ".", ""))</f>
        <v/>
      </c>
      <c r="B634" s="29" t="inlineStr">
        <is>
          <t>Black Apricorn</t>
        </is>
      </c>
      <c r="C634" s="29" t="inlineStr">
        <is>
          <t>くろぼんぐり</t>
        </is>
      </c>
      <c r="D634" s="29" t="inlineStr">
        <is>
          <t>Noigrume Noir</t>
        </is>
      </c>
      <c r="E634" s="29" t="inlineStr">
        <is>
          <t>Aprikoko Schwarz</t>
        </is>
      </c>
      <c r="F634" s="29" t="inlineStr">
        <is>
          <t>Bonguri Negro</t>
        </is>
      </c>
      <c r="G634" s="29" t="inlineStr">
        <is>
          <t>Ghicocca Nera</t>
        </is>
      </c>
      <c r="H634" s="29" t="inlineStr">
        <is>
          <t>검은규토리</t>
        </is>
      </c>
      <c r="I634" s="29" t="inlineStr">
        <is>
          <t>黑球果</t>
        </is>
      </c>
      <c r="J634" s="29">
        <f>I634</f>
        <v/>
      </c>
      <c r="K634" s="29">
        <f>F634</f>
        <v/>
      </c>
    </row>
    <row r="635">
      <c r="A635" s="29">
        <f>CONCATENATE("NAME_ITEM_", SUBSTITUTE(SUBSTITUTE(UPPER(B635), " ", ""), ".", ""))</f>
        <v/>
      </c>
      <c r="B635" s="29" t="inlineStr">
        <is>
          <t>Nugget</t>
        </is>
      </c>
      <c r="C635" s="29" t="inlineStr">
        <is>
          <t>きんのたま</t>
        </is>
      </c>
      <c r="D635" s="29" t="inlineStr">
        <is>
          <t>Pépite</t>
        </is>
      </c>
      <c r="E635" s="29">
        <f>B635</f>
        <v/>
      </c>
      <c r="F635" s="29" t="inlineStr">
        <is>
          <t>Pepita</t>
        </is>
      </c>
      <c r="G635" s="29">
        <f>F635</f>
        <v/>
      </c>
      <c r="H635" s="29" t="inlineStr">
        <is>
          <t>금구슬</t>
        </is>
      </c>
      <c r="I635" s="29" t="inlineStr">
        <is>
          <t>金珠</t>
        </is>
      </c>
      <c r="J635" s="29">
        <f>I635</f>
        <v/>
      </c>
      <c r="K635" s="29">
        <f>F635</f>
        <v/>
      </c>
    </row>
    <row r="636">
      <c r="A636" s="29">
        <f>CONCATENATE("NAME_ITEM_", SUBSTITUTE(SUBSTITUTE(UPPER(B636), " ", ""), ".", ""))</f>
        <v/>
      </c>
      <c r="B636" s="29" t="inlineStr">
        <is>
          <t>Tiny Mushroom</t>
        </is>
      </c>
      <c r="C636" s="29" t="inlineStr">
        <is>
          <t>ちいさなキノコ</t>
        </is>
      </c>
      <c r="D636" s="29" t="inlineStr">
        <is>
          <t>Petit Champi</t>
        </is>
      </c>
      <c r="E636" s="29" t="inlineStr">
        <is>
          <t>Minipilz</t>
        </is>
      </c>
      <c r="F636" s="29" t="inlineStr">
        <is>
          <t>Miniseta</t>
        </is>
      </c>
      <c r="G636" s="29" t="inlineStr">
        <is>
          <t>Minifungo</t>
        </is>
      </c>
      <c r="H636" s="29" t="inlineStr">
        <is>
          <t>작은버섯</t>
        </is>
      </c>
      <c r="I636" s="29" t="inlineStr">
        <is>
          <t>小蘑菇</t>
        </is>
      </c>
      <c r="J636" s="29">
        <f>I636</f>
        <v/>
      </c>
      <c r="K636" s="29">
        <f>F636</f>
        <v/>
      </c>
    </row>
    <row r="637">
      <c r="A637" s="29">
        <f>CONCATENATE("NAME_ITEM_", SUBSTITUTE(SUBSTITUTE(UPPER(B637), " ", ""), ".", ""))</f>
        <v/>
      </c>
      <c r="B637" s="29" t="inlineStr">
        <is>
          <t>Big Mushroom</t>
        </is>
      </c>
      <c r="C637" s="29" t="inlineStr">
        <is>
          <t>おおきなキノコ</t>
        </is>
      </c>
      <c r="D637" s="29" t="inlineStr">
        <is>
          <t>Gros Champi</t>
        </is>
      </c>
      <c r="E637" s="29" t="inlineStr">
        <is>
          <t>Riesenpilz</t>
        </is>
      </c>
      <c r="F637" s="29" t="inlineStr">
        <is>
          <t>Seta Grande</t>
        </is>
      </c>
      <c r="G637" s="29" t="inlineStr">
        <is>
          <t>Grande Fungo</t>
        </is>
      </c>
      <c r="H637" s="29" t="inlineStr">
        <is>
          <t>큰버섯</t>
        </is>
      </c>
      <c r="I637" s="29" t="inlineStr">
        <is>
          <t>大蘑菇</t>
        </is>
      </c>
      <c r="J637" s="29">
        <f>I637</f>
        <v/>
      </c>
      <c r="K637" s="29">
        <f>F637</f>
        <v/>
      </c>
    </row>
    <row r="638">
      <c r="A638" s="29">
        <f>CONCATENATE("NAME_ITEM_", SUBSTITUTE(SUBSTITUTE(UPPER(B638), " ", ""), ".", ""))</f>
        <v/>
      </c>
      <c r="B638" s="29" t="inlineStr">
        <is>
          <t>Pearl</t>
        </is>
      </c>
      <c r="C638" s="29" t="inlineStr">
        <is>
          <t>しんじゅ</t>
        </is>
      </c>
      <c r="D638" s="29" t="inlineStr">
        <is>
          <t>Perle</t>
        </is>
      </c>
      <c r="E638" s="29">
        <f>D638</f>
        <v/>
      </c>
      <c r="F638" s="29" t="inlineStr">
        <is>
          <t>Perla</t>
        </is>
      </c>
      <c r="G638" s="29">
        <f>F638</f>
        <v/>
      </c>
      <c r="H638" s="29" t="inlineStr">
        <is>
          <t>진주</t>
        </is>
      </c>
      <c r="I638" s="29" t="inlineStr">
        <is>
          <t>珍珠</t>
        </is>
      </c>
      <c r="J638" s="29">
        <f>I638</f>
        <v/>
      </c>
      <c r="K638" s="29">
        <f>F638</f>
        <v/>
      </c>
    </row>
    <row r="639">
      <c r="A639" s="29">
        <f>CONCATENATE("NAME_ITEM_", SUBSTITUTE(SUBSTITUTE(UPPER(B639), " ", ""), ".", ""))</f>
        <v/>
      </c>
      <c r="B639" s="29" t="inlineStr">
        <is>
          <t>Big Pearl</t>
        </is>
      </c>
      <c r="C639" s="29" t="inlineStr">
        <is>
          <t>おおきなしんじゅ</t>
        </is>
      </c>
      <c r="D639" s="29" t="inlineStr">
        <is>
          <t>Grande Perle</t>
        </is>
      </c>
      <c r="E639" s="29" t="inlineStr">
        <is>
          <t>Riesenperle</t>
        </is>
      </c>
      <c r="F639" s="29" t="inlineStr">
        <is>
          <t>Perla Grande</t>
        </is>
      </c>
      <c r="G639" s="29" t="inlineStr">
        <is>
          <t>Grande Perla</t>
        </is>
      </c>
      <c r="H639" s="29" t="inlineStr">
        <is>
          <t>큰진주</t>
        </is>
      </c>
      <c r="I639" s="29" t="inlineStr">
        <is>
          <t>大珍珠</t>
        </is>
      </c>
      <c r="J639" s="29">
        <f>I639</f>
        <v/>
      </c>
      <c r="K639" s="29">
        <f>F639</f>
        <v/>
      </c>
    </row>
    <row r="640">
      <c r="A640" s="29">
        <f>CONCATENATE("NAME_ITEM_", SUBSTITUTE(SUBSTITUTE(UPPER(B640), " ", ""), ".", ""))</f>
        <v/>
      </c>
      <c r="B640" s="29" t="inlineStr">
        <is>
          <t>Stardust</t>
        </is>
      </c>
      <c r="C640" s="29" t="inlineStr">
        <is>
          <t>ほしのすな</t>
        </is>
      </c>
      <c r="D640" s="29" t="inlineStr">
        <is>
          <t>Poussière d'Étoile</t>
        </is>
      </c>
      <c r="E640" s="29" t="inlineStr">
        <is>
          <t>Sternenstaub</t>
        </is>
      </c>
      <c r="F640" s="29" t="inlineStr">
        <is>
          <t>Polvo Estelar</t>
        </is>
      </c>
      <c r="G640" s="29" t="inlineStr">
        <is>
          <t>Polvostella</t>
        </is>
      </c>
      <c r="H640" s="29" t="inlineStr">
        <is>
          <t>별의모래</t>
        </is>
      </c>
      <c r="I640" s="29" t="inlineStr">
        <is>
          <t>星星沙子</t>
        </is>
      </c>
      <c r="J640" s="29">
        <f>I640</f>
        <v/>
      </c>
      <c r="K640" s="29">
        <f>F640</f>
        <v/>
      </c>
    </row>
    <row r="641">
      <c r="A641" s="29">
        <f>CONCATENATE("NAME_ITEM_", SUBSTITUTE(SUBSTITUTE(UPPER(B641), " ", ""), ".", ""))</f>
        <v/>
      </c>
      <c r="B641" s="29" t="inlineStr">
        <is>
          <t>Star Piece</t>
        </is>
      </c>
      <c r="C641" s="29" t="inlineStr">
        <is>
          <t>ほしのかけら</t>
        </is>
      </c>
      <c r="D641" s="29" t="inlineStr">
        <is>
          <t>Morceau d'Étoile</t>
        </is>
      </c>
      <c r="E641" s="29" t="inlineStr">
        <is>
          <t>Sternenstück</t>
        </is>
      </c>
      <c r="F641" s="29" t="inlineStr">
        <is>
          <t>Trozo Estrellar</t>
        </is>
      </c>
      <c r="G641" s="29" t="inlineStr">
        <is>
          <t>Pezzo Stella</t>
        </is>
      </c>
      <c r="H641" s="29" t="inlineStr">
        <is>
          <t>별의조각</t>
        </is>
      </c>
      <c r="I641" s="29" t="inlineStr">
        <is>
          <t>星星碎片</t>
        </is>
      </c>
      <c r="J641" s="29">
        <f>I641</f>
        <v/>
      </c>
      <c r="K641" s="29">
        <f>F641</f>
        <v/>
      </c>
    </row>
    <row r="642">
      <c r="A642" s="29">
        <f>CONCATENATE("NAME_ITEM_", SUBSTITUTE(SUBSTITUTE(UPPER(B642), " ", ""), ".", ""))</f>
        <v/>
      </c>
      <c r="B642" s="29" t="inlineStr">
        <is>
          <t>Honey</t>
        </is>
      </c>
      <c r="C642" s="29" t="inlineStr">
        <is>
          <t>あまいミツ</t>
        </is>
      </c>
      <c r="D642" s="29" t="inlineStr">
        <is>
          <t>Miel</t>
        </is>
      </c>
      <c r="E642" s="29" t="inlineStr">
        <is>
          <t>Honig</t>
        </is>
      </c>
      <c r="F642" s="29" t="inlineStr">
        <is>
          <t>Miel</t>
        </is>
      </c>
      <c r="G642" s="29">
        <f>CONCATENATE(D642,"e")</f>
        <v/>
      </c>
      <c r="H642" s="29" t="inlineStr">
        <is>
          <t>달콤한꿀</t>
        </is>
      </c>
      <c r="I642" s="29" t="inlineStr">
        <is>
          <t>甜甜蜜</t>
        </is>
      </c>
      <c r="J642" s="29">
        <f>I642</f>
        <v/>
      </c>
      <c r="K642" s="29">
        <f>F642</f>
        <v/>
      </c>
    </row>
    <row r="643">
      <c r="A643" s="29">
        <f>CONCATENATE("NAME_ITEM_", SUBSTITUTE(SUBSTITUTE(UPPER(B643), " ", ""), ".", ""))</f>
        <v/>
      </c>
      <c r="B643" s="29" t="inlineStr">
        <is>
          <t>Bottle Cap</t>
        </is>
      </c>
      <c r="C643" s="29" t="inlineStr">
        <is>
          <t>ぎんのおうかん</t>
        </is>
      </c>
      <c r="D643" s="29" t="inlineStr">
        <is>
          <t>Capsule d'Argent</t>
        </is>
      </c>
      <c r="E643" s="29" t="inlineStr">
        <is>
          <t>Silberkronkorken</t>
        </is>
      </c>
      <c r="F643" s="29" t="inlineStr">
        <is>
          <t>Chapa Plateada</t>
        </is>
      </c>
      <c r="G643" s="29" t="inlineStr">
        <is>
          <t>Tappo d'argento</t>
        </is>
      </c>
      <c r="H643" s="29" t="inlineStr">
        <is>
          <t>은왕관</t>
        </is>
      </c>
      <c r="I643" s="29">
        <f>IFERROR(__xludf.DUMMYFUNCTION("GOOGLETRANSLATE(J643,""zh_HANS"",""zh_HANT"")"),"銀色王冠")</f>
        <v/>
      </c>
      <c r="J643" s="29" t="inlineStr">
        <is>
          <t>银色王冠</t>
        </is>
      </c>
      <c r="K643" s="29">
        <f>F643</f>
        <v/>
      </c>
    </row>
    <row r="644">
      <c r="A644" s="29">
        <f>CONCATENATE("NAME_ITEM_", SUBSTITUTE(SUBSTITUTE(UPPER(B644), " ", ""), ".", ""))</f>
        <v/>
      </c>
      <c r="B644" s="29">
        <f>CONCATENATE("Gold ",B643)</f>
        <v/>
      </c>
      <c r="C644" s="29" t="inlineStr">
        <is>
          <t>きんのおうかん</t>
        </is>
      </c>
      <c r="D644" s="29" t="inlineStr">
        <is>
          <t>Capsule d'Or</t>
        </is>
      </c>
      <c r="E644" s="29" t="inlineStr">
        <is>
          <t>Goldkronkorken</t>
        </is>
      </c>
      <c r="F644" s="29" t="inlineStr">
        <is>
          <t>Chapa Dorada</t>
        </is>
      </c>
      <c r="G644" s="29" t="inlineStr">
        <is>
          <t>Tappo d'oro</t>
        </is>
      </c>
      <c r="H644" s="29" t="inlineStr">
        <is>
          <t>금왕관</t>
        </is>
      </c>
      <c r="I644" s="29">
        <f>J644</f>
        <v/>
      </c>
      <c r="J644" s="29" t="inlineStr">
        <is>
          <t>金色王冠</t>
        </is>
      </c>
      <c r="K644" s="29">
        <f>F644</f>
        <v/>
      </c>
    </row>
    <row r="645">
      <c r="A645" s="29">
        <f>CONCATENATE("NAME_ITEM_", SUBSTITUTE(SUBSTITUTE(UPPER(B645), " ", ""), ".", ""))</f>
        <v/>
      </c>
      <c r="B645" s="29" t="inlineStr">
        <is>
          <t>Bicycle</t>
        </is>
      </c>
      <c r="C645" s="29" t="inlineStr">
        <is>
          <t>じてんしゃ</t>
        </is>
      </c>
      <c r="D645" s="29" t="inlineStr">
        <is>
          <t>Bicyclette</t>
        </is>
      </c>
      <c r="E645" s="29" t="inlineStr">
        <is>
          <t>Fahrrad</t>
        </is>
      </c>
      <c r="F645" s="29" t="inlineStr">
        <is>
          <t>Bici</t>
        </is>
      </c>
      <c r="G645" s="29" t="inlineStr">
        <is>
          <t>Bicicletta</t>
        </is>
      </c>
      <c r="H645" s="29" t="inlineStr">
        <is>
          <t>타운맵</t>
        </is>
      </c>
      <c r="I645" s="29" t="inlineStr">
        <is>
          <t>自行車</t>
        </is>
      </c>
      <c r="J645" s="29">
        <f>IFERROR(__xludf.DUMMYFUNCTION("GOOGLETRANSLATE(I645,""zh_HANT"",""zh_HANS"")"),"自行车")</f>
        <v/>
      </c>
      <c r="K645" s="29">
        <f>F645</f>
        <v/>
      </c>
    </row>
    <row r="646">
      <c r="A646" s="29">
        <f>CONCATENATE("NAME_ITEM_", SUBSTITUTE(SUBSTITUTE(UPPER(B646), " ", ""), ".", ""))</f>
        <v/>
      </c>
      <c r="B646" s="29" t="inlineStr">
        <is>
          <t>Town Map</t>
        </is>
      </c>
      <c r="C646" s="29" t="inlineStr">
        <is>
          <t>タウンマップ</t>
        </is>
      </c>
      <c r="D646" s="29" t="inlineStr">
        <is>
          <t>Carte</t>
        </is>
      </c>
      <c r="E646" s="29" t="inlineStr">
        <is>
          <t>Karte</t>
        </is>
      </c>
      <c r="F646" s="29" t="inlineStr">
        <is>
          <t>Mapa</t>
        </is>
      </c>
      <c r="G646" s="29" t="inlineStr">
        <is>
          <t>Mappa città</t>
        </is>
      </c>
      <c r="H646" s="29" t="inlineStr">
        <is>
          <t>동전케이스</t>
        </is>
      </c>
      <c r="I646" s="29" t="inlineStr">
        <is>
          <t>城鎮地圖</t>
        </is>
      </c>
      <c r="J646" s="29">
        <f>IFERROR(__xludf.DUMMYFUNCTION("GOOGLETRANSLATE(I646,""zh_HANT"",""zh_HANS"")"),"城镇地图")</f>
        <v/>
      </c>
      <c r="K646" s="29">
        <f>F646</f>
        <v/>
      </c>
    </row>
    <row r="647">
      <c r="A647" s="29">
        <f>CONCATENATE("NAME_ITEM_", SUBSTITUTE(SUBSTITUTE(UPPER(B647), " ", ""), ".", ""))</f>
        <v/>
      </c>
      <c r="B647" s="29" t="inlineStr">
        <is>
          <t>Old Rod</t>
        </is>
      </c>
      <c r="C647" s="29" t="inlineStr">
        <is>
          <t>ボロのつりざお</t>
        </is>
      </c>
      <c r="D647" s="29" t="inlineStr">
        <is>
          <t>Vieille Canne</t>
        </is>
      </c>
      <c r="E647" s="29" t="inlineStr">
        <is>
          <t>Angel</t>
        </is>
      </c>
      <c r="F647" s="29" t="inlineStr">
        <is>
          <t>Caña Vieja</t>
        </is>
      </c>
      <c r="G647" s="29" t="inlineStr">
        <is>
          <t>Amo Vecchio</t>
        </is>
      </c>
      <c r="H647" s="29" t="inlineStr">
        <is>
          <t>낡은낚싯대</t>
        </is>
      </c>
      <c r="I647" s="29" t="inlineStr">
        <is>
          <t>破舊釣竿</t>
        </is>
      </c>
      <c r="J647" s="29">
        <f>IFERROR(__xludf.DUMMYFUNCTION("GOOGLETRANSLATE(I647,""zh_HANT"",""zh_HANS"")"),"破旧钓竿")</f>
        <v/>
      </c>
      <c r="K647" s="29">
        <f>F647</f>
        <v/>
      </c>
    </row>
    <row r="648">
      <c r="A648" s="29">
        <f>CONCATENATE("NAME_ITEM_", SUBSTITUTE(SUBSTITUTE(UPPER(B648), " ", ""), ".", ""))</f>
        <v/>
      </c>
      <c r="B648" s="29" t="inlineStr">
        <is>
          <t>Good Rod</t>
        </is>
      </c>
      <c r="C648" s="29" t="inlineStr">
        <is>
          <t>いいつりざお</t>
        </is>
      </c>
      <c r="D648" s="29" t="inlineStr">
        <is>
          <t>Super Canne</t>
        </is>
      </c>
      <c r="E648" s="29" t="inlineStr">
        <is>
          <t>Profiangel</t>
        </is>
      </c>
      <c r="F648" s="29" t="inlineStr">
        <is>
          <t>Caña Buena</t>
        </is>
      </c>
      <c r="G648" s="29" t="inlineStr">
        <is>
          <t>Amo Buono</t>
        </is>
      </c>
      <c r="H648" s="29" t="inlineStr">
        <is>
          <t>좋은낚싯대</t>
        </is>
      </c>
      <c r="I648" s="29" t="inlineStr">
        <is>
          <t>好釣竿</t>
        </is>
      </c>
      <c r="J648" s="29">
        <f>IFERROR(__xludf.DUMMYFUNCTION("GOOGLETRANSLATE(I648,""zh_HANT"",""zh_HANS"")"),"好钓竿")</f>
        <v/>
      </c>
      <c r="K648" s="29">
        <f>F648</f>
        <v/>
      </c>
    </row>
    <row r="649">
      <c r="A649" s="29">
        <f>CONCATENATE("NAME_ITEM_", SUBSTITUTE(SUBSTITUTE(UPPER(B649), " ", ""), ".", ""))</f>
        <v/>
      </c>
      <c r="B649" s="9" t="inlineStr">
        <is>
          <t>Super Rod</t>
        </is>
      </c>
      <c r="C649" s="29" t="inlineStr">
        <is>
          <t>すごいつりざお</t>
        </is>
      </c>
      <c r="D649" s="29" t="inlineStr">
        <is>
          <t>Méga Canne</t>
        </is>
      </c>
      <c r="E649" s="29" t="inlineStr">
        <is>
          <t>Superangel</t>
        </is>
      </c>
      <c r="F649" s="29" t="inlineStr">
        <is>
          <t>Supercaña</t>
        </is>
      </c>
      <c r="G649" s="29" t="inlineStr">
        <is>
          <t>Super Amo</t>
        </is>
      </c>
      <c r="H649" s="29" t="inlineStr">
        <is>
          <t>대단한낚싯대</t>
        </is>
      </c>
      <c r="I649" s="29" t="inlineStr">
        <is>
          <t>厲害釣竿</t>
        </is>
      </c>
      <c r="J649" s="29">
        <f>IFERROR(__xludf.DUMMYFUNCTION("GOOGLETRANSLATE(I649,""zh_HANT"",""zh_HANS"")"),"厉害钓竿")</f>
        <v/>
      </c>
      <c r="K649" s="29">
        <f>F649</f>
        <v/>
      </c>
    </row>
    <row r="650">
      <c r="A650" s="29">
        <f>CONCATENATE("NAME_ITEM_", SUBSTITUTE(SUBSTITUTE(UPPER(B650), " ", ""), ".", ""))</f>
        <v/>
      </c>
      <c r="B650" s="29" t="inlineStr">
        <is>
          <t>Dowsing Machine</t>
        </is>
      </c>
      <c r="C650" s="29" t="inlineStr">
        <is>
          <t>ダウジングマシン</t>
        </is>
      </c>
      <c r="D650" s="29" t="inlineStr">
        <is>
          <t>Cherch'Objet</t>
        </is>
      </c>
      <c r="E650" s="29" t="inlineStr">
        <is>
          <t>Itemradar</t>
        </is>
      </c>
      <c r="F650" s="29" t="inlineStr">
        <is>
          <t>Zahori</t>
        </is>
      </c>
      <c r="G650" s="29" t="inlineStr">
        <is>
          <t>Ricerca strum</t>
        </is>
      </c>
      <c r="H650" s="29" t="inlineStr">
        <is>
          <t>다우징머신</t>
        </is>
      </c>
      <c r="I650" s="29" t="inlineStr">
        <is>
          <t>探寶器</t>
        </is>
      </c>
      <c r="J650" s="29">
        <f>IFERROR(__xludf.DUMMYFUNCTION("GOOGLETRANSLATE(I650,""zh_HANT"",""zh_HANS"")"),"探宝器")</f>
        <v/>
      </c>
      <c r="K650" s="29">
        <f>F650</f>
        <v/>
      </c>
    </row>
    <row r="651">
      <c r="A651" s="29">
        <f>CONCATENATE("NAME_ITEM_", SUBSTITUTE(SUBSTITUTE(UPPER(B651), " ", ""), ".", ""))</f>
        <v/>
      </c>
      <c r="B651" s="29" t="inlineStr">
        <is>
          <t>Squirt Bottle</t>
        </is>
      </c>
      <c r="C651" s="29" t="inlineStr">
        <is>
          <t>ゼニガメじょうろ</t>
        </is>
      </c>
      <c r="D651" s="29" t="inlineStr">
        <is>
          <t>Carapuce à O</t>
        </is>
      </c>
      <c r="E651" s="29" t="inlineStr">
        <is>
          <t>Schiggykanne</t>
        </is>
      </c>
      <c r="F651" s="29" t="inlineStr">
        <is>
          <t>Regadera</t>
        </is>
      </c>
      <c r="G651" s="29" t="inlineStr">
        <is>
          <t>Annaffiatoio</t>
        </is>
      </c>
      <c r="H651" s="29" t="inlineStr">
        <is>
          <t>꼬부기물뿌리개</t>
        </is>
      </c>
      <c r="I651" s="29" t="inlineStr">
        <is>
          <t>傑尼龜噴壺</t>
        </is>
      </c>
      <c r="J651" s="29">
        <f>IFERROR(__xludf.DUMMYFUNCTION("GOOGLETRANSLATE(I651,""zh_HANT"",""zh_HANS"")"),"杰尼龟喷壶")</f>
        <v/>
      </c>
      <c r="K651" s="29">
        <f>F651</f>
        <v/>
      </c>
    </row>
    <row r="652">
      <c r="A652" s="29">
        <f>CONCATENATE("NAME_ITEM_", SUBSTITUTE(SUBSTITUTE(UPPER(B652), " ", ""), ".", ""))</f>
        <v/>
      </c>
      <c r="B652" s="29" t="inlineStr">
        <is>
          <t>Vs. Seeker</t>
        </is>
      </c>
      <c r="C652" s="29" t="inlineStr">
        <is>
          <t>バトルサーチャー</t>
        </is>
      </c>
      <c r="D652" s="29" t="inlineStr">
        <is>
          <t>Cherche VS</t>
        </is>
      </c>
      <c r="E652" s="29" t="inlineStr">
        <is>
          <t>Kampffahnder</t>
        </is>
      </c>
      <c r="F652" s="29" t="inlineStr">
        <is>
          <t>Buscapelea</t>
        </is>
      </c>
      <c r="G652" s="29" t="inlineStr">
        <is>
          <t>Cercasfide</t>
        </is>
      </c>
      <c r="H652" s="29" t="inlineStr">
        <is>
          <t>배틀서처</t>
        </is>
      </c>
      <c r="I652" s="29" t="inlineStr">
        <is>
          <t>對戰搜尋器</t>
        </is>
      </c>
      <c r="J652" s="29">
        <f>IFERROR(__xludf.DUMMYFUNCTION("GOOGLETRANSLATE(I652,""zh_HANT"",""zh_HANS"")"),"对战搜寻器")</f>
        <v/>
      </c>
      <c r="K652" s="29">
        <f>F652</f>
        <v/>
      </c>
    </row>
    <row r="653">
      <c r="A653" s="29">
        <f>CONCATENATE("NAME_ITEM_", SUBSTITUTE(SUBSTITUTE(UPPER(B653), " ", ""), ".", ""))</f>
        <v/>
      </c>
      <c r="B653" s="29">
        <f>CONCATENATE(E653,"e")</f>
        <v/>
      </c>
      <c r="C653" s="29" t="inlineStr">
        <is>
          <t>いんせき</t>
        </is>
      </c>
      <c r="D653" s="29" t="inlineStr">
        <is>
          <t>Météorite</t>
        </is>
      </c>
      <c r="E653" s="29" t="inlineStr">
        <is>
          <t>Meteorit</t>
        </is>
      </c>
      <c r="F653" s="29">
        <f>CONCATENATE(E653,"o")</f>
        <v/>
      </c>
      <c r="G653" s="29">
        <f>B653</f>
        <v/>
      </c>
      <c r="H653" s="29" t="inlineStr">
        <is>
          <t>운석</t>
        </is>
      </c>
      <c r="I653" s="29" t="inlineStr">
        <is>
          <t>隕石</t>
        </is>
      </c>
      <c r="J653" s="29">
        <f>IFERROR(__xludf.DUMMYFUNCTION("GOOGLETRANSLATE(I653,""zh_HANT"",""zh_HANS"")"),"陨石")</f>
        <v/>
      </c>
      <c r="K653" s="29">
        <f>F653</f>
        <v/>
      </c>
    </row>
    <row r="654">
      <c r="A654" s="29">
        <f>CONCATENATE("NAME_ITEM_", SUBSTITUTE(SUBSTITUTE(UPPER(B654), " ", ""), ".", ""))</f>
        <v/>
      </c>
      <c r="B654" s="29" t="inlineStr">
        <is>
          <t>Gracidea</t>
        </is>
      </c>
      <c r="C654" s="29" t="inlineStr">
        <is>
          <t>グラシデアのはな</t>
        </is>
      </c>
      <c r="D654" s="29" t="inlineStr">
        <is>
          <t>Gracidée</t>
        </is>
      </c>
      <c r="E654" s="29">
        <f>B654</f>
        <v/>
      </c>
      <c r="F654" s="29" t="inlineStr">
        <is>
          <t>Gracídea</t>
        </is>
      </c>
      <c r="G654" s="29">
        <f>B654</f>
        <v/>
      </c>
      <c r="H654" s="29" t="inlineStr">
        <is>
          <t>그라시데아꽃</t>
        </is>
      </c>
      <c r="I654" s="29" t="inlineStr">
        <is>
          <t>葛拉西蒂亞花</t>
        </is>
      </c>
      <c r="J654" s="29">
        <f>IFERROR(__xludf.DUMMYFUNCTION("GOOGLETRANSLATE(I654,""zh_HANT"",""zh_HANS"")"),"葛拉西蒂亚花")</f>
        <v/>
      </c>
      <c r="K654" s="29">
        <f>F654</f>
        <v/>
      </c>
    </row>
    <row r="655">
      <c r="A655" s="29">
        <f>CONCATENATE("NAME_ITEM_", SUBSTITUTE(SUBSTITUTE(UPPER(B655), " ", ""), ".", ""))</f>
        <v/>
      </c>
      <c r="B655" s="29" t="inlineStr">
        <is>
          <t>DNA Splicers</t>
        </is>
      </c>
      <c r="C655" s="29" t="inlineStr">
        <is>
          <t>いでんしのくさび</t>
        </is>
      </c>
      <c r="D655" s="29" t="inlineStr">
        <is>
          <t>Pointeau ADN</t>
        </is>
      </c>
      <c r="E655" s="29" t="inlineStr">
        <is>
          <t>DNS-Keil</t>
        </is>
      </c>
      <c r="F655" s="29" t="inlineStr">
        <is>
          <t>Punta ADN</t>
        </is>
      </c>
      <c r="G655" s="29" t="inlineStr">
        <is>
          <t>Cueno DNA</t>
        </is>
      </c>
      <c r="H655" s="29" t="inlineStr">
        <is>
          <t>유전자쐐기</t>
        </is>
      </c>
      <c r="I655" s="29" t="inlineStr">
        <is>
          <t>基因之楔</t>
        </is>
      </c>
      <c r="J655" s="29">
        <f>I655</f>
        <v/>
      </c>
      <c r="K655" s="29">
        <f>F655</f>
        <v/>
      </c>
    </row>
    <row r="656">
      <c r="A656" s="29">
        <f>CONCATENATE("NAME_ITEM_", SUBSTITUTE(SUBSTITUTE(UPPER(B656), " ", ""), ".", ""))</f>
        <v/>
      </c>
      <c r="B656" s="29" t="inlineStr">
        <is>
          <t>Oval Charm</t>
        </is>
      </c>
      <c r="C656" s="29" t="inlineStr">
        <is>
          <t>まるいおまもり</t>
        </is>
      </c>
      <c r="D656" s="29" t="inlineStr">
        <is>
          <t>Charme Oval</t>
        </is>
      </c>
      <c r="E656" s="29" t="inlineStr">
        <is>
          <t>Ovalpin</t>
        </is>
      </c>
      <c r="F656" s="29" t="inlineStr">
        <is>
          <t>Amuleto Oval</t>
        </is>
      </c>
      <c r="G656" s="29" t="inlineStr">
        <is>
          <t>Ovamuleto</t>
        </is>
      </c>
      <c r="H656" s="29" t="inlineStr">
        <is>
          <t>둥근부적</t>
        </is>
      </c>
      <c r="I656" s="29" t="inlineStr">
        <is>
          <t>圓形護符</t>
        </is>
      </c>
      <c r="J656" s="29">
        <f>IFERROR(__xludf.DUMMYFUNCTION("GOOGLETRANSLATE(I656,""zh_HANT"",""zh_HANS"")"),"圆形护符")</f>
        <v/>
      </c>
      <c r="K656" s="29">
        <f>F656</f>
        <v/>
      </c>
    </row>
    <row r="657">
      <c r="A657" s="29">
        <f>CONCATENATE("NAME_ITEM_", SUBSTITUTE(SUBSTITUTE(UPPER(B657), " ", ""), ".", ""))</f>
        <v/>
      </c>
      <c r="B657" s="29" t="inlineStr">
        <is>
          <t>Shiny Charm</t>
        </is>
      </c>
      <c r="C657" s="29" t="inlineStr">
        <is>
          <t>ひひかるおまもり</t>
        </is>
      </c>
      <c r="D657" s="29" t="inlineStr">
        <is>
          <t>Charme Chroma</t>
        </is>
      </c>
      <c r="E657" s="29" t="inlineStr">
        <is>
          <t>Schillerpin</t>
        </is>
      </c>
      <c r="F657" s="29" t="inlineStr">
        <is>
          <t>Amuleto Iris</t>
        </is>
      </c>
      <c r="G657" s="29" t="inlineStr">
        <is>
          <t>Cromamuleto</t>
        </is>
      </c>
      <c r="H657" s="29" t="inlineStr">
        <is>
          <t>빚나는부적</t>
        </is>
      </c>
      <c r="I657" s="29" t="inlineStr">
        <is>
          <t>閃耀護符</t>
        </is>
      </c>
      <c r="J657" s="29">
        <f>IFERROR(__xludf.DUMMYFUNCTION("GOOGLETRANSLATE(I657,""zh_HANT"",""zh_HANS"")"),"闪耀护符")</f>
        <v/>
      </c>
      <c r="K657" s="29">
        <f>F657</f>
        <v/>
      </c>
    </row>
    <row r="658">
      <c r="A658" s="29">
        <f>CONCATENATE("NAME_ITEM_", SUBSTITUTE(SUBSTITUTE(UPPER(B658), " ", ""), ".", ""))</f>
        <v/>
      </c>
      <c r="B658" s="29" t="inlineStr">
        <is>
          <t>Reveal Glass</t>
        </is>
      </c>
      <c r="C658" s="29" t="inlineStr">
        <is>
          <t>うつしかがみ</t>
        </is>
      </c>
      <c r="D658" s="29" t="inlineStr">
        <is>
          <t>Miroir Sacré</t>
        </is>
      </c>
      <c r="E658" s="29" t="inlineStr">
        <is>
          <t>Wahrspiegel</t>
        </is>
      </c>
      <c r="F658" s="29" t="inlineStr">
        <is>
          <t>Espejo Veraz</t>
        </is>
      </c>
      <c r="G658" s="29" t="inlineStr">
        <is>
          <t>Verispecchio</t>
        </is>
      </c>
      <c r="H658" s="29" t="inlineStr">
        <is>
          <t>비추는거울</t>
        </is>
      </c>
      <c r="I658" s="29" t="inlineStr">
        <is>
          <t>現形鏡</t>
        </is>
      </c>
      <c r="J658" s="29">
        <f>IFERROR(__xludf.DUMMYFUNCTION("GOOGLETRANSLATE(I658,""zh_HANT"",""zh_HANS"")"),"现形镜")</f>
        <v/>
      </c>
      <c r="K658" s="29">
        <f>F658</f>
        <v/>
      </c>
    </row>
    <row r="659">
      <c r="A659" s="29">
        <f>CONCATENATE("NAME_ITEM_", SUBSTITUTE(SUBSTITUTE(UPPER(B659), " ", ""), ".", ""))</f>
        <v/>
      </c>
      <c r="B659" s="29" t="inlineStr">
        <is>
          <t>Prison Bottle</t>
        </is>
      </c>
      <c r="C659" s="29" t="inlineStr">
        <is>
          <t>いましめのつぼ</t>
        </is>
      </c>
      <c r="D659" s="29" t="inlineStr">
        <is>
          <t>Vase Scellé</t>
        </is>
      </c>
      <c r="E659" s="29" t="inlineStr">
        <is>
          <t>Banngefäß</t>
        </is>
      </c>
      <c r="F659" s="29" t="inlineStr">
        <is>
          <t>Vasija Castigo</t>
        </is>
      </c>
      <c r="G659" s="29" t="inlineStr">
        <is>
          <t>Vaso del vincolo</t>
        </is>
      </c>
      <c r="H659" s="29" t="inlineStr">
        <is>
          <t>굴레의항아리</t>
        </is>
      </c>
      <c r="I659" s="29" t="inlineStr">
        <is>
          <t>懲戒之壺</t>
        </is>
      </c>
      <c r="J659" s="29">
        <f>IFERROR(__xludf.DUMMYFUNCTION("GOOGLETRANSLATE(I659,""zh_HANT"",""zh_HANS"")"),"惩戒之壶")</f>
        <v/>
      </c>
      <c r="K659" s="29">
        <f>F659</f>
        <v/>
      </c>
    </row>
    <row r="660">
      <c r="A660" s="29">
        <f>CONCATENATE("NAME_ITEM_", SUBSTITUTE(SUBSTITUTE(UPPER(B660), " ", ""), ".", ""))</f>
        <v/>
      </c>
      <c r="B660" s="29" t="inlineStr">
        <is>
          <t>Key Stone</t>
        </is>
      </c>
      <c r="C660" s="29" t="inlineStr">
        <is>
          <t>キーストーン</t>
        </is>
      </c>
      <c r="D660" s="29" t="inlineStr">
        <is>
          <t>Gemme Sésame</t>
        </is>
      </c>
      <c r="E660" s="29" t="inlineStr">
        <is>
          <t>Schlüssel-Stein</t>
        </is>
      </c>
      <c r="F660" s="29" t="inlineStr">
        <is>
          <t>Piedra Activadora</t>
        </is>
      </c>
      <c r="G660" s="29" t="inlineStr">
        <is>
          <t>Pietrachiave</t>
        </is>
      </c>
      <c r="H660" s="29" t="inlineStr">
        <is>
          <t>키스톤</t>
        </is>
      </c>
      <c r="I660" s="29" t="inlineStr">
        <is>
          <t>鑰石</t>
        </is>
      </c>
      <c r="J660" s="29">
        <f>IFERROR(__xludf.DUMMYFUNCTION("GOOGLETRANSLATE(I660,""zh_HANT"",""zh_HANS"")"),"钥石")</f>
        <v/>
      </c>
      <c r="K660" s="29">
        <f>F660</f>
        <v/>
      </c>
    </row>
    <row r="661">
      <c r="A661" s="29" t="inlineStr">
        <is>
          <t>NAME_ITEM_ZPOWERRING</t>
        </is>
      </c>
      <c r="B661" s="29" t="inlineStr">
        <is>
          <t>Z-Power Ring</t>
        </is>
      </c>
      <c r="C661" s="29" t="inlineStr">
        <is>
          <t>Ｚパワーリング</t>
        </is>
      </c>
      <c r="D661" s="29" t="inlineStr">
        <is>
          <t>Super Bracelet Z</t>
        </is>
      </c>
      <c r="E661" s="29" t="inlineStr">
        <is>
          <t>Z-Kraftring</t>
        </is>
      </c>
      <c r="F661" s="29" t="inlineStr">
        <is>
          <t>Superpulsera Z</t>
        </is>
      </c>
      <c r="G661" s="29" t="inlineStr">
        <is>
          <t>Supercerchio Z</t>
        </is>
      </c>
      <c r="H661" s="29" t="inlineStr">
        <is>
          <t>Ｚ링</t>
        </is>
      </c>
      <c r="I661" s="29" t="inlineStr">
        <is>
          <t>Ｚ手環</t>
        </is>
      </c>
      <c r="J661" s="29">
        <f>IFERROR(__xludf.DUMMYFUNCTION("GOOGLETRANSLATE(I661,""zh_HANT"",""zh_HANS"")"),"Ｚ手环")</f>
        <v/>
      </c>
      <c r="K661" s="29">
        <f>F661</f>
        <v/>
      </c>
    </row>
    <row r="662">
      <c r="A662" s="29">
        <f>CONCATENATE("NAME_ITEM_", SUBSTITUTE(SUBSTITUTE(UPPER(B662), " ", ""), ".", ""))</f>
        <v/>
      </c>
      <c r="B662" s="29" t="inlineStr">
        <is>
          <t>Zygarde Cube</t>
        </is>
      </c>
      <c r="C662" s="29" t="inlineStr">
        <is>
          <t>ジガルデキューブ</t>
        </is>
      </c>
      <c r="D662" s="29" t="inlineStr">
        <is>
          <t>Boîte Zygarde</t>
        </is>
      </c>
      <c r="E662" s="29" t="inlineStr">
        <is>
          <t>Zygarde-Würfel</t>
        </is>
      </c>
      <c r="F662" s="29" t="inlineStr">
        <is>
          <t>Arca de Zygarde</t>
        </is>
      </c>
      <c r="G662" s="29" t="inlineStr">
        <is>
          <t>Teca Zygarde</t>
        </is>
      </c>
      <c r="H662" s="29" t="inlineStr">
        <is>
          <t>지가르데큐브</t>
        </is>
      </c>
      <c r="I662" s="29" t="inlineStr">
        <is>
          <t>基格爾德多面體</t>
        </is>
      </c>
      <c r="J662" s="29">
        <f>IFERROR(__xludf.DUMMYFUNCTION("GOOGLETRANSLATE(I662,""zh_HANT"",""zh_HANS"")"),"基格尔德多面体")</f>
        <v/>
      </c>
      <c r="K662" s="29">
        <f>F662</f>
        <v/>
      </c>
    </row>
    <row r="663">
      <c r="A663" s="29" t="inlineStr">
        <is>
          <t>NAME_ITEM_NSOLARIZER</t>
        </is>
      </c>
      <c r="B663" s="29" t="inlineStr">
        <is>
          <t>N-Solarizer</t>
        </is>
      </c>
      <c r="C663" s="29" t="inlineStr">
        <is>
          <t>ネクロプラスソル</t>
        </is>
      </c>
      <c r="D663" s="29" t="inlineStr">
        <is>
          <t>Necrosol</t>
        </is>
      </c>
      <c r="E663" s="29">
        <f>D663</f>
        <v/>
      </c>
      <c r="F663" s="29">
        <f>D663</f>
        <v/>
      </c>
      <c r="G663" s="29">
        <f>CONCATENATE(E663,"ix")</f>
        <v/>
      </c>
      <c r="H663" s="29" t="inlineStr">
        <is>
          <t>네크로플러스솔</t>
        </is>
      </c>
      <c r="I663" s="29" t="inlineStr">
        <is>
          <t>奈克洛索爾合體器</t>
        </is>
      </c>
      <c r="J663" s="29">
        <f>IFERROR(__xludf.DUMMYFUNCTION("GOOGLETRANSLATE(I663,""zh_HANT"",""zh_HANS"")"),"奈克洛索尔合体器")</f>
        <v/>
      </c>
      <c r="K663" s="29">
        <f>F663</f>
        <v/>
      </c>
    </row>
    <row r="664">
      <c r="A664" s="29" t="inlineStr">
        <is>
          <t>NAME_ITEM_NLUNARIZER</t>
        </is>
      </c>
      <c r="B664" s="29" t="inlineStr">
        <is>
          <t>N-Lunarizer</t>
        </is>
      </c>
      <c r="C664" s="29" t="inlineStr">
        <is>
          <t>ネクロプラスルナ</t>
        </is>
      </c>
      <c r="D664" s="29" t="inlineStr">
        <is>
          <t>Necroluna</t>
        </is>
      </c>
      <c r="E664" s="29" t="inlineStr">
        <is>
          <t>Necrolun</t>
        </is>
      </c>
      <c r="F664" s="29">
        <f>D664</f>
        <v/>
      </c>
      <c r="G664" s="29">
        <f>CONCATENATE(E664,"ix")</f>
        <v/>
      </c>
      <c r="H664" s="29" t="inlineStr">
        <is>
          <t>네크로플러스루나</t>
        </is>
      </c>
      <c r="I664" s="29" t="inlineStr">
        <is>
          <t>奈克洛露奈合體器</t>
        </is>
      </c>
      <c r="J664" s="29">
        <f>IFERROR(__xludf.DUMMYFUNCTION("GOOGLETRANSLATE(I664,""zh_HANT"",""zh_HANS"")"),"奈克洛露奈合体器")</f>
        <v/>
      </c>
      <c r="K664" s="29">
        <f>F664</f>
        <v/>
      </c>
    </row>
    <row r="665">
      <c r="A665" s="29">
        <f>CONCATENATE("NAME_ITEM_", SUBSTITUTE(SUBSTITUTE(UPPER(B665), " ", ""), ".", ""))</f>
        <v/>
      </c>
      <c r="B665" s="29" t="inlineStr">
        <is>
          <t>Dynamax Band</t>
        </is>
      </c>
      <c r="C665" s="29" t="inlineStr">
        <is>
          <t>ダイマックスＢ</t>
        </is>
      </c>
      <c r="D665" s="29" t="inlineStr">
        <is>
          <t>Poignet Dynamax</t>
        </is>
      </c>
      <c r="E665" s="29" t="inlineStr">
        <is>
          <t>Dynamax-Band</t>
        </is>
      </c>
      <c r="F665" s="29" t="inlineStr">
        <is>
          <t>Maximuñequera</t>
        </is>
      </c>
      <c r="G665" s="29" t="inlineStr">
        <is>
          <t>Polsino Dynamax</t>
        </is>
      </c>
      <c r="H665" s="29" t="inlineStr">
        <is>
          <t>다이맥스 밴드</t>
        </is>
      </c>
      <c r="I665" s="29" t="inlineStr">
        <is>
          <t>極巨腕帶</t>
        </is>
      </c>
      <c r="J665" s="29">
        <f>IFERROR(__xludf.DUMMYFUNCTION("GOOGLETRANSLATE(I665,""zh_HANT"",""zh_HANS"")"),"极巨腕带")</f>
        <v/>
      </c>
      <c r="K665" s="29">
        <f>F665</f>
        <v/>
      </c>
    </row>
    <row r="666">
      <c r="A666" s="29">
        <f>CONCATENATE("NAME_ITEM_", SUBSTITUTE(SUBSTITUTE(UPPER(B666), " ", ""), ".", ""))</f>
        <v/>
      </c>
      <c r="B666" s="29" t="inlineStr">
        <is>
          <t>Catching Charm</t>
        </is>
      </c>
      <c r="C666" s="29" t="inlineStr">
        <is>
          <t>ゆれないおまもり</t>
        </is>
      </c>
      <c r="D666" s="29" t="inlineStr">
        <is>
          <t>Charme Stabilité</t>
        </is>
      </c>
      <c r="E666" s="29" t="inlineStr">
        <is>
          <t>Superfangpin</t>
        </is>
      </c>
      <c r="F666" s="29" t="inlineStr">
        <is>
          <t>Amuleto Captula</t>
        </is>
      </c>
      <c r="G666" s="29" t="inlineStr">
        <is>
          <t>Catturamuleto</t>
        </is>
      </c>
      <c r="H666" s="29" t="inlineStr">
        <is>
          <t>흔들림없는부적</t>
        </is>
      </c>
      <c r="I666" s="29" t="inlineStr">
        <is>
          <t>防晃護符</t>
        </is>
      </c>
      <c r="J666" s="29">
        <f>IFERROR(__xludf.DUMMYFUNCTION("GOOGLETRANSLATE(I666,""zh_HANT"",""zh_HANS"")"),"防晃护符")</f>
        <v/>
      </c>
      <c r="K666" s="29">
        <f>F666</f>
        <v/>
      </c>
    </row>
    <row r="667">
      <c r="A667" s="29">
        <f>CONCATENATE("NAME_ITEM_", SUBSTITUTE(SUBSTITUTE(UPPER(B667), " ", ""), ".", ""))</f>
        <v/>
      </c>
      <c r="B667" s="29" t="inlineStr">
        <is>
          <t>Rotom Catalog</t>
        </is>
      </c>
      <c r="C667" s="29" t="inlineStr">
        <is>
          <t>ロトムのカタログ</t>
        </is>
      </c>
      <c r="D667" s="29" t="inlineStr">
        <is>
          <t>Moti-Catalogue</t>
        </is>
      </c>
      <c r="E667" s="29" t="inlineStr">
        <is>
          <t>Rotom-Katalog</t>
        </is>
      </c>
      <c r="F667" s="29" t="inlineStr">
        <is>
          <t>Catálogo Rotom</t>
        </is>
      </c>
      <c r="G667" s="29" t="inlineStr">
        <is>
          <t>Catalogo Rotom</t>
        </is>
      </c>
      <c r="H667" s="29" t="inlineStr">
        <is>
          <t>로토무카탈로그</t>
        </is>
      </c>
      <c r="I667" s="29" t="inlineStr">
        <is>
          <t>洛托姆型錄</t>
        </is>
      </c>
      <c r="J667" s="29">
        <f>IFERROR(__xludf.DUMMYFUNCTION("GOOGLETRANSLATE(I667,""zh_HANT"",""zh_HANS"")"),"洛托姆型录")</f>
        <v/>
      </c>
      <c r="K667" s="29">
        <f>F667</f>
        <v/>
      </c>
    </row>
    <row r="668">
      <c r="A668" s="29">
        <f>CONCATENATE("NAME_ITEM_", SUBSTITUTE(SUBSTITUTE(UPPER(B668), " ", ""), ".", ""))</f>
        <v/>
      </c>
      <c r="B668" s="29" t="inlineStr">
        <is>
          <t>Exp. Charm</t>
        </is>
      </c>
      <c r="C668" s="29" t="inlineStr">
        <is>
          <t>けいけんおまもり</t>
        </is>
      </c>
      <c r="D668" s="29" t="inlineStr">
        <is>
          <t>Charme Exp</t>
        </is>
      </c>
      <c r="E668" s="29" t="inlineStr">
        <is>
          <t>EP-Pin</t>
        </is>
      </c>
      <c r="F668" s="29" t="inlineStr">
        <is>
          <t>Amuleto Exp</t>
        </is>
      </c>
      <c r="G668" s="29" t="inlineStr">
        <is>
          <t>Esperienzamuleto</t>
        </is>
      </c>
      <c r="H668" s="29" t="inlineStr">
        <is>
          <t>경험부적</t>
        </is>
      </c>
      <c r="I668" s="29" t="inlineStr">
        <is>
          <t>經驗護符</t>
        </is>
      </c>
      <c r="J668" s="29">
        <f>IFERROR(__xludf.DUMMYFUNCTION("GOOGLETRANSLATE(I668,""zh_HANT"",""zh_HANS"")"),"经验护符")</f>
        <v/>
      </c>
      <c r="K668" s="29">
        <f>F668</f>
        <v/>
      </c>
    </row>
    <row r="669">
      <c r="A669" s="29">
        <f>CONCATENATE("NAME_ITEM_", SUBSTITUTE(SUBSTITUTE(UPPER(B669), " ", ""), ".", ""))</f>
        <v/>
      </c>
      <c r="B669" s="29" t="inlineStr">
        <is>
          <t>Reins of Unity</t>
        </is>
      </c>
      <c r="C669" s="29" t="inlineStr">
        <is>
          <t>キズナのタジナ</t>
        </is>
      </c>
      <c r="D669" s="29" t="inlineStr">
        <is>
          <t>Rênes de l’Unité</t>
        </is>
      </c>
      <c r="E669" s="29" t="inlineStr">
        <is>
          <t>Zügel des Bundes</t>
        </is>
      </c>
      <c r="F669" s="29" t="inlineStr">
        <is>
          <t>Riendas Unión</t>
        </is>
      </c>
      <c r="G669" s="29" t="inlineStr">
        <is>
          <t>Briglie legame</t>
        </is>
      </c>
      <c r="H669" s="29" t="inlineStr">
        <is>
          <t>유대의고삐</t>
        </is>
      </c>
      <c r="I669" s="29" t="inlineStr">
        <is>
          <t>牽絆韁繩</t>
        </is>
      </c>
      <c r="J669" s="29">
        <f>IFERROR(__xludf.DUMMYFUNCTION("GOOGLETRANSLATE(I669,""zh_HANT"",""zh_HANS"")"),"牵绊缰绳")</f>
        <v/>
      </c>
      <c r="K669" s="29">
        <f>F669</f>
        <v/>
      </c>
    </row>
    <row r="670">
      <c r="A670" s="29">
        <f>CONCATENATE("NAME_ITEM_", SUBSTITUTE(SUBSTITUTE(UPPER(B670), " ", ""), ".", ""))</f>
        <v/>
      </c>
      <c r="B670" s="29" t="inlineStr">
        <is>
          <t>Tera Orb</t>
        </is>
      </c>
      <c r="C670" s="29" t="inlineStr">
        <is>
          <t>テラスタルオーブ</t>
        </is>
      </c>
      <c r="D670" s="29" t="inlineStr">
        <is>
          <t>Orbe Téracristal</t>
        </is>
      </c>
      <c r="E670" s="29" t="inlineStr">
        <is>
          <t>Terakristall-Orb</t>
        </is>
      </c>
      <c r="F670" s="29" t="inlineStr">
        <is>
          <t>Orbe Teracristal</t>
        </is>
      </c>
      <c r="G670" s="29" t="inlineStr">
        <is>
          <t>Terasfera</t>
        </is>
      </c>
      <c r="H670" s="29" t="inlineStr">
        <is>
          <t>테라스탈오브</t>
        </is>
      </c>
      <c r="I670" s="29" t="inlineStr">
        <is>
          <t>太晶珠</t>
        </is>
      </c>
      <c r="J670" s="29">
        <f>I670</f>
        <v/>
      </c>
      <c r="K670" s="29">
        <f>F670</f>
        <v/>
      </c>
    </row>
    <row r="671">
      <c r="A671" s="29">
        <f>CONCATENATE("NAME_ITEM_", SUBSTITUTE(SUBSTITUTE(UPPER(B671), " ", ""), ".", ""))</f>
        <v/>
      </c>
      <c r="B671" s="29" t="inlineStr">
        <is>
          <t>Glimmering Charm</t>
        </is>
      </c>
      <c r="C671" s="29" t="inlineStr">
        <is>
          <t>きらめくおまもり</t>
        </is>
      </c>
      <c r="D671" s="29" t="inlineStr">
        <is>
          <t>Charme Éclatant</t>
        </is>
      </c>
      <c r="E671" s="29" t="inlineStr">
        <is>
          <t>Glitzerpin</t>
        </is>
      </c>
      <c r="F671" s="29" t="inlineStr">
        <is>
          <t>Amuleto Cristalino</t>
        </is>
      </c>
      <c r="G671" s="29" t="inlineStr">
        <is>
          <t>Brillamuleto</t>
        </is>
      </c>
      <c r="H671" s="29" t="inlineStr">
        <is>
          <t>반짝이는부적</t>
        </is>
      </c>
      <c r="I671" s="29" t="inlineStr">
        <is>
          <t>晶耀護符</t>
        </is>
      </c>
      <c r="J671" s="29">
        <f>IFERROR(__xludf.DUMMYFUNCTION("GOOGLETRANSLATE(I671,""zh_HANT"",""zh_HANS"")"),"晶耀护符")</f>
        <v/>
      </c>
      <c r="K671" s="29">
        <f>F671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0" summaryRight="0"/>
    <pageSetUpPr/>
  </sheetPr>
  <dimension ref="A1:Z183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C2" sqref="C2"/>
    </sheetView>
  </sheetViews>
  <sheetFormatPr baseColWidth="8" defaultColWidth="12.63" defaultRowHeight="15.75" customHeight="1"/>
  <cols>
    <col width="29.25" customWidth="1" style="31" min="1" max="1"/>
    <col width="16" customWidth="1" style="31" min="2" max="2"/>
    <col width="17.75" customWidth="1" style="31" min="3" max="3"/>
    <col width="17.5" customWidth="1" style="31" min="4" max="4"/>
    <col width="16.13" customWidth="1" style="31" min="5" max="5"/>
    <col width="17.75" customWidth="1" style="31" min="6" max="6"/>
    <col width="18" customWidth="1" style="31" min="7" max="7"/>
    <col width="14.88" customWidth="1" style="31" min="8" max="8"/>
  </cols>
  <sheetData>
    <row r="1">
      <c r="A1" s="2">
        <f>Pokemon!A1</f>
        <v/>
      </c>
      <c r="B1" s="2">
        <f>Pokemon!B1</f>
        <v/>
      </c>
      <c r="C1" s="2">
        <f>Pokemon!C1</f>
        <v/>
      </c>
      <c r="D1" s="2">
        <f>Pokemon!D1</f>
        <v/>
      </c>
      <c r="E1" s="2">
        <f>Pokemon!E1</f>
        <v/>
      </c>
      <c r="F1" s="2">
        <f>Pokemon!F1</f>
        <v/>
      </c>
      <c r="G1" s="2">
        <f>Pokemon!G1</f>
        <v/>
      </c>
      <c r="H1" s="2">
        <f>Pokemon!H1</f>
        <v/>
      </c>
      <c r="I1" s="2">
        <f>Pokemon!I1</f>
        <v/>
      </c>
      <c r="J1" s="2">
        <f>Pokemon!J1</f>
        <v/>
      </c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</row>
    <row r="2">
      <c r="A2" s="29" t="inlineStr">
        <is>
          <t>NAME_TC_ACETRAINER-M</t>
        </is>
      </c>
      <c r="B2" s="29" t="inlineStr">
        <is>
          <t>Ace Trainer</t>
        </is>
      </c>
      <c r="C2" s="29" t="inlineStr">
        <is>
          <t>エリートトレーナー</t>
        </is>
      </c>
      <c r="D2" s="29" t="inlineStr">
        <is>
          <t>Topdresseur</t>
        </is>
      </c>
      <c r="E2" s="29" t="inlineStr">
        <is>
          <t>Ass-Trainer</t>
        </is>
      </c>
      <c r="F2" s="29" t="inlineStr">
        <is>
          <t>Entrenador guay</t>
        </is>
      </c>
      <c r="G2" s="29" t="inlineStr">
        <is>
          <t>Fantallenatore</t>
        </is>
      </c>
      <c r="H2" s="29" t="inlineStr">
        <is>
          <t>엘리트트레이너</t>
        </is>
      </c>
      <c r="I2" s="29" t="inlineStr">
        <is>
          <t>精英訓練家</t>
        </is>
      </c>
      <c r="J2" s="29">
        <f>IFERROR(__xludf.DUMMYFUNCTION("GOOGLETRANSLATE(I2,""zh_HANT"",""zh_HANS"")"),"精英训练家")</f>
        <v/>
      </c>
    </row>
    <row r="3">
      <c r="A3" s="29" t="inlineStr">
        <is>
          <t>NAME_TC_ACETRAINER-F</t>
        </is>
      </c>
      <c r="B3" s="29">
        <f>B2</f>
        <v/>
      </c>
      <c r="C3" s="29">
        <f>C2</f>
        <v/>
      </c>
      <c r="D3" s="29">
        <f>D2</f>
        <v/>
      </c>
      <c r="E3" s="29">
        <f>CONCATENATE(E2,"in")</f>
        <v/>
      </c>
      <c r="F3" s="29" t="inlineStr">
        <is>
          <t>Entrenadora guay</t>
        </is>
      </c>
      <c r="G3" s="16" t="inlineStr">
        <is>
          <t>Fantallenatrice</t>
        </is>
      </c>
      <c r="H3" s="29">
        <f>H2</f>
        <v/>
      </c>
      <c r="I3" s="29">
        <f>I2</f>
        <v/>
      </c>
      <c r="J3" s="29">
        <f>J2</f>
        <v/>
      </c>
    </row>
    <row r="4">
      <c r="A4" s="29">
        <f>CONCATENATE("NAME_TC_", SUBSTITUTE(UPPER(B4), " ", ""))</f>
        <v/>
      </c>
      <c r="B4" s="29" t="inlineStr">
        <is>
          <t>Beauty</t>
        </is>
      </c>
      <c r="C4" s="29" t="inlineStr">
        <is>
          <t>おとなのおねえさん</t>
        </is>
      </c>
      <c r="D4" s="29" t="inlineStr">
        <is>
          <t>Canon</t>
        </is>
      </c>
      <c r="E4" s="29" t="inlineStr">
        <is>
          <t>Schönheit</t>
        </is>
      </c>
      <c r="F4" s="29" t="inlineStr">
        <is>
          <t>Modelo</t>
        </is>
      </c>
      <c r="G4" s="29" t="inlineStr">
        <is>
          <t>Bellezza</t>
        </is>
      </c>
      <c r="H4" s="29" t="inlineStr">
        <is>
          <t>아가씨</t>
        </is>
      </c>
      <c r="I4" s="29" t="inlineStr">
        <is>
          <t>大姐姐</t>
        </is>
      </c>
      <c r="J4" s="29">
        <f>I4</f>
        <v/>
      </c>
    </row>
    <row r="5">
      <c r="A5" s="29">
        <f>CONCATENATE("NAME_TC_", SUBSTITUTE(UPPER(B5), " ", ""))</f>
        <v/>
      </c>
      <c r="B5" s="29" t="inlineStr">
        <is>
          <t>Biker</t>
        </is>
      </c>
      <c r="C5" s="29" t="inlineStr">
        <is>
          <t>ぼうそうぞく</t>
        </is>
      </c>
      <c r="D5" s="29" t="inlineStr">
        <is>
          <t>Motard</t>
        </is>
      </c>
      <c r="E5" s="29" t="inlineStr">
        <is>
          <t>Rowdy</t>
        </is>
      </c>
      <c r="F5" s="29" t="inlineStr">
        <is>
          <t>Motorista</t>
        </is>
      </c>
      <c r="G5" s="29" t="inlineStr">
        <is>
          <t>Centauro</t>
        </is>
      </c>
      <c r="H5" s="29" t="inlineStr">
        <is>
          <t>폭주족</t>
        </is>
      </c>
      <c r="I5" s="29">
        <f>J5</f>
        <v/>
      </c>
      <c r="J5" s="29" t="inlineStr">
        <is>
          <t>暴走族</t>
        </is>
      </c>
    </row>
    <row r="6">
      <c r="A6" s="29" t="inlineStr">
        <is>
          <t>NAME_TC_BIRDKEEPER-M</t>
        </is>
      </c>
      <c r="B6" s="29" t="inlineStr">
        <is>
          <t>Bird Keeper</t>
        </is>
      </c>
      <c r="C6" s="29" t="inlineStr">
        <is>
          <t>とりつかい</t>
        </is>
      </c>
      <c r="D6" s="29" t="inlineStr">
        <is>
          <t>Ornithologue</t>
        </is>
      </c>
      <c r="E6" s="29" t="inlineStr">
        <is>
          <t>Vogel-Profi</t>
        </is>
      </c>
      <c r="F6" s="29" t="inlineStr">
        <is>
          <t>Ornitólogo</t>
        </is>
      </c>
      <c r="G6" s="29" t="inlineStr">
        <is>
          <t>Avicoltore</t>
        </is>
      </c>
      <c r="H6" s="29" t="inlineStr">
        <is>
          <t>새 조련사</t>
        </is>
      </c>
      <c r="I6" s="29" t="inlineStr">
        <is>
          <t>養鳥人</t>
        </is>
      </c>
      <c r="J6" s="29">
        <f>IFERROR(__xludf.DUMMYFUNCTION("GOOGLETRANSLATE(I6,""zh_HANT"",""zh_HANS"")"),"养鸟人")</f>
        <v/>
      </c>
    </row>
    <row r="7">
      <c r="A7" s="29" t="inlineStr">
        <is>
          <t>NAME_TC_BIRDKEEPER-F</t>
        </is>
      </c>
      <c r="B7" s="29" t="inlineStr">
        <is>
          <t>Bird Keeper</t>
        </is>
      </c>
      <c r="C7" s="29" t="inlineStr">
        <is>
          <t>とりつかい</t>
        </is>
      </c>
      <c r="D7" s="29" t="inlineStr">
        <is>
          <t>Ornithologue</t>
        </is>
      </c>
      <c r="E7" s="29">
        <f>E6</f>
        <v/>
      </c>
      <c r="F7" s="29" t="inlineStr">
        <is>
          <t>Ornitóloga</t>
        </is>
      </c>
      <c r="G7" s="29" t="inlineStr">
        <is>
          <t>Avicoltrice</t>
        </is>
      </c>
      <c r="H7" s="29" t="inlineStr">
        <is>
          <t>새 조련사</t>
        </is>
      </c>
      <c r="I7" s="29" t="inlineStr">
        <is>
          <t>養鳥人</t>
        </is>
      </c>
      <c r="J7" s="29">
        <f>IFERROR(__xludf.DUMMYFUNCTION("GOOGLETRANSLATE(I7,""zh_HANT"",""zh_HANS"")"),"养鸟人")</f>
        <v/>
      </c>
    </row>
    <row r="8">
      <c r="A8" s="29">
        <f>CONCATENATE("NAME_TC_", SUBSTITUTE(UPPER(B8), " ", ""))</f>
        <v/>
      </c>
      <c r="B8" s="29" t="inlineStr">
        <is>
          <t>Black Belt</t>
        </is>
      </c>
      <c r="C8" s="29" t="inlineStr">
        <is>
          <t>カラテおう</t>
        </is>
      </c>
      <c r="D8" s="29" t="inlineStr">
        <is>
          <t>Judoka</t>
        </is>
      </c>
      <c r="E8" s="29" t="inlineStr">
        <is>
          <t>Schwarzgurt</t>
        </is>
      </c>
      <c r="F8" s="29" t="inlineStr">
        <is>
          <t>Karateka</t>
        </is>
      </c>
      <c r="G8" s="29" t="inlineStr">
        <is>
          <t>Citura Nera</t>
        </is>
      </c>
      <c r="H8" s="29" t="inlineStr">
        <is>
          <t>태권왕</t>
        </is>
      </c>
      <c r="I8" s="29" t="inlineStr">
        <is>
          <t>空手道王</t>
        </is>
      </c>
      <c r="J8" s="29">
        <f>I8</f>
        <v/>
      </c>
    </row>
    <row r="9">
      <c r="A9" s="29">
        <f>CONCATENATE("NAME_TC_", SUBSTITUTE(UPPER(B9), " ", ""))</f>
        <v/>
      </c>
      <c r="B9" s="29" t="inlineStr">
        <is>
          <t>Bug Catcher</t>
        </is>
      </c>
      <c r="C9" s="29" t="inlineStr">
        <is>
          <t>むしとりしょうねん</t>
        </is>
      </c>
      <c r="D9" s="29" t="inlineStr">
        <is>
          <t>Scout</t>
        </is>
      </c>
      <c r="E9" s="29" t="inlineStr">
        <is>
          <t>Käfersammler</t>
        </is>
      </c>
      <c r="F9" s="29" t="inlineStr">
        <is>
          <t>Cazabichos</t>
        </is>
      </c>
      <c r="G9" s="29" t="inlineStr">
        <is>
          <t>Pigliamosche</t>
        </is>
      </c>
      <c r="H9" s="29" t="inlineStr">
        <is>
          <t>곤충채집소년</t>
        </is>
      </c>
      <c r="I9" s="29" t="inlineStr">
        <is>
          <t>捕蟲少年</t>
        </is>
      </c>
      <c r="J9" s="29">
        <f>IFERROR(__xludf.DUMMYFUNCTION("GOOGLETRANSLATE(I9,""zh_HANT"",""zh_HANS"")"),"捕虫少年")</f>
        <v/>
      </c>
    </row>
    <row r="10">
      <c r="A10" s="29">
        <f>CONCATENATE("NAME_TC_", SUBSTITUTE(UPPER(B10), " ", ""))</f>
        <v/>
      </c>
      <c r="B10" s="29" t="inlineStr">
        <is>
          <t>Burglar</t>
        </is>
      </c>
      <c r="C10" s="29" t="inlineStr">
        <is>
          <t>かじばどろぼう</t>
        </is>
      </c>
      <c r="D10" s="29" t="inlineStr">
        <is>
          <t>Voleur</t>
        </is>
      </c>
      <c r="E10" s="29" t="inlineStr">
        <is>
          <t>Dieb</t>
        </is>
      </c>
      <c r="F10" s="29" t="inlineStr">
        <is>
          <t>Ladrón</t>
        </is>
      </c>
      <c r="G10" s="29" t="inlineStr">
        <is>
          <t>Scassinatore</t>
        </is>
      </c>
      <c r="H10" s="29" t="inlineStr">
        <is>
          <t>불난집 전문털이범</t>
        </is>
      </c>
      <c r="I10" s="29" t="inlineStr">
        <is>
          <t>趁火打劫者</t>
        </is>
      </c>
      <c r="J10" s="29">
        <f>I10</f>
        <v/>
      </c>
    </row>
    <row r="11">
      <c r="A11" s="29">
        <f>CONCATENATE("NAME_TC_", SUBSTITUTE(UPPER(B11), " ", ""))</f>
        <v/>
      </c>
      <c r="B11" s="29" t="inlineStr">
        <is>
          <t>Camper</t>
        </is>
      </c>
      <c r="C11" s="29" t="inlineStr">
        <is>
          <t>キャンプボーイ</t>
        </is>
      </c>
      <c r="D11" s="29" t="inlineStr">
        <is>
          <t>Campeur</t>
        </is>
      </c>
      <c r="E11" s="29">
        <f>B11</f>
        <v/>
      </c>
      <c r="F11" s="29" t="inlineStr">
        <is>
          <t>Campista</t>
        </is>
      </c>
      <c r="G11" s="29" t="inlineStr">
        <is>
          <t>Campeggiatore</t>
        </is>
      </c>
      <c r="H11" s="29" t="inlineStr">
        <is>
          <t>캠프보이</t>
        </is>
      </c>
      <c r="I11" s="29" t="inlineStr">
        <is>
          <t>露營少年</t>
        </is>
      </c>
      <c r="J11" s="29">
        <f>IFERROR(__xludf.DUMMYFUNCTION("GOOGLETRANSLATE(I11,""zh_HANT"",""zh_HANS"")"),"露营少年")</f>
        <v/>
      </c>
    </row>
    <row r="12">
      <c r="A12" s="29" t="inlineStr">
        <is>
          <t>NAME_TC_CHAMPION-M</t>
        </is>
      </c>
      <c r="B12" s="29">
        <f>CONCATENATE(E12,"ion")</f>
        <v/>
      </c>
      <c r="C12" s="29" t="inlineStr">
        <is>
          <t>チャンピオン</t>
        </is>
      </c>
      <c r="D12" s="29" t="inlineStr">
        <is>
          <t>Maître</t>
        </is>
      </c>
      <c r="E12" s="29" t="inlineStr">
        <is>
          <t>Champ</t>
        </is>
      </c>
      <c r="F12" s="29" t="inlineStr">
        <is>
          <t>Campeón</t>
        </is>
      </c>
      <c r="G12" s="29">
        <f>CONCATENATE(B12,"e")</f>
        <v/>
      </c>
      <c r="H12" s="29" t="inlineStr">
        <is>
          <t>챔피언</t>
        </is>
      </c>
      <c r="I12" s="29" t="inlineStr">
        <is>
          <t>冠軍</t>
        </is>
      </c>
      <c r="J12" s="29">
        <f>IFERROR(__xludf.DUMMYFUNCTION("GOOGLETRANSLATE(I12,""zh_HANT"",""zh_HANS"")"),"冠军")</f>
        <v/>
      </c>
    </row>
    <row r="13">
      <c r="A13" s="29" t="inlineStr">
        <is>
          <t>NAME_TC_CHAMPION-F</t>
        </is>
      </c>
      <c r="B13" s="29">
        <f>B12</f>
        <v/>
      </c>
      <c r="C13" s="29">
        <f>C12</f>
        <v/>
      </c>
      <c r="D13" s="29">
        <f>D12</f>
        <v/>
      </c>
      <c r="E13" s="29">
        <f>E12</f>
        <v/>
      </c>
      <c r="F13" s="29" t="inlineStr">
        <is>
          <t>Campeona</t>
        </is>
      </c>
      <c r="G13" s="29">
        <f>CONCATENATE(G12,"ssa")</f>
        <v/>
      </c>
      <c r="H13" s="29">
        <f>H12</f>
        <v/>
      </c>
      <c r="I13" s="29">
        <f>I12</f>
        <v/>
      </c>
      <c r="J13" s="29">
        <f>J12</f>
        <v/>
      </c>
    </row>
    <row r="14">
      <c r="A14" s="29">
        <f>CONCATENATE("NAME_TC_", SUBSTITUTE(UPPER(B14), " ", ""))</f>
        <v/>
      </c>
      <c r="B14" s="29" t="inlineStr">
        <is>
          <t>Channeler</t>
        </is>
      </c>
      <c r="C14" s="29" t="inlineStr">
        <is>
          <t>きとうし</t>
        </is>
      </c>
      <c r="D14" s="29" t="inlineStr">
        <is>
          <t>Exorciste</t>
        </is>
      </c>
      <c r="E14" s="29" t="inlineStr">
        <is>
          <t>Exorzistin</t>
        </is>
      </c>
      <c r="F14" s="29" t="inlineStr">
        <is>
          <t>Exorcista</t>
        </is>
      </c>
      <c r="G14" s="29">
        <f>B45</f>
        <v/>
      </c>
      <c r="H14" s="29" t="inlineStr">
        <is>
          <t>주술사</t>
        </is>
      </c>
      <c r="I14" s="29" t="inlineStr">
        <is>
          <t>祈禱師</t>
        </is>
      </c>
      <c r="J14" s="29">
        <f>IFERROR(__xludf.DUMMYFUNCTION("GOOGLETRANSLATE(I14,""zh_HANT"",""zh_HANS"")"),"祈祷师")</f>
        <v/>
      </c>
    </row>
    <row r="15">
      <c r="A15" s="29">
        <f>CONCATENATE("NAME_TC_", SUBSTITUTE(UPPER(B15), " ", ""))</f>
        <v/>
      </c>
      <c r="B15" s="29" t="inlineStr">
        <is>
          <t>Elite Four</t>
        </is>
      </c>
      <c r="C15" s="29" t="inlineStr">
        <is>
          <t>してんのう</t>
        </is>
      </c>
      <c r="D15" s="29" t="inlineStr">
        <is>
          <t>Conseil 4</t>
        </is>
      </c>
      <c r="E15" s="29" t="inlineStr">
        <is>
          <t>Top Vier</t>
        </is>
      </c>
      <c r="F15" s="29" t="inlineStr">
        <is>
          <t>Alto Mando</t>
        </is>
      </c>
      <c r="G15" s="29" t="inlineStr">
        <is>
          <t>Superquattro</t>
        </is>
      </c>
      <c r="H15" s="6" t="inlineStr">
        <is>
          <t>사천왕</t>
        </is>
      </c>
      <c r="I15" s="6" t="inlineStr">
        <is>
          <t>四天王</t>
        </is>
      </c>
      <c r="J15" s="29">
        <f>I15</f>
        <v/>
      </c>
    </row>
    <row r="16">
      <c r="A16" s="29">
        <f>CONCATENATE("NAME_TC_", SUBSTITUTE(UPPER(B16), " ", ""))</f>
        <v/>
      </c>
      <c r="B16" s="29" t="inlineStr">
        <is>
          <t>Engineer</t>
        </is>
      </c>
      <c r="C16" s="29" t="inlineStr">
        <is>
          <t>でんきやのオヤジ</t>
        </is>
      </c>
      <c r="D16" s="29" t="inlineStr">
        <is>
          <t>Mécano</t>
        </is>
      </c>
      <c r="E16" s="29" t="inlineStr">
        <is>
          <t>Elektriker</t>
        </is>
      </c>
      <c r="F16" s="29" t="inlineStr">
        <is>
          <t>Mecánico</t>
        </is>
      </c>
      <c r="G16" s="29" t="inlineStr">
        <is>
          <t>Meccanico</t>
        </is>
      </c>
      <c r="H16" s="29" t="inlineStr">
        <is>
          <t>전기 작업원</t>
        </is>
      </c>
      <c r="I16" s="29" t="inlineStr">
        <is>
          <t>電工大叔</t>
        </is>
      </c>
      <c r="J16" s="29">
        <f>IFERROR(__xludf.DUMMYFUNCTION("GOOGLETRANSLATE(I16,""zh_HANT"",""zh_HANS"")"),"电工大叔")</f>
        <v/>
      </c>
    </row>
    <row r="17">
      <c r="A17" s="29">
        <f>CONCATENATE("NAME_TC_", SUBSTITUTE(UPPER(B17), " ", ""))</f>
        <v/>
      </c>
      <c r="B17" s="29" t="inlineStr">
        <is>
          <t>Fisherman</t>
        </is>
      </c>
      <c r="C17" s="29" t="inlineStr">
        <is>
          <t>つりびと</t>
        </is>
      </c>
      <c r="D17" s="29" t="inlineStr">
        <is>
          <t>Pêcheur</t>
        </is>
      </c>
      <c r="E17" s="29" t="inlineStr">
        <is>
          <t>Angler</t>
        </is>
      </c>
      <c r="F17" s="29" t="inlineStr">
        <is>
          <t>Pescador</t>
        </is>
      </c>
      <c r="G17" s="29" t="inlineStr">
        <is>
          <t>Pescatore</t>
        </is>
      </c>
      <c r="H17" s="29" t="inlineStr">
        <is>
          <t>낚시꾼</t>
        </is>
      </c>
      <c r="I17" s="29" t="inlineStr">
        <is>
          <t>釣魚者</t>
        </is>
      </c>
      <c r="J17" s="29" t="inlineStr">
        <is>
          <t>垂钓者</t>
        </is>
      </c>
    </row>
    <row r="18">
      <c r="A18" s="29">
        <f>CONCATENATE("NAME_TC_", SUBSTITUTE(UPPER(B18), " ", ""))</f>
        <v/>
      </c>
      <c r="B18" s="29" t="inlineStr">
        <is>
          <t>Gambler</t>
        </is>
      </c>
      <c r="C18" s="29" t="inlineStr">
        <is>
          <t>ギャンブラー</t>
        </is>
      </c>
      <c r="D18" s="29" t="inlineStr">
        <is>
          <t>Croupier</t>
        </is>
      </c>
      <c r="E18" s="29" t="inlineStr">
        <is>
          <t>Rollenspieler</t>
        </is>
      </c>
      <c r="F18" s="29" t="inlineStr">
        <is>
          <t>Jugón</t>
        </is>
      </c>
      <c r="G18" s="29" t="inlineStr">
        <is>
          <t>Rischiatutto</t>
        </is>
      </c>
      <c r="H18" s="29" t="inlineStr">
        <is>
          <t>갬블러</t>
        </is>
      </c>
      <c r="I18" s="29" t="inlineStr">
        <is>
          <t>賭徒</t>
        </is>
      </c>
      <c r="J18" s="29">
        <f>IFERROR(__xludf.DUMMYFUNCTION("GOOGLETRANSLATE(I18,""zh_HANT"",""zh_HANS"")"),"赌徒")</f>
        <v/>
      </c>
    </row>
    <row r="19">
      <c r="A19" s="29">
        <f>CONCATENATE("NAME_TC_", SUBSTITUTE(UPPER(B19), " ", ""))</f>
        <v/>
      </c>
      <c r="B19" s="29" t="inlineStr">
        <is>
          <t>Gentleman</t>
        </is>
      </c>
      <c r="C19" s="29" t="inlineStr">
        <is>
          <t>ジェントルマン</t>
        </is>
      </c>
      <c r="D19" s="29">
        <f>B19</f>
        <v/>
      </c>
      <c r="E19" s="29">
        <f>B19</f>
        <v/>
      </c>
      <c r="F19" s="29" t="inlineStr">
        <is>
          <t>Aristócrata</t>
        </is>
      </c>
      <c r="G19" s="29" t="inlineStr">
        <is>
          <t>Gentiluomo</t>
        </is>
      </c>
      <c r="H19" s="29" t="inlineStr">
        <is>
          <t>신사</t>
        </is>
      </c>
      <c r="I19" s="29" t="inlineStr">
        <is>
          <t>紳士</t>
        </is>
      </c>
      <c r="J19" s="29">
        <f>IFERROR(__xludf.DUMMYFUNCTION("GOOGLETRANSLATE(I19,""zh_HANT"",""zh_HANS"")"),"绅士")</f>
        <v/>
      </c>
    </row>
    <row r="20">
      <c r="A20" s="29" t="inlineStr">
        <is>
          <t>NAME_TC_GYMLEADER-M</t>
        </is>
      </c>
      <c r="B20" s="29" t="inlineStr">
        <is>
          <t>Gym Leader</t>
        </is>
      </c>
      <c r="C20" s="29" t="inlineStr">
        <is>
          <t>ジムリーダー</t>
        </is>
      </c>
      <c r="D20" s="29" t="inlineStr">
        <is>
          <t>Champion d'Arène</t>
        </is>
      </c>
      <c r="E20" s="29" t="inlineStr">
        <is>
          <t>Arenaleiter</t>
        </is>
      </c>
      <c r="F20" s="29" t="inlineStr">
        <is>
          <t>Líder de gimnasio</t>
        </is>
      </c>
      <c r="G20" s="29" t="inlineStr">
        <is>
          <t>Capopalestra</t>
        </is>
      </c>
      <c r="H20" s="4" t="inlineStr">
        <is>
          <t>체육관 관장</t>
        </is>
      </c>
      <c r="I20" s="6" t="inlineStr">
        <is>
          <t>道館館主</t>
        </is>
      </c>
      <c r="J20" s="29">
        <f>IFERROR(__xludf.DUMMYFUNCTION("GOOGLETRANSLATE(I20,""zh_HANT"",""zh_HANS"")"),"道馆馆主")</f>
        <v/>
      </c>
    </row>
    <row r="21">
      <c r="A21" s="29" t="inlineStr">
        <is>
          <t>NAME_TC_GYMLEADER-F</t>
        </is>
      </c>
      <c r="B21" s="29">
        <f>B20</f>
        <v/>
      </c>
      <c r="C21" s="29">
        <f>C20</f>
        <v/>
      </c>
      <c r="D21" s="29" t="inlineStr">
        <is>
          <t>Championne d'Arène</t>
        </is>
      </c>
      <c r="E21" s="29">
        <f>CONCATENATE(E20,"in")</f>
        <v/>
      </c>
      <c r="F21" s="29">
        <f>F20</f>
        <v/>
      </c>
      <c r="G21" s="29">
        <f>G20</f>
        <v/>
      </c>
      <c r="H21" s="29">
        <f>H20</f>
        <v/>
      </c>
      <c r="I21" s="29">
        <f>I20</f>
        <v/>
      </c>
      <c r="J21" s="29">
        <f>J20</f>
        <v/>
      </c>
    </row>
    <row r="22">
      <c r="A22" s="29">
        <f>CONCATENATE("NAME_TC_", SUBSTITUTE(UPPER(B22), " ", ""))</f>
        <v/>
      </c>
      <c r="B22" s="29" t="inlineStr">
        <is>
          <t>Hiker</t>
        </is>
      </c>
      <c r="C22" s="29" t="inlineStr">
        <is>
          <t>やまおとこ</t>
        </is>
      </c>
      <c r="D22" s="29" t="inlineStr">
        <is>
          <t>Montagnard</t>
        </is>
      </c>
      <c r="E22" s="29" t="inlineStr">
        <is>
          <t>Wanderer</t>
        </is>
      </c>
      <c r="F22" s="29" t="inlineStr">
        <is>
          <t>Montañero</t>
        </is>
      </c>
      <c r="G22" s="29" t="inlineStr">
        <is>
          <t>Montanaro</t>
        </is>
      </c>
      <c r="H22" s="29" t="inlineStr">
        <is>
          <t>등산가</t>
        </is>
      </c>
      <c r="I22" s="29" t="inlineStr">
        <is>
          <t>登山男</t>
        </is>
      </c>
      <c r="J22" s="29">
        <f>I22</f>
        <v/>
      </c>
    </row>
    <row r="23">
      <c r="A23" s="29">
        <f>CONCATENATE("NAME_TC_", SUBSTITUTE(UPPER(B23), " ", ""))</f>
        <v/>
      </c>
      <c r="B23" s="29" t="inlineStr">
        <is>
          <t>Juggler</t>
        </is>
      </c>
      <c r="C23" s="29" t="inlineStr">
        <is>
          <t>ジャグラー</t>
        </is>
      </c>
      <c r="D23" s="29" t="inlineStr">
        <is>
          <t>Jongleur</t>
        </is>
      </c>
      <c r="E23" s="29">
        <f>D23</f>
        <v/>
      </c>
      <c r="F23" s="29" t="inlineStr">
        <is>
          <t>Malabarista</t>
        </is>
      </c>
      <c r="G23" s="29" t="inlineStr">
        <is>
          <t>Giocoliere</t>
        </is>
      </c>
      <c r="H23" s="29" t="inlineStr">
        <is>
          <t>저글러</t>
        </is>
      </c>
      <c r="I23" s="29" t="inlineStr">
        <is>
          <t>雜耍藝人</t>
        </is>
      </c>
      <c r="J23" s="29">
        <f>IFERROR(__xludf.DUMMYFUNCTION("GOOGLETRANSLATE(I23,""zh_HANT"",""zh_HANS"")"),"杂耍艺人")</f>
        <v/>
      </c>
    </row>
    <row r="24">
      <c r="A24" s="29">
        <f>CONCATENATE("NAME_TC_", SUBSTITUTE(UPPER(B24), " ", ""))</f>
        <v/>
      </c>
      <c r="B24" s="29" t="inlineStr">
        <is>
          <t>Lass</t>
        </is>
      </c>
      <c r="C24" s="29" t="inlineStr">
        <is>
          <t>ミニスカート</t>
        </is>
      </c>
      <c r="D24" s="29" t="inlineStr">
        <is>
          <t>Fillette</t>
        </is>
      </c>
      <c r="E24" s="29" t="inlineStr">
        <is>
          <t>Göre</t>
        </is>
      </c>
      <c r="F24" s="29" t="inlineStr">
        <is>
          <t>Chica</t>
        </is>
      </c>
      <c r="G24" s="29" t="inlineStr">
        <is>
          <t>Teenager</t>
        </is>
      </c>
      <c r="H24" s="29" t="inlineStr">
        <is>
          <t>짧은 치마</t>
        </is>
      </c>
      <c r="I24" s="29" t="inlineStr">
        <is>
          <t>迷你裙</t>
        </is>
      </c>
      <c r="J24" s="29">
        <f>I24</f>
        <v/>
      </c>
    </row>
    <row r="25">
      <c r="A25" s="29">
        <f>CONCATENATE("NAME_TC_", SUBSTITUTE(UPPER(B25), " ", ""))</f>
        <v/>
      </c>
      <c r="B25" s="29" t="inlineStr">
        <is>
          <t>Picnicker</t>
        </is>
      </c>
      <c r="C25" s="29" t="inlineStr">
        <is>
          <t>ピクニックガール</t>
        </is>
      </c>
      <c r="D25" s="29" t="inlineStr">
        <is>
          <t>Pique-Nique</t>
        </is>
      </c>
      <c r="E25" s="29">
        <f>B25</f>
        <v/>
      </c>
      <c r="F25" s="29" t="inlineStr">
        <is>
          <t>Dominguera</t>
        </is>
      </c>
      <c r="G25" s="29" t="inlineStr">
        <is>
          <t>Picnicker</t>
        </is>
      </c>
      <c r="H25" s="6" t="inlineStr">
        <is>
          <t>피크닉걸</t>
        </is>
      </c>
      <c r="I25" s="6" t="inlineStr">
        <is>
          <t>野餐女孩</t>
        </is>
      </c>
      <c r="J25" s="29">
        <f>I25</f>
        <v/>
      </c>
    </row>
    <row r="26">
      <c r="A26" s="29" t="inlineStr">
        <is>
          <t>NAME_TC_POKEMANIAC</t>
        </is>
      </c>
      <c r="B26" s="29" t="inlineStr">
        <is>
          <t>Poké Maniac</t>
        </is>
      </c>
      <c r="C26" s="29" t="inlineStr">
        <is>
          <t>かいじゅうマニア</t>
        </is>
      </c>
      <c r="D26" s="29" t="inlineStr">
        <is>
          <t>Pokémaniac</t>
        </is>
      </c>
      <c r="E26" s="29">
        <f>D26</f>
        <v/>
      </c>
      <c r="F26" s="29" t="inlineStr">
        <is>
          <t>Pokémaníaco</t>
        </is>
      </c>
      <c r="G26" s="29" t="inlineStr">
        <is>
          <t>Pokéfanatico</t>
        </is>
      </c>
      <c r="H26" s="6" t="inlineStr">
        <is>
          <t>포켓몬 매니아</t>
        </is>
      </c>
      <c r="I26" s="6" t="inlineStr">
        <is>
          <t>怪獸狂</t>
        </is>
      </c>
      <c r="J26" s="29">
        <f>IFERROR(__xludf.DUMMYFUNCTION("GOOGLETRANSLATE(I26,""zh_HANT"",""zh_HANS"")"),"怪兽狂")</f>
        <v/>
      </c>
    </row>
    <row r="27">
      <c r="A27" s="29" t="inlineStr">
        <is>
          <t>NAME_TC_PSYCHIC-M</t>
        </is>
      </c>
      <c r="B27" s="29" t="inlineStr">
        <is>
          <t>Psychic</t>
        </is>
      </c>
      <c r="C27" s="29" t="inlineStr">
        <is>
          <t>サイキッカー</t>
        </is>
      </c>
      <c r="D27" s="29" t="inlineStr">
        <is>
          <t>Kinésiste</t>
        </is>
      </c>
      <c r="E27" s="29" t="inlineStr">
        <is>
          <t>Seher</t>
        </is>
      </c>
      <c r="F27" s="29" t="inlineStr">
        <is>
          <t>Médium</t>
        </is>
      </c>
      <c r="G27" s="29" t="inlineStr">
        <is>
          <t>Sensitivo</t>
        </is>
      </c>
      <c r="H27" s="29" t="inlineStr">
        <is>
          <t>초능력자</t>
        </is>
      </c>
      <c r="I27" s="29" t="inlineStr">
        <is>
          <t>超能力者</t>
        </is>
      </c>
      <c r="J27" s="29">
        <f>I27</f>
        <v/>
      </c>
    </row>
    <row r="28">
      <c r="A28" s="29" t="inlineStr">
        <is>
          <t>NAME_TC_PSYCHIC-F</t>
        </is>
      </c>
      <c r="B28" s="29">
        <f>B27</f>
        <v/>
      </c>
      <c r="C28" s="29">
        <f>C27</f>
        <v/>
      </c>
      <c r="D28" s="29">
        <f>D27</f>
        <v/>
      </c>
      <c r="E28" s="29">
        <f>CONCATENATE(E27,"in")</f>
        <v/>
      </c>
      <c r="F28" s="29" t="inlineStr">
        <is>
          <t>Médium</t>
        </is>
      </c>
      <c r="G28" s="29">
        <f>G27</f>
        <v/>
      </c>
      <c r="H28" s="29">
        <f>H27</f>
        <v/>
      </c>
      <c r="I28" s="29">
        <f>I27</f>
        <v/>
      </c>
      <c r="J28" s="29">
        <f>J27</f>
        <v/>
      </c>
    </row>
    <row r="29">
      <c r="A29" s="29">
        <f>CONCATENATE("NAME_TC_", SUBSTITUTE(UPPER(B29), " ", ""))</f>
        <v/>
      </c>
      <c r="B29" s="29" t="inlineStr">
        <is>
          <t>Rival</t>
        </is>
      </c>
      <c r="C29" s="29" t="inlineStr">
        <is>
          <t>ライバル</t>
        </is>
      </c>
      <c r="D29" s="29">
        <f>B29</f>
        <v/>
      </c>
      <c r="E29" s="29">
        <f>G29</f>
        <v/>
      </c>
      <c r="F29" s="29">
        <f>B29</f>
        <v/>
      </c>
      <c r="G29" s="29" t="inlineStr">
        <is>
          <t xml:space="preserve">Rivale </t>
        </is>
      </c>
      <c r="H29" s="6" t="inlineStr">
        <is>
          <t>라이벌</t>
        </is>
      </c>
      <c r="I29" s="6" t="inlineStr">
        <is>
          <t>勁敵</t>
        </is>
      </c>
      <c r="J29" s="29">
        <f>IFERROR(__xludf.DUMMYFUNCTION("GOOGLETRANSLATE(I29,""zh_HANT"",""zh_HANS"")"),"劲敌")</f>
        <v/>
      </c>
    </row>
    <row r="30">
      <c r="A30" s="29">
        <f>CONCATENATE("NAME_TC_", SUBSTITUTE(UPPER(B30), " ", ""))</f>
        <v/>
      </c>
      <c r="B30" s="29" t="inlineStr">
        <is>
          <t>Rocker</t>
        </is>
      </c>
      <c r="C30" s="29" t="inlineStr">
        <is>
          <t>でんきグループ</t>
        </is>
      </c>
      <c r="D30" s="29" t="inlineStr">
        <is>
          <t>Électricien</t>
        </is>
      </c>
      <c r="E30" s="29" t="inlineStr">
        <is>
          <t>Elektro-Musiker</t>
        </is>
      </c>
      <c r="F30" s="29" t="inlineStr">
        <is>
          <t>Técnico</t>
        </is>
      </c>
      <c r="G30" s="29" t="inlineStr">
        <is>
          <t>Tecnico del suono</t>
        </is>
      </c>
      <c r="H30" s="29" t="inlineStr">
        <is>
          <t>전기그룹</t>
        </is>
      </c>
      <c r="I30" s="29" t="inlineStr">
        <is>
          <t>電氣搖滾團</t>
        </is>
      </c>
      <c r="J30" s="29">
        <f>IFERROR(__xludf.DUMMYFUNCTION("GOOGLETRANSLATE(I30,""zh_HANT"",""zh_HANS"")"),"电气摇滚团")</f>
        <v/>
      </c>
    </row>
    <row r="31">
      <c r="A31" s="29">
        <f>CONCATENATE("NAME_TC_", SUBSTITUTE(UPPER(B31), " ", ""))</f>
        <v/>
      </c>
      <c r="B31" s="29" t="inlineStr">
        <is>
          <t>Roughneck</t>
        </is>
      </c>
      <c r="C31" s="29" t="inlineStr">
        <is>
          <t>スキンヘッズ</t>
        </is>
      </c>
      <c r="D31" s="29" t="inlineStr">
        <is>
          <t>Loubard</t>
        </is>
      </c>
      <c r="E31" s="29" t="inlineStr">
        <is>
          <t>Raufbold</t>
        </is>
      </c>
      <c r="F31" s="29" t="inlineStr">
        <is>
          <t>Calvo</t>
        </is>
      </c>
      <c r="G31" s="29" t="inlineStr">
        <is>
          <t>Zuccapelata</t>
        </is>
      </c>
      <c r="H31" s="29" t="inlineStr">
        <is>
          <t>빡빡이</t>
        </is>
      </c>
      <c r="I31" s="29" t="inlineStr">
        <is>
          <t>光頭男</t>
        </is>
      </c>
      <c r="J31" s="29">
        <f>IFERROR(__xludf.DUMMYFUNCTION("GOOGLETRANSLATE(I31,""zh_HANT"",""zh_HANS"")"),"光头男")</f>
        <v/>
      </c>
    </row>
    <row r="32">
      <c r="A32" s="29">
        <f>CONCATENATE("NAME_TC_", SUBSTITUTE(UPPER(B32), " ", ""))</f>
        <v/>
      </c>
      <c r="B32" s="29" t="inlineStr">
        <is>
          <t>Sailor</t>
        </is>
      </c>
      <c r="C32" s="29" t="inlineStr">
        <is>
          <t>ふなのり</t>
        </is>
      </c>
      <c r="D32" s="29" t="inlineStr">
        <is>
          <t>Marin</t>
        </is>
      </c>
      <c r="E32" s="29" t="inlineStr">
        <is>
          <t>Matrose</t>
        </is>
      </c>
      <c r="F32" s="29" t="inlineStr">
        <is>
          <t>Marinero</t>
        </is>
      </c>
      <c r="G32" s="29" t="inlineStr">
        <is>
          <t>Marinaio</t>
        </is>
      </c>
      <c r="H32" s="29" t="inlineStr">
        <is>
          <t>선원</t>
        </is>
      </c>
      <c r="I32" s="29" t="inlineStr">
        <is>
          <t>水手</t>
        </is>
      </c>
      <c r="J32" s="29">
        <f>I32</f>
        <v/>
      </c>
    </row>
    <row r="33">
      <c r="A33" s="29" t="inlineStr">
        <is>
          <t>NAME_TC_SCIENTIST-M</t>
        </is>
      </c>
      <c r="B33" s="29" t="inlineStr">
        <is>
          <t>Scientist</t>
        </is>
      </c>
      <c r="C33" s="29" t="inlineStr">
        <is>
          <t>けんきゅういん</t>
        </is>
      </c>
      <c r="D33" s="29" t="inlineStr">
        <is>
          <t>Scientifique</t>
        </is>
      </c>
      <c r="E33" s="29" t="inlineStr">
        <is>
          <t>Forscher</t>
        </is>
      </c>
      <c r="F33" s="29" t="inlineStr">
        <is>
          <t>Científico</t>
        </is>
      </c>
      <c r="G33" s="29" t="inlineStr">
        <is>
          <t>Scienziato</t>
        </is>
      </c>
      <c r="H33" s="29" t="inlineStr">
        <is>
          <t>연구원</t>
        </is>
      </c>
      <c r="I33" s="29" t="inlineStr">
        <is>
          <t>研究員</t>
        </is>
      </c>
      <c r="J33" s="29">
        <f>IFERROR(__xludf.DUMMYFUNCTION("GOOGLETRANSLATE(I33,""zh_HANT"",""zh_HANS"")"),"研究员")</f>
        <v/>
      </c>
    </row>
    <row r="34">
      <c r="A34" s="29" t="inlineStr">
        <is>
          <t>NAME_TC_SCIENTIST-F</t>
        </is>
      </c>
      <c r="B34" s="29">
        <f>B33</f>
        <v/>
      </c>
      <c r="C34" s="29">
        <f>C33</f>
        <v/>
      </c>
      <c r="D34" s="29">
        <f>D33</f>
        <v/>
      </c>
      <c r="E34" s="29">
        <f>CONCATENATE(E33,"in")</f>
        <v/>
      </c>
      <c r="F34" s="29" t="inlineStr">
        <is>
          <t>Científica</t>
        </is>
      </c>
      <c r="G34" s="29" t="inlineStr">
        <is>
          <t>Scienziata</t>
        </is>
      </c>
      <c r="H34" s="29">
        <f>H33</f>
        <v/>
      </c>
      <c r="I34" s="29">
        <f>I33</f>
        <v/>
      </c>
      <c r="J34" s="29">
        <f>J33</f>
        <v/>
      </c>
    </row>
    <row r="35">
      <c r="A35" s="29">
        <f>CONCATENATE("NAME_TC_", SUBSTITUTE(UPPER(B35), " ", ""))</f>
        <v/>
      </c>
      <c r="B35" s="29" t="inlineStr">
        <is>
          <t>Super Nerd</t>
        </is>
      </c>
      <c r="C35" s="29" t="inlineStr">
        <is>
          <t>りかけいのおとこ</t>
        </is>
      </c>
      <c r="D35" s="29" t="inlineStr">
        <is>
          <t>Intello</t>
        </is>
      </c>
      <c r="E35" s="29" t="inlineStr">
        <is>
          <t>Streber</t>
        </is>
      </c>
      <c r="F35" s="29" t="inlineStr">
        <is>
          <t>Cerebrito</t>
        </is>
      </c>
      <c r="G35" s="29" t="inlineStr">
        <is>
          <t>Cervellone</t>
        </is>
      </c>
      <c r="H35" s="29" t="inlineStr">
        <is>
          <t>이과계의 남자</t>
        </is>
      </c>
      <c r="I35" s="29" t="inlineStr">
        <is>
          <t>理科男</t>
        </is>
      </c>
      <c r="J35" s="29">
        <f>I35</f>
        <v/>
      </c>
    </row>
    <row r="36">
      <c r="A36" s="29" t="inlineStr">
        <is>
          <t>NAME_TC_SWIMMER-M</t>
        </is>
      </c>
      <c r="B36" s="29" t="inlineStr">
        <is>
          <t>Swimmer</t>
        </is>
      </c>
      <c r="C36" s="29" t="inlineStr">
        <is>
          <t>かいパンやろう</t>
        </is>
      </c>
      <c r="D36" s="29" t="inlineStr">
        <is>
          <t>Nageur</t>
        </is>
      </c>
      <c r="E36" s="29" t="inlineStr">
        <is>
          <t>Schwimmer</t>
        </is>
      </c>
      <c r="F36" s="29" t="inlineStr">
        <is>
          <t>Nadador</t>
        </is>
      </c>
      <c r="G36" s="29" t="inlineStr">
        <is>
          <t xml:space="preserve">Nuotatore </t>
        </is>
      </c>
      <c r="H36" s="29" t="inlineStr">
        <is>
          <t>수영팬티 소년</t>
        </is>
      </c>
      <c r="I36" s="29" t="inlineStr">
        <is>
          <t>泳褲小伙子</t>
        </is>
      </c>
      <c r="J36" s="29">
        <f>IFERROR(__xludf.DUMMYFUNCTION("GOOGLETRANSLATE(I36,""zh_HANT"",""zh_HANS"")"),"泳裤小伙子")</f>
        <v/>
      </c>
    </row>
    <row r="37">
      <c r="A37" s="29" t="inlineStr">
        <is>
          <t>NAME_TC_SWIMMER-F</t>
        </is>
      </c>
      <c r="B37" s="29">
        <f>B36</f>
        <v/>
      </c>
      <c r="C37" s="29" t="inlineStr">
        <is>
          <t>ビキニのおねえさん</t>
        </is>
      </c>
      <c r="D37" s="29" t="inlineStr">
        <is>
          <t>Nageuse</t>
        </is>
      </c>
      <c r="E37" s="29" t="inlineStr">
        <is>
          <t>Schwimmerin</t>
        </is>
      </c>
      <c r="F37" s="29" t="inlineStr">
        <is>
          <t>Nadadora</t>
        </is>
      </c>
      <c r="G37" s="29" t="inlineStr">
        <is>
          <t xml:space="preserve">Nuotatrice </t>
        </is>
      </c>
      <c r="H37" s="29" t="inlineStr">
        <is>
          <t>비키니 아가씨</t>
        </is>
      </c>
      <c r="I37" s="29" t="inlineStr">
        <is>
          <t>比基尼姐姐</t>
        </is>
      </c>
      <c r="J37" s="29">
        <f>I37</f>
        <v/>
      </c>
    </row>
    <row r="38">
      <c r="A38" s="29">
        <f>CONCATENATE("NAME_TC_", SUBSTITUTE(UPPER(B38), " ", ""))</f>
        <v/>
      </c>
      <c r="B38" s="29" t="inlineStr">
        <is>
          <t>Tamer</t>
        </is>
      </c>
      <c r="C38" s="29" t="inlineStr">
        <is>
          <t>もうじゅうつかい</t>
        </is>
      </c>
      <c r="D38" s="29" t="inlineStr">
        <is>
          <t>Dompteur</t>
        </is>
      </c>
      <c r="E38" s="29">
        <f>D38</f>
        <v/>
      </c>
      <c r="F38" s="29" t="inlineStr">
        <is>
          <t>Domador</t>
        </is>
      </c>
      <c r="G38" s="29" t="inlineStr">
        <is>
          <t>Domatore</t>
        </is>
      </c>
      <c r="H38" s="6" t="inlineStr">
        <is>
          <t>맹수 조련사</t>
        </is>
      </c>
      <c r="I38" s="6" t="inlineStr">
        <is>
          <t>馴獸師</t>
        </is>
      </c>
      <c r="J38" s="29">
        <f>IFERROR(__xludf.DUMMYFUNCTION("GOOGLETRANSLATE(I38,""zh_HANT"",""zh_HANS"")"),"驯兽师")</f>
        <v/>
      </c>
    </row>
    <row r="39">
      <c r="A39" s="29">
        <f>CONCATENATE("NAME_TC_", SUBSTITUTE(UPPER(B39), " ", ""))</f>
        <v/>
      </c>
      <c r="B39" s="29" t="inlineStr">
        <is>
          <t>Youngster</t>
        </is>
      </c>
      <c r="C39" s="29" t="inlineStr">
        <is>
          <t>たんぱんこぞう</t>
        </is>
      </c>
      <c r="D39" s="29" t="inlineStr">
        <is>
          <t>Gamin</t>
        </is>
      </c>
      <c r="E39" s="29" t="inlineStr">
        <is>
          <t>Knirps</t>
        </is>
      </c>
      <c r="F39" s="29" t="inlineStr">
        <is>
          <t>Joven</t>
        </is>
      </c>
      <c r="G39" s="29" t="inlineStr">
        <is>
          <t>Marmocchio</t>
        </is>
      </c>
      <c r="H39" s="6" t="inlineStr">
        <is>
          <t>반바지 꼬마</t>
        </is>
      </c>
      <c r="I39" s="6" t="inlineStr">
        <is>
          <t>短褲小子</t>
        </is>
      </c>
      <c r="J39" s="29">
        <f>IFERROR(__xludf.DUMMYFUNCTION("GOOGLETRANSLATE(I39,""zh_HANT"",""zh_HANS"")"),"短裤小子")</f>
        <v/>
      </c>
    </row>
    <row r="40">
      <c r="A40" s="29">
        <f>CONCATENATE("NAME_TC_", SUBSTITUTE(UPPER(B40), " ", ""))</f>
        <v/>
      </c>
      <c r="B40" s="29" t="inlineStr">
        <is>
          <t>Boarder</t>
        </is>
      </c>
      <c r="C40" s="29" t="inlineStr">
        <is>
          <t>ボーダー</t>
        </is>
      </c>
      <c r="D40" s="29" t="inlineStr">
        <is>
          <t>Surfer</t>
        </is>
      </c>
      <c r="E40" s="29" t="inlineStr">
        <is>
          <t>Snowboarder</t>
        </is>
      </c>
      <c r="F40" s="29" t="inlineStr">
        <is>
          <t>Snow-boarder</t>
        </is>
      </c>
      <c r="G40" s="29">
        <f>E40</f>
        <v/>
      </c>
      <c r="H40" s="6" t="inlineStr">
        <is>
          <t>보더</t>
        </is>
      </c>
      <c r="I40" s="29">
        <f>IFERROR(__xludf.DUMMYFUNCTION("GOOGLETRANSLATE(J40,""zh_HANS"",""zh_HANT"")"),"單板玩家")</f>
        <v/>
      </c>
      <c r="J40" s="29" t="inlineStr">
        <is>
          <t>单板玩家</t>
        </is>
      </c>
    </row>
    <row r="41">
      <c r="A41" s="29">
        <f>CONCATENATE("NAME_TC_", SUBSTITUTE(UPPER(B41), " ", ""))</f>
        <v/>
      </c>
      <c r="B41" s="29" t="inlineStr">
        <is>
          <t>Firebreather</t>
        </is>
      </c>
      <c r="C41" s="29" t="inlineStr">
        <is>
          <t>ひふきやろう</t>
        </is>
      </c>
      <c r="D41" s="29" t="inlineStr">
        <is>
          <t>Crache-Feu</t>
        </is>
      </c>
      <c r="E41" s="29" t="inlineStr">
        <is>
          <t>Feuerspucker</t>
        </is>
      </c>
      <c r="F41" s="29" t="inlineStr">
        <is>
          <t>Comefuego</t>
        </is>
      </c>
      <c r="G41" s="29" t="inlineStr">
        <is>
          <t>Mangiafuoco</t>
        </is>
      </c>
      <c r="H41" s="29" t="inlineStr">
        <is>
          <t>불놀이꾼</t>
        </is>
      </c>
      <c r="I41" s="29">
        <f>IFERROR(__xludf.DUMMYFUNCTION("GOOGLETRANSLATE(J41,""zh_HANS"",""zh_HANT"")"),"噴火者")</f>
        <v/>
      </c>
      <c r="J41" s="29" t="inlineStr">
        <is>
          <t>喷火者</t>
        </is>
      </c>
    </row>
    <row r="42">
      <c r="A42" s="29" t="inlineStr">
        <is>
          <t>NAME_TC_GUITARIST-M</t>
        </is>
      </c>
      <c r="B42" s="29" t="inlineStr">
        <is>
          <t>Guitarist</t>
        </is>
      </c>
      <c r="C42" s="29" t="inlineStr">
        <is>
          <t>ギタリスト</t>
        </is>
      </c>
      <c r="D42" s="29" t="inlineStr">
        <is>
          <t>Guitariste</t>
        </is>
      </c>
      <c r="E42" s="29" t="inlineStr">
        <is>
          <t>Gitarrist</t>
        </is>
      </c>
      <c r="F42" s="29" t="inlineStr">
        <is>
          <t>Guitarrista</t>
        </is>
      </c>
      <c r="G42" s="29" t="inlineStr">
        <is>
          <t>Chitarrista</t>
        </is>
      </c>
      <c r="H42" s="29" t="inlineStr">
        <is>
          <t>기타리스트</t>
        </is>
      </c>
      <c r="I42" s="29" t="inlineStr">
        <is>
          <t>吉他手</t>
        </is>
      </c>
      <c r="J42" s="29">
        <f>I42</f>
        <v/>
      </c>
    </row>
    <row r="43">
      <c r="A43" s="29" t="inlineStr">
        <is>
          <t>NAME_TC_GUITARIST-F</t>
        </is>
      </c>
      <c r="B43" s="29">
        <f>B42</f>
        <v/>
      </c>
      <c r="C43" s="29">
        <f>C42</f>
        <v/>
      </c>
      <c r="D43" s="29">
        <f>D42</f>
        <v/>
      </c>
      <c r="E43" s="29">
        <f>CONCATENATE(E42,"in")</f>
        <v/>
      </c>
      <c r="F43" s="29">
        <f>F42</f>
        <v/>
      </c>
      <c r="G43" s="29">
        <f>G42</f>
        <v/>
      </c>
      <c r="H43" s="29">
        <f>H42</f>
        <v/>
      </c>
      <c r="I43" s="29" t="inlineStr">
        <is>
          <t>吉她手</t>
        </is>
      </c>
      <c r="J43" s="29">
        <f>I43</f>
        <v/>
      </c>
    </row>
    <row r="44">
      <c r="A44" s="29">
        <f>CONCATENATE("NAME_TC_", SUBSTITUTE(UPPER(B44), " ", ""))</f>
        <v/>
      </c>
      <c r="B44" s="29" t="inlineStr">
        <is>
          <t>Kimono Girl</t>
        </is>
      </c>
      <c r="C44" s="29" t="inlineStr">
        <is>
          <t>まいこはん</t>
        </is>
      </c>
      <c r="D44" s="29" t="inlineStr">
        <is>
          <t>Kimono</t>
        </is>
      </c>
      <c r="E44" s="29" t="inlineStr">
        <is>
          <t>Kimono-Girl</t>
        </is>
      </c>
      <c r="F44" s="29" t="inlineStr">
        <is>
          <t>Chica Kimono</t>
        </is>
      </c>
      <c r="G44" s="29">
        <f>B44</f>
        <v/>
      </c>
      <c r="H44" s="29" t="inlineStr">
        <is>
          <t>전통무용수</t>
        </is>
      </c>
      <c r="I44" s="29" t="inlineStr">
        <is>
          <t>和服女孩</t>
        </is>
      </c>
      <c r="J44" s="29">
        <f>I44</f>
        <v/>
      </c>
    </row>
    <row r="45">
      <c r="A45" s="29">
        <f>CONCATENATE("NAME_TC_", SUBSTITUTE(UPPER(B45), " ", ""))</f>
        <v/>
      </c>
      <c r="B45" s="29" t="inlineStr">
        <is>
          <t>Medium</t>
        </is>
      </c>
      <c r="C45" s="29" t="inlineStr">
        <is>
          <t>イタコ</t>
        </is>
      </c>
      <c r="D45" s="29" t="inlineStr">
        <is>
          <t>Médium</t>
        </is>
      </c>
      <c r="E45" s="29">
        <f>B45</f>
        <v/>
      </c>
      <c r="F45" s="29" t="inlineStr">
        <is>
          <t>Mentalista</t>
        </is>
      </c>
      <c r="G45" s="29" t="inlineStr">
        <is>
          <t>Sensitiva</t>
        </is>
      </c>
      <c r="H45" s="29" t="inlineStr">
        <is>
          <t>무당</t>
        </is>
      </c>
      <c r="I45" s="29" t="inlineStr">
        <is>
          <t>神婆</t>
        </is>
      </c>
      <c r="J45" s="29">
        <f>I45</f>
        <v/>
      </c>
    </row>
    <row r="46">
      <c r="A46" s="28" t="inlineStr">
        <is>
          <t>NAME_TC_POKEFAN</t>
        </is>
      </c>
      <c r="B46" s="29" t="inlineStr">
        <is>
          <t>Pokéfan</t>
        </is>
      </c>
      <c r="C46" s="29" t="inlineStr">
        <is>
          <t>だいすきクラブ</t>
        </is>
      </c>
      <c r="D46" s="29">
        <f>B46</f>
        <v/>
      </c>
      <c r="E46" s="29">
        <f>B46</f>
        <v/>
      </c>
      <c r="F46" s="29" t="inlineStr">
        <is>
          <t>Pokéfan</t>
        </is>
      </c>
      <c r="G46" s="29" t="inlineStr">
        <is>
          <t>Pokéfan</t>
        </is>
      </c>
      <c r="H46" s="29" t="inlineStr">
        <is>
          <t>애호가클럽</t>
        </is>
      </c>
      <c r="I46" s="29" t="inlineStr">
        <is>
          <t>發燒友俱樂部</t>
        </is>
      </c>
      <c r="J46" s="29">
        <f>IFERROR(__xludf.DUMMYFUNCTION("GOOGLETRANSLATE(I46,""zh_HANT"",""zh_HANS"")"),"发烧友俱乐部")</f>
        <v/>
      </c>
    </row>
    <row r="47">
      <c r="A47" s="28" t="inlineStr">
        <is>
          <t>NAME_TC_PkMnTRAINER-M</t>
        </is>
      </c>
      <c r="B47" s="29" t="inlineStr">
        <is>
          <t>Pokémon Trainer</t>
        </is>
      </c>
      <c r="C47" s="29" t="inlineStr">
        <is>
          <t>ポケモントレーナー</t>
        </is>
      </c>
      <c r="D47" s="6" t="inlineStr">
        <is>
          <t>Dresseur de Pokémon</t>
        </is>
      </c>
      <c r="E47" s="6" t="inlineStr">
        <is>
          <t>Pokémon-Trainer</t>
        </is>
      </c>
      <c r="F47" s="4" t="inlineStr">
        <is>
          <t>Entrenador Pokémon</t>
        </is>
      </c>
      <c r="G47" s="6" t="inlineStr">
        <is>
          <t>Allenatore di Pokémon</t>
        </is>
      </c>
      <c r="H47" s="29" t="inlineStr">
        <is>
          <t>포켓몬 트레이너</t>
        </is>
      </c>
      <c r="I47" s="29" t="inlineStr">
        <is>
          <t>寶可夢訓練家</t>
        </is>
      </c>
      <c r="J47" s="29">
        <f>IFERROR(__xludf.DUMMYFUNCTION("GOOGLETRANSLATE(I47,""zh_HANT"",""zh_HANS"")"),"宝可梦训练家")</f>
        <v/>
      </c>
    </row>
    <row r="48">
      <c r="A48" s="28" t="inlineStr">
        <is>
          <t>NAME_TC_PkMnTRAINER-F</t>
        </is>
      </c>
      <c r="B48" s="29">
        <f>B47</f>
        <v/>
      </c>
      <c r="C48" s="29">
        <f>C47</f>
        <v/>
      </c>
      <c r="D48" s="29">
        <f>D47</f>
        <v/>
      </c>
      <c r="E48" s="29">
        <f>E47</f>
        <v/>
      </c>
      <c r="F48" s="4" t="inlineStr">
        <is>
          <t>Entrenadora Pokémon</t>
        </is>
      </c>
      <c r="G48" s="4" t="inlineStr">
        <is>
          <t>Allenatrice di Pokémon</t>
        </is>
      </c>
      <c r="H48" s="29">
        <f>H47</f>
        <v/>
      </c>
      <c r="I48" s="29">
        <f>I47</f>
        <v/>
      </c>
      <c r="J48" s="29">
        <f>J47</f>
        <v/>
      </c>
    </row>
    <row r="49">
      <c r="A49" s="29">
        <f>CONCATENATE("NAME_TC_", SUBSTITUTE(UPPER(B49), " ", ""))</f>
        <v/>
      </c>
      <c r="B49" s="29" t="inlineStr">
        <is>
          <t>Police Officer</t>
        </is>
      </c>
      <c r="C49" s="29" t="inlineStr">
        <is>
          <t>あまわりさん</t>
        </is>
      </c>
      <c r="D49" s="29" t="inlineStr">
        <is>
          <t>Policier</t>
        </is>
      </c>
      <c r="E49" s="29" t="inlineStr">
        <is>
          <t>Polizist</t>
        </is>
      </c>
      <c r="F49" s="29" t="inlineStr">
        <is>
          <t>Policía</t>
        </is>
      </c>
      <c r="G49" s="29" t="inlineStr">
        <is>
          <t>Guardia</t>
        </is>
      </c>
      <c r="H49" s="29" t="inlineStr">
        <is>
          <t>경찰관</t>
        </is>
      </c>
      <c r="I49" s="29" t="inlineStr">
        <is>
          <t>警察先生</t>
        </is>
      </c>
      <c r="J49" s="29">
        <f>I49</f>
        <v/>
      </c>
    </row>
    <row r="50">
      <c r="A50" s="29">
        <f>CONCATENATE("NAME_TC_", SUBSTITUTE(UPPER(B50), " ", ""))</f>
        <v/>
      </c>
      <c r="B50" s="29" t="inlineStr">
        <is>
          <t>Sage</t>
        </is>
      </c>
      <c r="C50" s="29" t="inlineStr">
        <is>
          <t>ぼうず</t>
        </is>
      </c>
      <c r="D50" s="29">
        <f>B50</f>
        <v/>
      </c>
      <c r="E50" s="29" t="inlineStr">
        <is>
          <t>Weiser</t>
        </is>
      </c>
      <c r="F50" s="29" t="inlineStr">
        <is>
          <t>Pensador</t>
        </is>
      </c>
      <c r="G50" s="29" t="inlineStr">
        <is>
          <t>Saggio</t>
        </is>
      </c>
      <c r="H50" s="29" t="inlineStr">
        <is>
          <t>수행자</t>
        </is>
      </c>
      <c r="I50" s="29">
        <f>IFERROR(__xludf.DUMMYFUNCTION("GOOGLETRANSLATE(J50,""zh_HANS"",""zh_HANT"")"),"和尚")</f>
        <v/>
      </c>
      <c r="J50" s="29" t="inlineStr">
        <is>
          <t>和尚</t>
        </is>
      </c>
    </row>
    <row r="51">
      <c r="A51" s="29">
        <f>CONCATENATE("NAME_TC_", SUBSTITUTE(UPPER(B51), " ", ""))</f>
        <v/>
      </c>
      <c r="B51" s="29" t="inlineStr">
        <is>
          <t>Schoolboy</t>
        </is>
      </c>
      <c r="C51" s="29" t="inlineStr">
        <is>
          <t>スクールボーイ</t>
        </is>
      </c>
      <c r="D51" s="29" t="inlineStr">
        <is>
          <t>Écolier</t>
        </is>
      </c>
      <c r="E51" s="29" t="inlineStr">
        <is>
          <t>Schüler</t>
        </is>
      </c>
      <c r="F51" s="29" t="inlineStr">
        <is>
          <t>Escolar</t>
        </is>
      </c>
      <c r="G51" s="29" t="inlineStr">
        <is>
          <t>Studende</t>
        </is>
      </c>
      <c r="H51" s="29" t="inlineStr">
        <is>
          <t>스쿨보이</t>
        </is>
      </c>
      <c r="I51" s="29" t="inlineStr">
        <is>
          <t>男學生</t>
        </is>
      </c>
      <c r="J51" s="29">
        <f>IFERROR(__xludf.DUMMYFUNCTION("GOOGLETRANSLATE(I51,""zh_HANT"",""zh_HANS"")"),"男学生")</f>
        <v/>
      </c>
    </row>
    <row r="52">
      <c r="A52" s="29" t="inlineStr">
        <is>
          <t>NAME_TC_SKIER-M</t>
        </is>
      </c>
      <c r="B52" s="29" t="inlineStr">
        <is>
          <t>Skier</t>
        </is>
      </c>
      <c r="C52" s="29" t="inlineStr">
        <is>
          <t>スキーヤー</t>
        </is>
      </c>
      <c r="D52" s="29" t="inlineStr">
        <is>
          <t>Skieur</t>
        </is>
      </c>
      <c r="E52" s="29" t="inlineStr">
        <is>
          <t>Skifahrer</t>
        </is>
      </c>
      <c r="F52" s="29" t="inlineStr">
        <is>
          <t>Esquiador</t>
        </is>
      </c>
      <c r="G52" s="29" t="inlineStr">
        <is>
          <t>Sciatore</t>
        </is>
      </c>
      <c r="H52" s="6" t="inlineStr">
        <is>
          <t>스키선수</t>
        </is>
      </c>
      <c r="I52" s="6" t="inlineStr">
        <is>
          <t>滑雪者</t>
        </is>
      </c>
      <c r="J52" s="29">
        <f>I52</f>
        <v/>
      </c>
    </row>
    <row r="53">
      <c r="A53" s="29" t="inlineStr">
        <is>
          <t>NAME_TC_SKIER-F</t>
        </is>
      </c>
      <c r="B53" s="29">
        <f>B52</f>
        <v/>
      </c>
      <c r="C53" s="29">
        <f>C52</f>
        <v/>
      </c>
      <c r="D53" s="29" t="inlineStr">
        <is>
          <t>Skieuse</t>
        </is>
      </c>
      <c r="E53" s="29">
        <f>E52</f>
        <v/>
      </c>
      <c r="F53" s="29" t="inlineStr">
        <is>
          <t>Esquiadora</t>
        </is>
      </c>
      <c r="G53" s="29" t="inlineStr">
        <is>
          <t>Sciatrice</t>
        </is>
      </c>
      <c r="H53" s="29">
        <f>H52</f>
        <v/>
      </c>
      <c r="I53" s="29">
        <f>I52</f>
        <v/>
      </c>
      <c r="J53" s="29">
        <f>J52</f>
        <v/>
      </c>
    </row>
    <row r="54">
      <c r="A54" s="29">
        <f>CONCATENATE("NAME_TC_", SUBSTITUTE(UPPER(B54), " ", ""))</f>
        <v/>
      </c>
      <c r="B54" s="29" t="inlineStr">
        <is>
          <t>Teacher</t>
        </is>
      </c>
      <c r="C54" s="29" t="inlineStr">
        <is>
          <t>せんせい</t>
        </is>
      </c>
      <c r="D54" s="29" t="inlineStr">
        <is>
          <t>Prof.</t>
        </is>
      </c>
      <c r="E54" s="29" t="inlineStr">
        <is>
          <t>Lehrerin</t>
        </is>
      </c>
      <c r="F54" s="29" t="inlineStr">
        <is>
          <t>Profesora</t>
        </is>
      </c>
      <c r="G54" s="4" t="inlineStr">
        <is>
          <t>Insegnante</t>
        </is>
      </c>
      <c r="H54" s="29" t="inlineStr">
        <is>
          <t>선생님</t>
        </is>
      </c>
      <c r="I54" s="29" t="inlineStr">
        <is>
          <t>老師</t>
        </is>
      </c>
      <c r="J54" s="29">
        <f>IFERROR(__xludf.DUMMYFUNCTION("GOOGLETRANSLATE(I54,""zh_HANT"",""zh_HANS"")"),"老师")</f>
        <v/>
      </c>
    </row>
    <row r="55">
      <c r="A55" s="29">
        <f>CONCATENATE("NAME_TC_", SUBSTITUTE(UPPER(B55), " ", ""))</f>
        <v/>
      </c>
      <c r="B55" s="29" t="inlineStr">
        <is>
          <t>Twins</t>
        </is>
      </c>
      <c r="C55" s="29" t="inlineStr">
        <is>
          <t>ふたごちゃん</t>
        </is>
      </c>
      <c r="D55" s="29" t="inlineStr">
        <is>
          <t>Jumelles</t>
        </is>
      </c>
      <c r="E55" s="29" t="inlineStr">
        <is>
          <t>Zwillinge</t>
        </is>
      </c>
      <c r="F55" s="29" t="inlineStr">
        <is>
          <t>Gemelas</t>
        </is>
      </c>
      <c r="G55" s="29" t="inlineStr">
        <is>
          <t>Gemelle</t>
        </is>
      </c>
      <c r="H55" s="29" t="inlineStr">
        <is>
          <t>쌍둥이</t>
        </is>
      </c>
      <c r="I55" s="29" t="inlineStr">
        <is>
          <t>雙胞胎</t>
        </is>
      </c>
      <c r="J55" s="29">
        <f>IFERROR(__xludf.DUMMYFUNCTION("GOOGLETRANSLATE(I55,""zh_HANT"",""zh_HANS"")"),"双胞胎")</f>
        <v/>
      </c>
    </row>
    <row r="56">
      <c r="A56" s="29">
        <f>CONCATENATE("NAME_TC_", SUBSTITUTE(UPPER(B56), " ", ""))</f>
        <v/>
      </c>
      <c r="B56" s="29" t="inlineStr">
        <is>
          <t>Mystery Man</t>
        </is>
      </c>
      <c r="C56" s="29" t="inlineStr">
        <is>
          <t>なぞのせいねん</t>
        </is>
      </c>
      <c r="D56" s="29" t="inlineStr">
        <is>
          <t>Mec Mystère</t>
        </is>
      </c>
      <c r="E56" s="29" t="inlineStr">
        <is>
          <t>Mystiker</t>
        </is>
      </c>
      <c r="F56" s="29" t="inlineStr">
        <is>
          <t>Enigmático</t>
        </is>
      </c>
      <c r="G56" s="29" t="inlineStr">
        <is>
          <t>Fantallenatore</t>
        </is>
      </c>
      <c r="H56" s="29" t="inlineStr">
        <is>
          <t>수수께끼 청년</t>
        </is>
      </c>
      <c r="I56" s="29">
        <f>IFERROR(__xludf.DUMMYFUNCTION("GOOGLETRANSLATE(J56,""zh_HANS"",""zh_HANT"")"),"謎之少年")</f>
        <v/>
      </c>
      <c r="J56" s="29" t="inlineStr">
        <is>
          <t>謎之少年</t>
        </is>
      </c>
    </row>
    <row r="57">
      <c r="A57" s="29">
        <f>CONCATENATE("NAME_TC_", SUBSTITUTE(UPPER(B57), " ", ""))</f>
        <v/>
      </c>
      <c r="B57" s="29" t="inlineStr">
        <is>
          <t>Aroma Lady</t>
        </is>
      </c>
      <c r="C57" s="29" t="inlineStr">
        <is>
          <t>アロマなおねえちゃん</t>
        </is>
      </c>
      <c r="D57" s="29" t="inlineStr">
        <is>
          <t>Aromathérapeute</t>
        </is>
      </c>
      <c r="E57" s="29" t="inlineStr">
        <is>
          <t>Aromalady</t>
        </is>
      </c>
      <c r="F57" s="29" t="inlineStr">
        <is>
          <t>Señorita aroma</t>
        </is>
      </c>
      <c r="G57" s="29" t="inlineStr">
        <is>
          <t>Profumina</t>
        </is>
      </c>
      <c r="H57" s="6" t="inlineStr">
        <is>
          <t>아로마 아가씨</t>
        </is>
      </c>
      <c r="I57" s="6" t="inlineStr">
        <is>
          <t>香氛姐姐</t>
        </is>
      </c>
      <c r="J57" s="29">
        <f>I57</f>
        <v/>
      </c>
    </row>
    <row r="58">
      <c r="A58" s="29">
        <f>CONCATENATE("NAME_TC_", SUBSTITUTE(UPPER(B58), " ", ""))</f>
        <v/>
      </c>
      <c r="B58" s="29" t="inlineStr">
        <is>
          <t>Battle Girl</t>
        </is>
      </c>
      <c r="C58" s="29" t="inlineStr">
        <is>
          <t>バトルガール</t>
        </is>
      </c>
      <c r="D58" s="29" t="inlineStr">
        <is>
          <t>Combattante</t>
        </is>
      </c>
      <c r="E58" s="29" t="inlineStr">
        <is>
          <t>Kämpferin</t>
        </is>
      </c>
      <c r="F58" s="29" t="inlineStr">
        <is>
          <t>Luchadora</t>
        </is>
      </c>
      <c r="G58" s="29" t="inlineStr">
        <is>
          <t>Combat Girl</t>
        </is>
      </c>
      <c r="H58" s="29" t="inlineStr">
        <is>
          <t>배틀걸</t>
        </is>
      </c>
      <c r="I58" s="29" t="inlineStr">
        <is>
          <t>對戰少女</t>
        </is>
      </c>
      <c r="J58" s="29">
        <f>IFERROR(__xludf.DUMMYFUNCTION("GOOGLETRANSLATE(I58,""zh_HANT"",""zh_HANS"")"),"对战少女")</f>
        <v/>
      </c>
    </row>
    <row r="59">
      <c r="A59" s="29">
        <f>CONCATENATE("NAME_TC_", SUBSTITUTE(UPPER(B59), " ", ""))</f>
        <v/>
      </c>
      <c r="B59" s="29" t="inlineStr">
        <is>
          <t>Bug Maniac</t>
        </is>
      </c>
      <c r="C59" s="29" t="inlineStr">
        <is>
          <t>こんちゅうマニア</t>
        </is>
      </c>
      <c r="D59" s="29" t="inlineStr">
        <is>
          <t>Entomomaniac</t>
        </is>
      </c>
      <c r="E59" s="29" t="inlineStr">
        <is>
          <t>Käfermaniac</t>
        </is>
      </c>
      <c r="F59" s="29" t="inlineStr">
        <is>
          <t>Bichomaníaco</t>
        </is>
      </c>
      <c r="G59" s="29" t="inlineStr">
        <is>
          <t>Insettologo</t>
        </is>
      </c>
      <c r="H59" s="29" t="inlineStr">
        <is>
          <t>곤충마니아</t>
        </is>
      </c>
      <c r="I59" s="29" t="inlineStr">
        <is>
          <t>昆蟲狂</t>
        </is>
      </c>
      <c r="J59" s="29">
        <f>IFERROR(__xludf.DUMMYFUNCTION("GOOGLETRANSLATE(I59,""zh_HANT"",""zh_HANS"")"),"昆虫狂")</f>
        <v/>
      </c>
    </row>
    <row r="60">
      <c r="A60" s="29">
        <f>CONCATENATE("NAME_TC_", SUBSTITUTE(UPPER(B60), " ", ""))</f>
        <v/>
      </c>
      <c r="B60" s="29" t="inlineStr">
        <is>
          <t>Collector</t>
        </is>
      </c>
      <c r="C60" s="29" t="inlineStr">
        <is>
          <t>ポケモンコレクター</t>
        </is>
      </c>
      <c r="D60" s="29" t="inlineStr">
        <is>
          <t>Collectionneur</t>
        </is>
      </c>
      <c r="E60" s="29" t="inlineStr">
        <is>
          <t>Pokémon-Sammler</t>
        </is>
      </c>
      <c r="F60" s="29" t="inlineStr">
        <is>
          <t>Pokécolector</t>
        </is>
      </c>
      <c r="G60" s="29" t="inlineStr">
        <is>
          <t>Cercapokémon</t>
        </is>
      </c>
      <c r="H60" s="29" t="inlineStr">
        <is>
          <t>포켓몬 컬렉터</t>
        </is>
      </c>
      <c r="I60" s="29" t="inlineStr">
        <is>
          <t>寶可夢收藏家</t>
        </is>
      </c>
      <c r="J60" s="29">
        <f>IFERROR(__xludf.DUMMYFUNCTION("GOOGLETRANSLATE(I60,""zh_HANT"",""zh_HANS"")"),"宝可梦收藏家")</f>
        <v/>
      </c>
    </row>
    <row r="61">
      <c r="A61" s="29">
        <f>CONCATENATE("NAME_TC_", SUBSTITUTE(UPPER(B61), " ", ""))</f>
        <v/>
      </c>
      <c r="B61" s="29" t="inlineStr">
        <is>
          <t>Dragon Tamer</t>
        </is>
      </c>
      <c r="C61" s="29" t="inlineStr">
        <is>
          <t>ドラゴンつかい</t>
        </is>
      </c>
      <c r="D61" s="29" t="inlineStr">
        <is>
          <t>Dracologue</t>
        </is>
      </c>
      <c r="E61" s="29" t="inlineStr">
        <is>
          <t>Drachenprofi</t>
        </is>
      </c>
      <c r="F61" s="29" t="inlineStr">
        <is>
          <t>Domadragón</t>
        </is>
      </c>
      <c r="G61" s="29" t="inlineStr">
        <is>
          <t>Domadraghi</t>
        </is>
      </c>
      <c r="H61" s="29" t="inlineStr">
        <is>
          <t>드래곤 조련사</t>
        </is>
      </c>
      <c r="I61" s="29" t="inlineStr">
        <is>
          <t>馴龍師</t>
        </is>
      </c>
      <c r="J61" s="29">
        <f>IFERROR(__xludf.DUMMYFUNCTION("GOOGLETRANSLATE(I61,""zh_HANT"",""zh_HANS"")"),"驯龙师")</f>
        <v/>
      </c>
    </row>
    <row r="62">
      <c r="A62" s="29" t="inlineStr">
        <is>
          <t>NAME_TC_EXPERT-M</t>
        </is>
      </c>
      <c r="B62" s="29" t="inlineStr">
        <is>
          <t>Expert</t>
        </is>
      </c>
      <c r="C62" s="29" t="inlineStr">
        <is>
          <t>たつじん</t>
        </is>
      </c>
      <c r="D62" s="29">
        <f>B62</f>
        <v/>
      </c>
      <c r="E62" s="29">
        <f>D63</f>
        <v/>
      </c>
      <c r="F62" s="29" t="inlineStr">
        <is>
          <t>Pokéabu</t>
        </is>
      </c>
      <c r="G62" s="29" t="inlineStr">
        <is>
          <t>Specialista</t>
        </is>
      </c>
      <c r="H62" s="29" t="inlineStr">
        <is>
          <t>달인</t>
        </is>
      </c>
      <c r="I62" s="29" t="inlineStr">
        <is>
          <t>達人</t>
        </is>
      </c>
      <c r="J62" s="29">
        <f>I62</f>
        <v/>
      </c>
    </row>
    <row r="63">
      <c r="A63" s="29" t="inlineStr">
        <is>
          <t>NAME_TC_EXPERT-F</t>
        </is>
      </c>
      <c r="B63" s="29">
        <f>B62</f>
        <v/>
      </c>
      <c r="C63" s="29">
        <f>C62</f>
        <v/>
      </c>
      <c r="D63" s="29">
        <f>CONCATENATE(D62,"e")</f>
        <v/>
      </c>
      <c r="E63" s="29">
        <f>CONCATENATE(D62,"in")</f>
        <v/>
      </c>
      <c r="F63" s="29" t="inlineStr">
        <is>
          <t>Pokéabu</t>
        </is>
      </c>
      <c r="G63" s="29">
        <f>G62</f>
        <v/>
      </c>
      <c r="H63" s="29">
        <f>H62</f>
        <v/>
      </c>
      <c r="I63" s="29">
        <f>I62</f>
        <v/>
      </c>
      <c r="J63" s="29">
        <f>J62</f>
        <v/>
      </c>
    </row>
    <row r="64">
      <c r="A64" s="29">
        <f>CONCATENATE("NAME_TC_", SUBSTITUTE(UPPER(B64), " ", ""))</f>
        <v/>
      </c>
      <c r="B64" s="29" t="inlineStr">
        <is>
          <t>Hex Maniac</t>
        </is>
      </c>
      <c r="C64" s="29" t="inlineStr">
        <is>
          <t>オカルトマニア</t>
        </is>
      </c>
      <c r="D64" s="29" t="inlineStr">
        <is>
          <t>Mystimaniac</t>
        </is>
      </c>
      <c r="E64" s="29" t="inlineStr">
        <is>
          <t>Hexe</t>
        </is>
      </c>
      <c r="F64" s="29" t="inlineStr">
        <is>
          <t>Bruja</t>
        </is>
      </c>
      <c r="G64" s="29" t="inlineStr">
        <is>
          <t>Streghetta</t>
        </is>
      </c>
      <c r="H64" s="29" t="inlineStr">
        <is>
          <t>오컬트마니아</t>
        </is>
      </c>
      <c r="I64" s="29" t="inlineStr">
        <is>
          <t>靈異迷</t>
        </is>
      </c>
      <c r="J64" s="29">
        <f>IFERROR(__xludf.DUMMYFUNCTION("GOOGLETRANSLATE(I64,""zh_HANT"",""zh_HANS"")"),"灵异迷")</f>
        <v/>
      </c>
    </row>
    <row r="65">
      <c r="A65" s="29">
        <f>CONCATENATE("NAME_TC_", SUBSTITUTE(UPPER(B65), " ", ""))</f>
        <v/>
      </c>
      <c r="B65" s="29" t="inlineStr">
        <is>
          <t>Interviewers</t>
        </is>
      </c>
      <c r="C65" s="29" t="inlineStr">
        <is>
          <t>インタビュアー</t>
        </is>
      </c>
      <c r="D65" s="29" t="inlineStr">
        <is>
          <t>Journalistes</t>
        </is>
      </c>
      <c r="E65" s="29" t="inlineStr">
        <is>
          <t>Interviewer</t>
        </is>
      </c>
      <c r="F65" s="29" t="inlineStr">
        <is>
          <t>Periodistas</t>
        </is>
      </c>
      <c r="G65" s="29" t="inlineStr">
        <is>
          <t>Reporter</t>
        </is>
      </c>
      <c r="H65" s="29" t="inlineStr">
        <is>
          <t>인터뷰어</t>
        </is>
      </c>
      <c r="I65" s="29" t="inlineStr">
        <is>
          <t>採訪者</t>
        </is>
      </c>
      <c r="J65" s="29">
        <f>IFERROR(__xludf.DUMMYFUNCTION("GOOGLETRANSLATE(I65,""zh_HANT"",""zh_HANS"")"),"采访者")</f>
        <v/>
      </c>
    </row>
    <row r="66">
      <c r="A66" s="29">
        <f>CONCATENATE("NAME_TC_", SUBSTITUTE(UPPER(B66), " ", ""))</f>
        <v/>
      </c>
      <c r="B66" s="29" t="inlineStr">
        <is>
          <t>Kindler</t>
        </is>
      </c>
      <c r="C66" s="29" t="inlineStr">
        <is>
          <t>キャンプファイヤー</t>
        </is>
      </c>
      <c r="D66" s="29" t="inlineStr">
        <is>
          <t>Saltimbanque</t>
        </is>
      </c>
      <c r="E66" s="29" t="inlineStr">
        <is>
          <t>Hitzkopf</t>
        </is>
      </c>
      <c r="F66" s="29" t="inlineStr">
        <is>
          <t>Prendefuegos</t>
        </is>
      </c>
      <c r="G66" s="29" t="inlineStr">
        <is>
          <t>Brandifuoco</t>
        </is>
      </c>
      <c r="H66" s="29" t="inlineStr">
        <is>
          <t>캠프파이어</t>
        </is>
      </c>
      <c r="I66" s="29" t="inlineStr">
        <is>
          <t>營火專家</t>
        </is>
      </c>
      <c r="J66" s="29">
        <f>IFERROR(__xludf.DUMMYFUNCTION("GOOGLETRANSLATE(I66,""zh_HANT"",""zh_HANS"")"),"营火专家")</f>
        <v/>
      </c>
    </row>
    <row r="67">
      <c r="A67" s="29">
        <f>CONCATENATE("NAME_TC_", SUBSTITUTE(UPPER(B67), " ", ""))</f>
        <v/>
      </c>
      <c r="B67" s="29" t="inlineStr">
        <is>
          <t>Lady</t>
        </is>
      </c>
      <c r="C67" s="29" t="inlineStr">
        <is>
          <t>おじょうさま</t>
        </is>
      </c>
      <c r="D67" s="29" t="inlineStr">
        <is>
          <t>Mademoiselle</t>
        </is>
      </c>
      <c r="E67" s="29">
        <f>B67</f>
        <v/>
      </c>
      <c r="F67" s="29" t="inlineStr">
        <is>
          <t>Damisela</t>
        </is>
      </c>
      <c r="G67" s="29">
        <f>B67</f>
        <v/>
      </c>
      <c r="H67" s="29" t="inlineStr">
        <is>
          <t>아기씨</t>
        </is>
      </c>
      <c r="I67" s="29" t="inlineStr">
        <is>
          <t>千金小姐</t>
        </is>
      </c>
      <c r="J67" s="29">
        <f>I67</f>
        <v/>
      </c>
    </row>
    <row r="68">
      <c r="A68" s="29">
        <f>CONCATENATE("NAME_TC_", SUBSTITUTE(UPPER(B68), " ", ""))</f>
        <v/>
      </c>
      <c r="B68" s="29" t="inlineStr">
        <is>
          <t>Ninja Boy</t>
        </is>
      </c>
      <c r="C68" s="29" t="inlineStr">
        <is>
          <t>ニンジャごっこ</t>
        </is>
      </c>
      <c r="D68" s="29" t="inlineStr">
        <is>
          <t>Ninja Amateur</t>
        </is>
      </c>
      <c r="E68" s="29" t="inlineStr">
        <is>
          <t>Ninjajunge</t>
        </is>
      </c>
      <c r="F68" s="29" t="inlineStr">
        <is>
          <t>Chico ninja</t>
        </is>
      </c>
      <c r="G68" s="29">
        <f>B68</f>
        <v/>
      </c>
      <c r="H68" s="29" t="inlineStr">
        <is>
          <t>닌자놀이</t>
        </is>
      </c>
      <c r="I68" s="29" t="inlineStr">
        <is>
          <t>忍者小子</t>
        </is>
      </c>
      <c r="J68" s="29">
        <f>I68</f>
        <v/>
      </c>
    </row>
    <row r="69">
      <c r="A69" s="29">
        <f>CONCATENATE("NAME_TC_", SUBSTITUTE(UPPER(B69), " ", ""))</f>
        <v/>
      </c>
      <c r="B69" s="29" t="inlineStr">
        <is>
          <t>Old Couple</t>
        </is>
      </c>
      <c r="C69" s="29" t="inlineStr">
        <is>
          <t>きんこんしき</t>
        </is>
      </c>
      <c r="D69" s="29" t="inlineStr">
        <is>
          <t>Vieux Couple</t>
        </is>
      </c>
      <c r="E69" s="29" t="inlineStr">
        <is>
          <t>Altes Paar</t>
        </is>
      </c>
      <c r="F69" s="29" t="inlineStr">
        <is>
          <t>Pareja mayor</t>
        </is>
      </c>
      <c r="G69" s="29" t="inlineStr">
        <is>
          <t>Coppiarzilla</t>
        </is>
      </c>
      <c r="H69" s="29" t="inlineStr">
        <is>
          <t>금혼식부부</t>
        </is>
      </c>
      <c r="I69" s="29" t="inlineStr">
        <is>
          <t>金婚夫妻</t>
        </is>
      </c>
      <c r="J69" s="29">
        <f>I69</f>
        <v/>
      </c>
    </row>
    <row r="70">
      <c r="A70" s="29">
        <f>CONCATENATE("NAME_TC_", SUBSTITUTE(UPPER(B70), " ", ""))</f>
        <v/>
      </c>
      <c r="B70" s="29" t="inlineStr">
        <is>
          <t>Parasol Lady</t>
        </is>
      </c>
      <c r="C70" s="29" t="inlineStr">
        <is>
          <t>パラソルおねえさん</t>
        </is>
      </c>
      <c r="D70" s="29" t="inlineStr">
        <is>
          <t>Sœur Parasol</t>
        </is>
      </c>
      <c r="E70" s="29" t="inlineStr">
        <is>
          <t>Schirmdame</t>
        </is>
      </c>
      <c r="F70" s="29" t="inlineStr">
        <is>
          <t>Dama parasol</t>
        </is>
      </c>
      <c r="G70" s="29" t="inlineStr">
        <is>
          <t>Ombrellina</t>
        </is>
      </c>
      <c r="H70" s="29" t="inlineStr">
        <is>
          <t>파라솔아가씨</t>
        </is>
      </c>
      <c r="I70" s="29" t="inlineStr">
        <is>
          <t>陽傘姐姐</t>
        </is>
      </c>
      <c r="J70" s="29">
        <f>IFERROR(__xludf.DUMMYFUNCTION("GOOGLETRANSLATE(I70,""zh_HANT"",""zh_HANS"")"),"阳伞姐姐")</f>
        <v/>
      </c>
    </row>
    <row r="71">
      <c r="A71" s="29" t="inlineStr">
        <is>
          <t>NAME_TC_PkMnBREEDER-M</t>
        </is>
      </c>
      <c r="B71" s="29" t="inlineStr">
        <is>
          <t>Pokémon Breeder</t>
        </is>
      </c>
      <c r="C71" s="29" t="inlineStr">
        <is>
          <t>ポケモンブリーダー</t>
        </is>
      </c>
      <c r="D71" s="29" t="inlineStr">
        <is>
          <t>Éleveur</t>
        </is>
      </c>
      <c r="E71" s="29" t="inlineStr">
        <is>
          <t>Pokémon-Züchter</t>
        </is>
      </c>
      <c r="F71" s="29" t="inlineStr">
        <is>
          <t>Criapokémon</t>
        </is>
      </c>
      <c r="G71" s="29" t="inlineStr">
        <is>
          <t>Allevapokémon</t>
        </is>
      </c>
      <c r="H71" s="29" t="inlineStr">
        <is>
          <t>포켓몬 브리더</t>
        </is>
      </c>
      <c r="I71" s="29" t="inlineStr">
        <is>
          <t>寶可夢培育家</t>
        </is>
      </c>
      <c r="J71" s="29">
        <f>IFERROR(__xludf.DUMMYFUNCTION("GOOGLETRANSLATE(I71,""zh_HANT"",""zh_HANS"")"),"宝可梦培育家")</f>
        <v/>
      </c>
    </row>
    <row r="72">
      <c r="A72" s="29" t="inlineStr">
        <is>
          <t>NAME_TC_PkMnBREEDER-F</t>
        </is>
      </c>
      <c r="B72" s="29">
        <f>B71</f>
        <v/>
      </c>
      <c r="C72" s="29">
        <f>C71</f>
        <v/>
      </c>
      <c r="D72" s="29" t="inlineStr">
        <is>
          <t>Éleveuse</t>
        </is>
      </c>
      <c r="E72" s="29">
        <f>CONCATENATE(E71,"in")</f>
        <v/>
      </c>
      <c r="F72" s="29" t="inlineStr">
        <is>
          <t>Criapokémon</t>
        </is>
      </c>
      <c r="G72" s="29">
        <f>G71</f>
        <v/>
      </c>
      <c r="H72" s="29">
        <f>H71</f>
        <v/>
      </c>
      <c r="I72" s="29">
        <f>I71</f>
        <v/>
      </c>
      <c r="J72" s="29">
        <f>J71</f>
        <v/>
      </c>
    </row>
    <row r="73">
      <c r="A73" s="29" t="inlineStr">
        <is>
          <t>NAME_TC_PkMnRANGER</t>
        </is>
      </c>
      <c r="B73" s="29" t="inlineStr">
        <is>
          <t>Pokémon Ranger</t>
        </is>
      </c>
      <c r="C73" s="29" t="inlineStr">
        <is>
          <t>ポケモンレンジャー</t>
        </is>
      </c>
      <c r="D73" s="29">
        <f>B73</f>
        <v/>
      </c>
      <c r="E73" s="29" t="inlineStr">
        <is>
          <t>Pokémon-Ranger</t>
        </is>
      </c>
      <c r="F73" s="29" t="inlineStr">
        <is>
          <t>Pokémon Ranger</t>
        </is>
      </c>
      <c r="G73" s="29">
        <f>B73</f>
        <v/>
      </c>
      <c r="H73" s="29" t="inlineStr">
        <is>
          <t>포켓몬 레인저</t>
        </is>
      </c>
      <c r="I73" s="29" t="inlineStr">
        <is>
          <t>寶可夢巡護員</t>
        </is>
      </c>
      <c r="J73" s="29">
        <f>IFERROR(__xludf.DUMMYFUNCTION("GOOGLETRANSLATE(I73,""zh_HANT"",""zh_HANS"")"),"宝可梦巡护员")</f>
        <v/>
      </c>
    </row>
    <row r="74">
      <c r="A74" s="29">
        <f>CONCATENATE("NAME_TC_", SUBSTITUTE(UPPER(B74), " ", ""))</f>
        <v/>
      </c>
      <c r="B74" s="29" t="inlineStr">
        <is>
          <t>Rich Boy</t>
        </is>
      </c>
      <c r="C74" s="29" t="inlineStr">
        <is>
          <t>おぼっちゃま</t>
        </is>
      </c>
      <c r="D74" s="29" t="inlineStr">
        <is>
          <t>Richard</t>
        </is>
      </c>
      <c r="E74" s="29" t="inlineStr">
        <is>
          <t>Schnösel</t>
        </is>
      </c>
      <c r="F74" s="29" t="inlineStr">
        <is>
          <t>Niño bien</t>
        </is>
      </c>
      <c r="G74" s="29" t="inlineStr">
        <is>
          <t>Elegantone</t>
        </is>
      </c>
      <c r="H74" s="29" t="inlineStr">
        <is>
          <t>도련님</t>
        </is>
      </c>
      <c r="I74" s="29" t="inlineStr">
        <is>
          <t>富家少爺</t>
        </is>
      </c>
      <c r="J74" s="29">
        <f>IFERROR(__xludf.DUMMYFUNCTION("GOOGLETRANSLATE(I74,""zh_HANT"",""zh_HANS"")"),"富家少爷")</f>
        <v/>
      </c>
    </row>
    <row r="75">
      <c r="A75" s="29">
        <f>CONCATENATE("NAME_TC_", SUBSTITUTE(UPPER(B75), " ", ""))</f>
        <v/>
      </c>
      <c r="B75" s="29" t="inlineStr">
        <is>
          <t>Ruin Maniac</t>
        </is>
      </c>
      <c r="C75" s="29" t="inlineStr">
        <is>
          <t>いせきマニア</t>
        </is>
      </c>
      <c r="D75" s="29" t="inlineStr">
        <is>
          <t>Ruinemaniac</t>
        </is>
      </c>
      <c r="E75" s="29" t="inlineStr">
        <is>
          <t>Ruinenmaniac</t>
        </is>
      </c>
      <c r="F75" s="29" t="inlineStr">
        <is>
          <t>Ruinamaníaco</t>
        </is>
      </c>
      <c r="G75" s="29" t="inlineStr">
        <is>
          <t>Scoprirovine</t>
        </is>
      </c>
      <c r="H75" s="29" t="inlineStr">
        <is>
          <t>유적마니아</t>
        </is>
      </c>
      <c r="I75" s="29" t="inlineStr">
        <is>
          <t>遺跡迷</t>
        </is>
      </c>
      <c r="J75" s="29">
        <f>IFERROR(__xludf.DUMMYFUNCTION("GOOGLETRANSLATE(I75,""zh_HANT"",""zh_HANS"")"),"遗迹迷")</f>
        <v/>
      </c>
    </row>
    <row r="76">
      <c r="A76" s="29">
        <f>CONCATENATE("NAME_TC_", SUBSTITUTE(UPPER(B76), " ", ""))</f>
        <v/>
      </c>
      <c r="B76" s="29" t="inlineStr">
        <is>
          <t>Sis &amp; Bro</t>
        </is>
      </c>
      <c r="C76" s="29" t="inlineStr">
        <is>
          <t>うみきょうだい</t>
        </is>
      </c>
      <c r="D76" s="29" t="inlineStr">
        <is>
          <t>Frère et Sœur</t>
        </is>
      </c>
      <c r="E76" s="29" t="inlineStr">
        <is>
          <t>Geschwister</t>
        </is>
      </c>
      <c r="F76" s="29" t="inlineStr">
        <is>
          <t>Hermanos</t>
        </is>
      </c>
      <c r="G76" s="29" t="inlineStr">
        <is>
          <t>Fratellini</t>
        </is>
      </c>
      <c r="H76" s="6" t="inlineStr">
        <is>
          <t>바다남매</t>
        </is>
      </c>
      <c r="I76" s="6" t="inlineStr">
        <is>
          <t>海上姐弟</t>
        </is>
      </c>
      <c r="J76" s="29">
        <f>I76</f>
        <v/>
      </c>
    </row>
    <row r="77">
      <c r="A77" s="29">
        <f>CONCATENATE("NAME_TC_", SUBSTITUTE(UPPER(B77), " ", ""))</f>
        <v/>
      </c>
      <c r="B77" s="29" t="inlineStr">
        <is>
          <t>Teammates</t>
        </is>
      </c>
      <c r="C77" s="29" t="inlineStr">
        <is>
          <t>センパイとコウハイ</t>
        </is>
      </c>
      <c r="D77" s="29" t="inlineStr">
        <is>
          <t>Senior et Junior</t>
        </is>
      </c>
      <c r="E77" s="29">
        <f>G77</f>
        <v/>
      </c>
      <c r="F77" s="29" t="inlineStr">
        <is>
          <t>Estudiantes</t>
        </is>
      </c>
      <c r="G77" s="29" t="inlineStr">
        <is>
          <t>Senior &amp; Junior</t>
        </is>
      </c>
      <c r="H77" s="6" t="inlineStr">
        <is>
          <t>선배&amp;후배</t>
        </is>
      </c>
      <c r="I77" s="4" t="inlineStr">
        <is>
          <t>學姊與學妹</t>
        </is>
      </c>
      <c r="J77" s="29">
        <f>IFERROR(__xludf.DUMMYFUNCTION("GOOGLETRANSLATE(I77,""zh_HANT"",""zh_HANS"")"),"学姊与学妹")</f>
        <v/>
      </c>
    </row>
    <row r="78">
      <c r="A78" s="29">
        <f>CONCATENATE("NAME_TC_", SUBSTITUTE(UPPER(B78), " ", ""))</f>
        <v/>
      </c>
      <c r="B78" s="29" t="inlineStr">
        <is>
          <t>Triathlete</t>
        </is>
      </c>
      <c r="C78" s="29" t="inlineStr">
        <is>
          <t>トライアスリート</t>
        </is>
      </c>
      <c r="D78" s="29" t="inlineStr">
        <is>
          <t>Triathlète</t>
        </is>
      </c>
      <c r="E78" s="29" t="inlineStr">
        <is>
          <t>Triathlet</t>
        </is>
      </c>
      <c r="F78" s="29" t="inlineStr">
        <is>
          <t>Triatleta</t>
        </is>
      </c>
      <c r="G78" s="29">
        <f>F78</f>
        <v/>
      </c>
      <c r="H78" s="6" t="inlineStr">
        <is>
          <t>트라이애슬리트</t>
        </is>
      </c>
      <c r="I78" s="6" t="inlineStr">
        <is>
          <t>鐵人三項運動員</t>
        </is>
      </c>
      <c r="J78" s="29">
        <f>I78</f>
        <v/>
      </c>
    </row>
    <row r="79">
      <c r="A79" s="29" t="inlineStr">
        <is>
          <t>NAME_TC_TUBER-M</t>
        </is>
      </c>
      <c r="B79" s="29" t="inlineStr">
        <is>
          <t>Tuber</t>
        </is>
      </c>
      <c r="C79" s="29" t="inlineStr">
        <is>
          <t>うきわボーイ</t>
        </is>
      </c>
      <c r="D79" s="29" t="inlineStr">
        <is>
          <t>Garçon à la Bouée</t>
        </is>
      </c>
      <c r="E79" s="29" t="inlineStr">
        <is>
          <t>Planscher</t>
        </is>
      </c>
      <c r="F79" s="29" t="inlineStr">
        <is>
          <t>Playero</t>
        </is>
      </c>
      <c r="G79" s="29" t="inlineStr">
        <is>
          <t>Ciambellino</t>
        </is>
      </c>
      <c r="H79" s="29" t="inlineStr">
        <is>
          <t>튜브보이</t>
        </is>
      </c>
      <c r="I79" s="29" t="inlineStr">
        <is>
          <t>泳圈男孩</t>
        </is>
      </c>
      <c r="J79" s="29">
        <f>I79</f>
        <v/>
      </c>
    </row>
    <row r="80">
      <c r="A80" s="29" t="inlineStr">
        <is>
          <t>NAME_TC_TUBER-F</t>
        </is>
      </c>
      <c r="B80" s="29">
        <f>B79</f>
        <v/>
      </c>
      <c r="C80" s="29" t="inlineStr">
        <is>
          <t>うきわガール</t>
        </is>
      </c>
      <c r="D80" s="29" t="inlineStr">
        <is>
          <t>Fille à la Bouée</t>
        </is>
      </c>
      <c r="E80" s="29">
        <f>E79</f>
        <v/>
      </c>
      <c r="F80" s="29" t="inlineStr">
        <is>
          <t>Playera</t>
        </is>
      </c>
      <c r="G80" s="29" t="inlineStr">
        <is>
          <t>Ciambellina</t>
        </is>
      </c>
      <c r="H80" s="29" t="inlineStr">
        <is>
          <t>튜브걸</t>
        </is>
      </c>
      <c r="I80" s="29" t="inlineStr">
        <is>
          <t>泳圈女孩</t>
        </is>
      </c>
      <c r="J80" s="29">
        <f>I80</f>
        <v/>
      </c>
    </row>
    <row r="81">
      <c r="A81" s="29" t="inlineStr">
        <is>
          <t>NAME_TC_WORKER-M</t>
        </is>
      </c>
      <c r="B81" s="29" t="inlineStr">
        <is>
          <t>Worker</t>
        </is>
      </c>
      <c r="C81" s="29" t="inlineStr">
        <is>
          <t>さぎょういん</t>
        </is>
      </c>
      <c r="D81" s="6" t="inlineStr">
        <is>
          <t>Ouvrier</t>
        </is>
      </c>
      <c r="E81" s="4" t="inlineStr">
        <is>
          <t>Arbeiter</t>
        </is>
      </c>
      <c r="F81" s="29" t="inlineStr">
        <is>
          <t>Operario</t>
        </is>
      </c>
      <c r="G81" s="4" t="inlineStr">
        <is>
          <t>Lavoratore</t>
        </is>
      </c>
      <c r="H81" s="6" t="inlineStr">
        <is>
          <t>작업원</t>
        </is>
      </c>
      <c r="I81" s="29" t="inlineStr">
        <is>
          <t>工人</t>
        </is>
      </c>
      <c r="J81" s="29">
        <f>I81</f>
        <v/>
      </c>
    </row>
    <row r="82">
      <c r="A82" s="29" t="inlineStr">
        <is>
          <t>NAME_TC_WORKER-F</t>
        </is>
      </c>
      <c r="B82" s="29">
        <f>B81</f>
        <v/>
      </c>
      <c r="C82" s="29">
        <f>C81</f>
        <v/>
      </c>
      <c r="D82" s="4" t="inlineStr">
        <is>
          <t>Ouvrière</t>
        </is>
      </c>
      <c r="E82" s="29" t="inlineStr">
        <is>
          <t>Arbeiterin</t>
        </is>
      </c>
      <c r="F82" s="4" t="inlineStr">
        <is>
          <t>Operaria</t>
        </is>
      </c>
      <c r="G82" s="29" t="inlineStr">
        <is>
          <t>Lavoratrice</t>
        </is>
      </c>
      <c r="H82" s="29">
        <f>H81</f>
        <v/>
      </c>
      <c r="I82" s="29">
        <f>I81</f>
        <v/>
      </c>
      <c r="J82" s="29">
        <f>J81</f>
        <v/>
      </c>
    </row>
    <row r="83">
      <c r="A83" s="29">
        <f>CONCATENATE("NAME_TC_", SUBSTITUTE(UPPER(B83), " ", ""))</f>
        <v/>
      </c>
      <c r="B83" s="29" t="inlineStr">
        <is>
          <t>Young Couple</t>
        </is>
      </c>
      <c r="C83" s="29" t="inlineStr">
        <is>
          <t>ラブラブカップル</t>
        </is>
      </c>
      <c r="D83" s="29" t="inlineStr">
        <is>
          <t>Jeune Couple</t>
        </is>
      </c>
      <c r="E83" s="29" t="inlineStr">
        <is>
          <t>Junges Glück</t>
        </is>
      </c>
      <c r="F83" s="29" t="inlineStr">
        <is>
          <t>Pareja joven</t>
        </is>
      </c>
      <c r="G83" s="29" t="inlineStr">
        <is>
          <t>Coppietta</t>
        </is>
      </c>
      <c r="H83" s="6" t="inlineStr">
        <is>
          <t>러브러브커플</t>
        </is>
      </c>
      <c r="I83" s="6" t="inlineStr">
        <is>
          <t>熱戀情侶</t>
        </is>
      </c>
      <c r="J83" s="29">
        <f>IFERROR(__xludf.DUMMYFUNCTION("GOOGLETRANSLATE(I83,""zh_HANT"",""zh_HANS"")"),"热恋情侣")</f>
        <v/>
      </c>
    </row>
    <row r="84">
      <c r="A84" s="29">
        <f>CONCATENATE("NAME_TC_", SUBSTITUTE(UPPER(B84), " ", ""))</f>
        <v/>
      </c>
      <c r="B84" s="29" t="inlineStr">
        <is>
          <t>Crush Kin</t>
        </is>
      </c>
      <c r="C84" s="29" t="inlineStr">
        <is>
          <t>かくとうきょうだい</t>
        </is>
      </c>
      <c r="D84" s="29" t="inlineStr">
        <is>
          <t>Duo Baston</t>
        </is>
      </c>
      <c r="E84" s="29" t="inlineStr">
        <is>
          <t>Mühlensippe</t>
        </is>
      </c>
      <c r="F84" s="29" t="inlineStr">
        <is>
          <t>Dúo fuerte</t>
        </is>
      </c>
      <c r="G84" s="29" t="inlineStr">
        <is>
          <t>Duo Lotta</t>
        </is>
      </c>
      <c r="H84" s="29" t="inlineStr">
        <is>
          <t>격투남매</t>
        </is>
      </c>
      <c r="I84" s="29">
        <f>IFERROR(__xludf.DUMMYFUNCTION("GOOGLETRANSLATE(J84,""zh_HANS"",""zh_HANT"")"),"格鬥姐弟")</f>
        <v/>
      </c>
      <c r="J84" s="29" t="inlineStr">
        <is>
          <t>格斗姐弟</t>
        </is>
      </c>
    </row>
    <row r="85">
      <c r="A85" s="29" t="inlineStr">
        <is>
          <t>NAME_TC_FRONTIERBRAIN</t>
        </is>
      </c>
      <c r="B85" s="29" t="inlineStr">
        <is>
          <t>Frontier Brain</t>
        </is>
      </c>
      <c r="C85" s="29" t="inlineStr">
        <is>
          <t>フロンティアブレーン</t>
        </is>
      </c>
      <c r="D85" s="6" t="inlineStr">
        <is>
          <t>Meneur de Zone</t>
        </is>
      </c>
      <c r="E85" s="4" t="inlineStr">
        <is>
          <t>Kampfkoryphäen</t>
        </is>
      </c>
      <c r="F85" s="29" t="inlineStr">
        <is>
          <t>As del Frente Batalla</t>
        </is>
      </c>
      <c r="G85" s="6" t="inlineStr">
        <is>
          <t>Asso Lotta</t>
        </is>
      </c>
      <c r="H85" s="6" t="inlineStr">
        <is>
          <t>프런티어 브레인</t>
        </is>
      </c>
      <c r="I85" s="6" t="inlineStr">
        <is>
          <t>開拓之腦</t>
        </is>
      </c>
      <c r="J85" s="29">
        <f>IFERROR(__xludf.DUMMYFUNCTION("GOOGLETRANSLATE(I85,""zh_HANT"",""zh_HANS"")"),"开拓之脑")</f>
        <v/>
      </c>
    </row>
    <row r="86">
      <c r="A86" s="29">
        <f>CONCATENATE("NAME_TC_", SUBSTITUTE(UPPER(B86), " ", ""))</f>
        <v/>
      </c>
      <c r="B86" s="29" t="inlineStr">
        <is>
          <t>Ace Duo</t>
        </is>
      </c>
      <c r="C86" s="29" t="inlineStr">
        <is>
          <t>エリートコンビ</t>
        </is>
      </c>
      <c r="D86" s="29" t="inlineStr">
        <is>
          <t>Top Duo</t>
        </is>
      </c>
      <c r="E86" s="29" t="inlineStr">
        <is>
          <t>Ass-Duo</t>
        </is>
      </c>
      <c r="F86" s="29" t="inlineStr">
        <is>
          <t>Dúo guay</t>
        </is>
      </c>
      <c r="G86" s="29" t="inlineStr">
        <is>
          <t>Fantaduo</t>
        </is>
      </c>
      <c r="H86" s="6" t="inlineStr">
        <is>
          <t>엘리트콤비</t>
        </is>
      </c>
      <c r="I86" s="6" t="inlineStr">
        <is>
          <t>精英組合</t>
        </is>
      </c>
      <c r="J86" s="29">
        <f>IFERROR(__xludf.DUMMYFUNCTION("GOOGLETRANSLATE(I86,""zh_HANT"",""zh_HANS"")"),"精英组合")</f>
        <v/>
      </c>
    </row>
    <row r="87">
      <c r="A87" s="29" t="inlineStr">
        <is>
          <t>NAME_TC_ARTIST-M</t>
        </is>
      </c>
      <c r="B87" s="29" t="inlineStr">
        <is>
          <t>Artist</t>
        </is>
      </c>
      <c r="C87" s="29" t="inlineStr">
        <is>
          <t>げいじゅつか</t>
        </is>
      </c>
      <c r="D87" s="29">
        <f>CONCATENATE(B87,"e")</f>
        <v/>
      </c>
      <c r="E87" s="29" t="inlineStr">
        <is>
          <t>Künstler</t>
        </is>
      </c>
      <c r="F87" s="29">
        <f>CONCATENATE(B87,"a")</f>
        <v/>
      </c>
      <c r="G87" s="29">
        <f>F87</f>
        <v/>
      </c>
      <c r="H87" s="6" t="inlineStr">
        <is>
          <t>예술가</t>
        </is>
      </c>
      <c r="I87" s="4" t="inlineStr">
        <is>
          <t>藝術家</t>
        </is>
      </c>
      <c r="J87" s="29">
        <f>IFERROR(__xludf.DUMMYFUNCTION("GOOGLETRANSLATE(I87,""zh_HANT"",""zh_HANS"")"),"艺术家")</f>
        <v/>
      </c>
    </row>
    <row r="88">
      <c r="A88" s="29" t="inlineStr">
        <is>
          <t>NAME_TC_ARTIST-F</t>
        </is>
      </c>
      <c r="B88" s="29">
        <f>B87</f>
        <v/>
      </c>
      <c r="C88" s="29">
        <f>C87</f>
        <v/>
      </c>
      <c r="D88" s="29">
        <f>D87</f>
        <v/>
      </c>
      <c r="E88" s="29">
        <f>CONCATENATE(E87,"in")</f>
        <v/>
      </c>
      <c r="F88" s="29">
        <f>F87</f>
        <v/>
      </c>
      <c r="G88" s="29">
        <f>G87</f>
        <v/>
      </c>
      <c r="H88" s="29">
        <f>H87</f>
        <v/>
      </c>
      <c r="I88" s="29">
        <f>I87</f>
        <v/>
      </c>
      <c r="J88" s="29">
        <f>J87</f>
        <v/>
      </c>
    </row>
    <row r="89">
      <c r="A89" s="29" t="inlineStr">
        <is>
          <t>NAME_TC_BELLEANDPA</t>
        </is>
      </c>
      <c r="B89" s="29" t="inlineStr">
        <is>
          <t>Belle &amp; Pa</t>
        </is>
      </c>
      <c r="C89" s="29" t="inlineStr">
        <is>
          <t>ぼくじょうおやこ</t>
        </is>
      </c>
      <c r="D89" s="6" t="inlineStr">
        <is>
          <t>Fille &amp; Père</t>
        </is>
      </c>
      <c r="E89" s="29" t="inlineStr">
        <is>
          <t>Mädel und Papa</t>
        </is>
      </c>
      <c r="F89" s="29" t="inlineStr">
        <is>
          <t>Padre e hija</t>
        </is>
      </c>
      <c r="G89" s="29" t="inlineStr">
        <is>
          <t>Ranch Family</t>
        </is>
      </c>
      <c r="H89" s="29">
        <f>H101</f>
        <v/>
      </c>
      <c r="I89" s="29">
        <f>I101</f>
        <v/>
      </c>
      <c r="J89" s="29">
        <f>J101</f>
        <v/>
      </c>
    </row>
    <row r="90">
      <c r="A90" s="29">
        <f>CONCATENATE("NAME_TC_", SUBSTITUTE(UPPER(B90), " ", ""))</f>
        <v/>
      </c>
      <c r="B90" s="29" t="inlineStr">
        <is>
          <t>Cameraman</t>
        </is>
      </c>
      <c r="C90" s="29" t="inlineStr">
        <is>
          <t>カメラマン</t>
        </is>
      </c>
      <c r="D90" s="29" t="inlineStr">
        <is>
          <t>Caméraman</t>
        </is>
      </c>
      <c r="E90" s="29" t="inlineStr">
        <is>
          <t>Kameramann</t>
        </is>
      </c>
      <c r="F90" s="29" t="inlineStr">
        <is>
          <t>Cámara</t>
        </is>
      </c>
      <c r="G90" s="29">
        <f>B90</f>
        <v/>
      </c>
      <c r="H90" s="29" t="inlineStr">
        <is>
          <t>카메라맨</t>
        </is>
      </c>
      <c r="I90" s="29" t="inlineStr">
        <is>
          <t>攝影師</t>
        </is>
      </c>
      <c r="J90" s="29">
        <f>IFERROR(__xludf.DUMMYFUNCTION("GOOGLETRANSLATE(I90,""zh_HANT"",""zh_HANS"")"),"摄影师")</f>
        <v/>
      </c>
    </row>
    <row r="91">
      <c r="A91" s="29">
        <f>CONCATENATE("NAME_TC_", SUBSTITUTE(UPPER(B91), " ", ""))</f>
        <v/>
      </c>
      <c r="B91" s="29" t="inlineStr">
        <is>
          <t>Cowgirl</t>
        </is>
      </c>
      <c r="C91" s="29" t="inlineStr">
        <is>
          <t>カウガール</t>
        </is>
      </c>
      <c r="D91" s="29">
        <f>B91</f>
        <v/>
      </c>
      <c r="E91" s="29">
        <f>B91</f>
        <v/>
      </c>
      <c r="F91" s="29" t="inlineStr">
        <is>
          <t>Vaquera</t>
        </is>
      </c>
      <c r="G91" s="29">
        <f>B91</f>
        <v/>
      </c>
      <c r="H91" s="29" t="inlineStr">
        <is>
          <t>카우걸</t>
        </is>
      </c>
      <c r="I91" s="29" t="inlineStr">
        <is>
          <t>牛仔女孩</t>
        </is>
      </c>
      <c r="J91" s="29">
        <f>I91</f>
        <v/>
      </c>
    </row>
    <row r="92">
      <c r="A92" s="29" t="inlineStr">
        <is>
          <t>NAME_TC_CLOWN</t>
        </is>
      </c>
      <c r="B92" s="29" t="inlineStr">
        <is>
          <t>Clown</t>
        </is>
      </c>
      <c r="C92" s="29" t="inlineStr">
        <is>
          <t>ピエロ</t>
        </is>
      </c>
      <c r="D92" s="6" t="inlineStr">
        <is>
          <t>Arlequin</t>
        </is>
      </c>
      <c r="E92" s="29">
        <f>B92</f>
        <v/>
      </c>
      <c r="F92" s="29" t="inlineStr">
        <is>
          <t>Payaso</t>
        </is>
      </c>
      <c r="G92" s="29">
        <f>B92</f>
        <v/>
      </c>
      <c r="H92" s="4" t="inlineStr">
        <is>
          <t>피에로</t>
        </is>
      </c>
      <c r="I92" s="29" t="inlineStr">
        <is>
          <t>小丑</t>
        </is>
      </c>
      <c r="J92" s="29">
        <f>I92</f>
        <v/>
      </c>
    </row>
    <row r="93">
      <c r="A93" s="29" t="inlineStr">
        <is>
          <t>NAME_TC_CYCLIST-M</t>
        </is>
      </c>
      <c r="B93" s="29" t="inlineStr">
        <is>
          <t>Cyclist</t>
        </is>
      </c>
      <c r="C93" s="29" t="inlineStr">
        <is>
          <t>サイクリング</t>
        </is>
      </c>
      <c r="D93" s="29">
        <f>CONCATENATE(B93,"e")</f>
        <v/>
      </c>
      <c r="E93" s="29">
        <f>B5</f>
        <v/>
      </c>
      <c r="F93" s="29" t="inlineStr">
        <is>
          <t>Ciclista</t>
        </is>
      </c>
      <c r="G93" s="29">
        <f>F93</f>
        <v/>
      </c>
      <c r="H93" s="29" t="inlineStr">
        <is>
          <t>사이클링</t>
        </is>
      </c>
      <c r="I93" s="29" t="inlineStr">
        <is>
          <t>自行車手</t>
        </is>
      </c>
      <c r="J93" s="29">
        <f>IFERROR(__xludf.DUMMYFUNCTION("GOOGLETRANSLATE(I93,""zh_HANT"",""zh_HANS"")"),"自行车手")</f>
        <v/>
      </c>
    </row>
    <row r="94">
      <c r="A94" s="29" t="inlineStr">
        <is>
          <t>NAME_TC_CYCLIST-F</t>
        </is>
      </c>
      <c r="B94" s="29">
        <f>B93</f>
        <v/>
      </c>
      <c r="C94" s="29">
        <f>C93</f>
        <v/>
      </c>
      <c r="D94" s="29">
        <f>D93</f>
        <v/>
      </c>
      <c r="E94" s="29">
        <f>CONCATENATE(E93,"in")</f>
        <v/>
      </c>
      <c r="F94" s="29" t="inlineStr">
        <is>
          <t>Ciclista</t>
        </is>
      </c>
      <c r="G94" s="29">
        <f>G93</f>
        <v/>
      </c>
      <c r="H94" s="29">
        <f>H93</f>
        <v/>
      </c>
      <c r="I94" s="29">
        <f>I93</f>
        <v/>
      </c>
      <c r="J94" s="29">
        <f>J93</f>
        <v/>
      </c>
    </row>
    <row r="95">
      <c r="A95" s="29">
        <f>CONCATENATE("NAME_TC_", SUBSTITUTE(UPPER(B95), " ", ""))</f>
        <v/>
      </c>
      <c r="B95" s="29" t="inlineStr">
        <is>
          <t>Idol</t>
        </is>
      </c>
      <c r="C95" s="29" t="inlineStr">
        <is>
          <t>アイドル</t>
        </is>
      </c>
      <c r="D95" s="29" t="inlineStr">
        <is>
          <t>Idole</t>
        </is>
      </c>
      <c r="E95" s="29">
        <f>B95</f>
        <v/>
      </c>
      <c r="F95" s="29" t="inlineStr">
        <is>
          <t>Famosa</t>
        </is>
      </c>
      <c r="G95" s="29" t="inlineStr">
        <is>
          <t>Pop Star</t>
        </is>
      </c>
      <c r="H95" s="29" t="inlineStr">
        <is>
          <t>아이돌</t>
        </is>
      </c>
      <c r="I95" s="29" t="inlineStr">
        <is>
          <t>偶像明星</t>
        </is>
      </c>
      <c r="J95" s="29">
        <f>I95</f>
        <v/>
      </c>
    </row>
    <row r="96">
      <c r="A96" s="29">
        <f>CONCATENATE("NAME_TC_", SUBSTITUTE(UPPER(B96), " ", ""))</f>
        <v/>
      </c>
      <c r="B96" s="29" t="inlineStr">
        <is>
          <t>Jogger</t>
        </is>
      </c>
      <c r="C96" s="29" t="inlineStr">
        <is>
          <t>ジョギング</t>
        </is>
      </c>
      <c r="D96" s="29" t="inlineStr">
        <is>
          <t>Joggeur</t>
        </is>
      </c>
      <c r="E96" s="29">
        <f>B96</f>
        <v/>
      </c>
      <c r="F96" s="29" t="inlineStr">
        <is>
          <t>Corredor</t>
        </is>
      </c>
      <c r="G96" s="29" t="inlineStr">
        <is>
          <t>Podista</t>
        </is>
      </c>
      <c r="H96" s="29" t="inlineStr">
        <is>
          <t>조깅</t>
        </is>
      </c>
      <c r="I96" s="29" t="inlineStr">
        <is>
          <t>慢跑者</t>
        </is>
      </c>
      <c r="J96" s="29">
        <f>I96</f>
        <v/>
      </c>
    </row>
    <row r="97">
      <c r="A97" s="29">
        <f>CONCATENATE("NAME_TC_", SUBSTITUTE(UPPER(B97), " ", ""))</f>
        <v/>
      </c>
      <c r="B97" s="29" t="inlineStr">
        <is>
          <t>Madame</t>
        </is>
      </c>
      <c r="C97" s="29" t="inlineStr">
        <is>
          <t>マダム</t>
        </is>
      </c>
      <c r="D97" s="29" t="inlineStr">
        <is>
          <t>Mondaine</t>
        </is>
      </c>
      <c r="E97" s="29" t="inlineStr">
        <is>
          <t>Dame</t>
        </is>
      </c>
      <c r="F97" s="29" t="inlineStr">
        <is>
          <t>Aristócrata</t>
        </is>
      </c>
      <c r="G97" s="29">
        <f>B97</f>
        <v/>
      </c>
      <c r="H97" s="29" t="inlineStr">
        <is>
          <t>마담</t>
        </is>
      </c>
      <c r="I97" s="29" t="inlineStr">
        <is>
          <t>女士</t>
        </is>
      </c>
      <c r="J97" s="29">
        <f>I97</f>
        <v/>
      </c>
    </row>
    <row r="98">
      <c r="A98" s="29" t="inlineStr">
        <is>
          <t>NAME_TC_POKEKID-M</t>
        </is>
      </c>
      <c r="B98" s="29" t="inlineStr">
        <is>
          <t>Poké Kid</t>
        </is>
      </c>
      <c r="C98" s="29" t="inlineStr">
        <is>
          <t>ポケモンごっこ</t>
        </is>
      </c>
      <c r="D98" s="29" t="inlineStr">
        <is>
          <t>Poké Enfant</t>
        </is>
      </c>
      <c r="E98" s="29" t="inlineStr">
        <is>
          <t>Poké-Kind</t>
        </is>
      </c>
      <c r="F98" s="29" t="inlineStr">
        <is>
          <t>Pokéchico</t>
        </is>
      </c>
      <c r="G98" s="29" t="inlineStr">
        <is>
          <t>Poké Bimbo</t>
        </is>
      </c>
      <c r="H98" s="29" t="inlineStr">
        <is>
          <t>포켓몬놀이</t>
        </is>
      </c>
      <c r="I98" s="29" t="inlineStr">
        <is>
          <t>寶可夢小朋友</t>
        </is>
      </c>
      <c r="J98" s="29">
        <f>IFERROR(__xludf.DUMMYFUNCTION("GOOGLETRANSLATE(I98,""zh_HANT"",""zh_HANS"")"),"宝可梦小朋友")</f>
        <v/>
      </c>
    </row>
    <row r="99">
      <c r="A99" s="29" t="inlineStr">
        <is>
          <t>NAME_TC_POKEKID-F</t>
        </is>
      </c>
      <c r="B99" s="29">
        <f>B98</f>
        <v/>
      </c>
      <c r="C99" s="29">
        <f>C98</f>
        <v/>
      </c>
      <c r="D99" s="29">
        <f>D98</f>
        <v/>
      </c>
      <c r="E99" s="29">
        <f>E98</f>
        <v/>
      </c>
      <c r="F99" s="29" t="inlineStr">
        <is>
          <t>Pokéchica</t>
        </is>
      </c>
      <c r="G99" s="29" t="inlineStr">
        <is>
          <t>Poké Bimba</t>
        </is>
      </c>
      <c r="H99" s="29">
        <f>H98</f>
        <v/>
      </c>
      <c r="I99" s="29">
        <f>I98</f>
        <v/>
      </c>
      <c r="J99" s="29">
        <f>J98</f>
        <v/>
      </c>
    </row>
    <row r="100">
      <c r="A100" s="29">
        <f>CONCATENATE("NAME_TC_", SUBSTITUTE(UPPER(B100), " ", ""))</f>
        <v/>
      </c>
      <c r="B100" s="29" t="inlineStr">
        <is>
          <t>Rancher</t>
        </is>
      </c>
      <c r="C100" s="29" t="inlineStr">
        <is>
          <t>ぼくじょうおじさん</t>
        </is>
      </c>
      <c r="D100" s="29" t="inlineStr">
        <is>
          <t>Fermier</t>
        </is>
      </c>
      <c r="E100" s="29" t="inlineStr">
        <is>
          <t>Farmer</t>
        </is>
      </c>
      <c r="F100" s="29" t="inlineStr">
        <is>
          <t>Ranchero</t>
        </is>
      </c>
      <c r="G100" s="29" t="inlineStr">
        <is>
          <t>Fattore</t>
        </is>
      </c>
      <c r="H100" s="29" t="inlineStr">
        <is>
          <t>목장아저씨</t>
        </is>
      </c>
      <c r="I100" s="29" t="inlineStr">
        <is>
          <t>牧場大叔</t>
        </is>
      </c>
      <c r="J100" s="29">
        <f>IFERROR(__xludf.DUMMYFUNCTION("GOOGLETRANSLATE(I100,""zh_HANT"",""zh_HANS"")"),"牧场大叔")</f>
        <v/>
      </c>
    </row>
    <row r="101">
      <c r="A101" s="29" t="inlineStr">
        <is>
          <t>NAME_TC_RANCHERS</t>
        </is>
      </c>
      <c r="B101" s="29" t="inlineStr">
        <is>
          <t>Ranchers</t>
        </is>
      </c>
      <c r="C101" s="29" t="inlineStr">
        <is>
          <t>ぼくじょうおやこ</t>
        </is>
      </c>
      <c r="D101" s="29" t="inlineStr">
        <is>
          <t>Fermiers en famille</t>
        </is>
      </c>
      <c r="E101" s="29" t="inlineStr">
        <is>
          <t>Farmer &amp; Tochter</t>
        </is>
      </c>
      <c r="F101" s="29" t="inlineStr">
        <is>
          <t>Rancheros</t>
        </is>
      </c>
      <c r="G101" s="29">
        <f>G89</f>
        <v/>
      </c>
      <c r="H101" s="29" t="inlineStr">
        <is>
          <t>목장가족</t>
        </is>
      </c>
      <c r="I101" s="29" t="inlineStr">
        <is>
          <t>牧場父女</t>
        </is>
      </c>
      <c r="J101" s="29">
        <f>IFERROR(__xludf.DUMMYFUNCTION("GOOGLETRANSLATE(I101,""zh_HANT"",""zh_HANS"")"),"牧场父女")</f>
        <v/>
      </c>
    </row>
    <row r="102">
      <c r="A102" s="29">
        <f>CONCATENATE("NAME_TC_", SUBSTITUTE(UPPER(B102), " ", ""))</f>
        <v/>
      </c>
      <c r="B102" s="29" t="inlineStr">
        <is>
          <t>Reporter</t>
        </is>
      </c>
      <c r="C102" s="29" t="inlineStr">
        <is>
          <t>レポーター</t>
        </is>
      </c>
      <c r="D102" s="29" t="inlineStr">
        <is>
          <t>Reporter</t>
        </is>
      </c>
      <c r="E102" s="29">
        <f>B102</f>
        <v/>
      </c>
      <c r="F102" s="29" t="inlineStr">
        <is>
          <t>Reportera</t>
        </is>
      </c>
      <c r="G102" s="29" t="inlineStr">
        <is>
          <t>Inviata</t>
        </is>
      </c>
      <c r="H102" s="29" t="inlineStr">
        <is>
          <t>리포터</t>
        </is>
      </c>
      <c r="I102" s="29" t="inlineStr">
        <is>
          <t>記者</t>
        </is>
      </c>
      <c r="J102" s="29">
        <f>IFERROR(__xludf.DUMMYFUNCTION("GOOGLETRANSLATE(I102,""zh_HANT"",""zh_HANS"")"),"记者")</f>
        <v/>
      </c>
    </row>
    <row r="103">
      <c r="A103" s="29" t="inlineStr">
        <is>
          <t>NAME_TC_VETERAN-M</t>
        </is>
      </c>
      <c r="B103" s="29" t="inlineStr">
        <is>
          <t>Veteran</t>
        </is>
      </c>
      <c r="C103" s="29" t="inlineStr">
        <is>
          <t>ベテラントレーナー</t>
        </is>
      </c>
      <c r="D103" s="29" t="inlineStr">
        <is>
          <t>Vétéran</t>
        </is>
      </c>
      <c r="E103" s="29">
        <f>B103</f>
        <v/>
      </c>
      <c r="F103" s="29" t="inlineStr">
        <is>
          <t>Veterano</t>
        </is>
      </c>
      <c r="G103" s="29">
        <f>F103</f>
        <v/>
      </c>
      <c r="H103" s="29" t="inlineStr">
        <is>
          <t>베테랑 트레이너</t>
        </is>
      </c>
      <c r="I103" s="29" t="inlineStr">
        <is>
          <t>資深訓練家</t>
        </is>
      </c>
      <c r="J103" s="29">
        <f>IFERROR(__xludf.DUMMYFUNCTION("GOOGLETRANSLATE(I103,""zh_HANT"",""zh_HANS"")"),"资深训练家")</f>
        <v/>
      </c>
    </row>
    <row r="104">
      <c r="A104" s="29" t="inlineStr">
        <is>
          <t>NAME_TC_VETERAN-F</t>
        </is>
      </c>
      <c r="B104" s="29">
        <f>B103</f>
        <v/>
      </c>
      <c r="C104" s="29">
        <f>C103</f>
        <v/>
      </c>
      <c r="D104" s="29">
        <f>D103</f>
        <v/>
      </c>
      <c r="E104" s="29">
        <f>E103</f>
        <v/>
      </c>
      <c r="F104" s="29" t="inlineStr">
        <is>
          <t>Veterana</t>
        </is>
      </c>
      <c r="G104" s="29">
        <f>F104</f>
        <v/>
      </c>
      <c r="H104" s="29">
        <f>H103</f>
        <v/>
      </c>
      <c r="I104" s="29">
        <f>I103</f>
        <v/>
      </c>
      <c r="J104" s="29">
        <f>J103</f>
        <v/>
      </c>
    </row>
    <row r="105">
      <c r="A105" s="29">
        <f>CONCATENATE("NAME_TC_", SUBSTITUTE(UPPER(B105), " ", ""))</f>
        <v/>
      </c>
      <c r="B105" s="29" t="inlineStr">
        <is>
          <t>Waiter</t>
        </is>
      </c>
      <c r="C105" s="29" t="inlineStr">
        <is>
          <t>ウエーター</t>
        </is>
      </c>
      <c r="D105" s="29" t="inlineStr">
        <is>
          <t>Serveur</t>
        </is>
      </c>
      <c r="E105" s="29" t="inlineStr">
        <is>
          <t>Serverer</t>
        </is>
      </c>
      <c r="F105" s="29" t="inlineStr">
        <is>
          <t>Camarero</t>
        </is>
      </c>
      <c r="G105" s="29" t="inlineStr">
        <is>
          <t>Cameriere</t>
        </is>
      </c>
      <c r="H105" s="29" t="inlineStr">
        <is>
          <t>웨이터</t>
        </is>
      </c>
      <c r="I105" s="29" t="inlineStr">
        <is>
          <t>服務生</t>
        </is>
      </c>
      <c r="J105" s="29">
        <f>IFERROR(__xludf.DUMMYFUNCTION("GOOGLETRANSLATE(I105,""zh_HANT"",""zh_HANS"")"),"服务员")</f>
        <v/>
      </c>
    </row>
    <row r="106">
      <c r="A106" s="29">
        <f>CONCATENATE("NAME_TC_", SUBSTITUTE(UPPER(B106), " ", ""))</f>
        <v/>
      </c>
      <c r="B106" s="29" t="inlineStr">
        <is>
          <t>Waitress</t>
        </is>
      </c>
      <c r="C106" s="29" t="inlineStr">
        <is>
          <t>ウエートレス</t>
        </is>
      </c>
      <c r="D106" s="29" t="inlineStr">
        <is>
          <t>Serveuse</t>
        </is>
      </c>
      <c r="E106" s="29">
        <f>CONCATENATE(E105,"in")</f>
        <v/>
      </c>
      <c r="F106" s="29" t="inlineStr">
        <is>
          <t>Camarera</t>
        </is>
      </c>
      <c r="G106" s="29" t="inlineStr">
        <is>
          <t>Cameriera</t>
        </is>
      </c>
      <c r="H106" s="29" t="inlineStr">
        <is>
          <t>웨이트리스</t>
        </is>
      </c>
      <c r="I106" s="29" t="inlineStr">
        <is>
          <t>女服務生</t>
        </is>
      </c>
      <c r="J106" s="29">
        <f>IFERROR(__xludf.DUMMYFUNCTION("GOOGLETRANSLATE(I106,""zh_HANT"",""zh_HANS"")"),"女服务生")</f>
        <v/>
      </c>
    </row>
    <row r="107">
      <c r="A107" s="29">
        <f>CONCATENATE("NAME_TC_", SUBSTITUTE(UPPER(B107), " ", ""))</f>
        <v/>
      </c>
      <c r="B107" s="29" t="inlineStr">
        <is>
          <t>Maid</t>
        </is>
      </c>
      <c r="C107" s="29" t="inlineStr">
        <is>
          <t>メイド</t>
        </is>
      </c>
      <c r="D107" s="29" t="inlineStr">
        <is>
          <t>Gouvernante</t>
        </is>
      </c>
      <c r="E107" s="29" t="inlineStr">
        <is>
          <t>Zofe</t>
        </is>
      </c>
      <c r="F107" s="29" t="inlineStr">
        <is>
          <t>Criada</t>
        </is>
      </c>
      <c r="G107" s="29" t="inlineStr">
        <is>
          <t>Domestica</t>
        </is>
      </c>
      <c r="H107" s="29" t="inlineStr">
        <is>
          <t>메이드</t>
        </is>
      </c>
      <c r="I107" s="29">
        <f>IFERROR(__xludf.DUMMYFUNCTION("GOOGLETRANSLATE(J107,""zh_HANS"",""zh_HANT"")"),"女僕")</f>
        <v/>
      </c>
      <c r="J107" s="29" t="inlineStr">
        <is>
          <t>女仆</t>
        </is>
      </c>
    </row>
    <row r="108">
      <c r="A108" s="29">
        <f>CONCATENATE("NAME_TC_", SUBSTITUTE(UPPER(B108), " ", ""))</f>
        <v/>
      </c>
      <c r="B108" s="29" t="inlineStr">
        <is>
          <t>Elder</t>
        </is>
      </c>
      <c r="C108" s="29" t="inlineStr">
        <is>
          <t>コウセイ</t>
        </is>
      </c>
      <c r="D108" s="29" t="inlineStr">
        <is>
          <t>Ancien</t>
        </is>
      </c>
      <c r="E108" s="29" t="inlineStr">
        <is>
          <t>Weisester</t>
        </is>
      </c>
      <c r="F108" s="29" t="inlineStr">
        <is>
          <t>Anciano</t>
        </is>
      </c>
      <c r="G108" s="29" t="inlineStr">
        <is>
          <t>Anziano</t>
        </is>
      </c>
      <c r="H108" s="29" t="inlineStr">
        <is>
          <t>장로</t>
        </is>
      </c>
      <c r="I108" s="29">
        <f>IFERROR(__xludf.DUMMYFUNCTION("GOOGLETRANSLATE(J108,""zh_HANS"",""zh_HANT"")"),"長老")</f>
        <v/>
      </c>
      <c r="J108" s="29" t="inlineStr">
        <is>
          <t>长老</t>
        </is>
      </c>
    </row>
    <row r="109">
      <c r="A109" s="29" t="inlineStr">
        <is>
          <t>NAME_TC_BACKERS-M</t>
        </is>
      </c>
      <c r="B109" s="29" t="inlineStr">
        <is>
          <t>Backers</t>
        </is>
      </c>
      <c r="C109" s="29" t="inlineStr">
        <is>
          <t>ファンクラブ</t>
        </is>
      </c>
      <c r="D109" s="29" t="inlineStr">
        <is>
          <t>Supporters</t>
        </is>
      </c>
      <c r="E109" s="29" t="inlineStr">
        <is>
          <t>Anhänger</t>
        </is>
      </c>
      <c r="F109" s="29" t="inlineStr">
        <is>
          <t>Hinchas</t>
        </is>
      </c>
      <c r="G109" s="29" t="inlineStr">
        <is>
          <t>Fan</t>
        </is>
      </c>
      <c r="H109" s="6" t="inlineStr">
        <is>
          <t>팬클럽</t>
        </is>
      </c>
      <c r="I109" s="29">
        <f>IFERROR(__xludf.DUMMYFUNCTION("GOOGLETRANSLATE(J109,""zh_HANS"",""zh_HANT"")"),"啦啦隊")</f>
        <v/>
      </c>
      <c r="J109" s="29" t="inlineStr">
        <is>
          <t>啦啦队</t>
        </is>
      </c>
    </row>
    <row r="110">
      <c r="A110" s="29" t="inlineStr">
        <is>
          <t>NAME_TC_BACKERS-F</t>
        </is>
      </c>
      <c r="B110" s="29">
        <f>B109</f>
        <v/>
      </c>
      <c r="C110" s="29">
        <f>C109</f>
        <v/>
      </c>
      <c r="D110" s="29" t="inlineStr">
        <is>
          <t>Pom-Pom Girls</t>
        </is>
      </c>
      <c r="E110" s="29">
        <f>E109</f>
        <v/>
      </c>
      <c r="F110" s="29" t="inlineStr">
        <is>
          <t>Animadoras</t>
        </is>
      </c>
      <c r="G110" s="29">
        <f>G109</f>
        <v/>
      </c>
      <c r="H110" s="29">
        <f>H109</f>
        <v/>
      </c>
      <c r="I110" s="29">
        <f>I109</f>
        <v/>
      </c>
      <c r="J110" s="29">
        <f>J109</f>
        <v/>
      </c>
    </row>
    <row r="111">
      <c r="A111" s="29" t="inlineStr">
        <is>
          <t>NAME_TC_BACKPACKER-M</t>
        </is>
      </c>
      <c r="B111" s="29" t="inlineStr">
        <is>
          <t>Backpacker</t>
        </is>
      </c>
      <c r="C111" s="29" t="inlineStr">
        <is>
          <t>バックパッカー</t>
        </is>
      </c>
      <c r="D111" s="29" t="inlineStr">
        <is>
          <t>Randonneur</t>
        </is>
      </c>
      <c r="E111" s="29">
        <f>B111</f>
        <v/>
      </c>
      <c r="F111" s="29" t="inlineStr">
        <is>
          <t>Mochilero</t>
        </is>
      </c>
      <c r="G111" s="29" t="inlineStr">
        <is>
          <t>Giramondo</t>
        </is>
      </c>
      <c r="H111" s="6" t="inlineStr">
        <is>
          <t>백팩커</t>
        </is>
      </c>
      <c r="I111" s="29" t="inlineStr">
        <is>
          <t>背包客</t>
        </is>
      </c>
      <c r="J111" s="29">
        <f>I111</f>
        <v/>
      </c>
    </row>
    <row r="112">
      <c r="A112" s="29" t="inlineStr">
        <is>
          <t>NAME_TC_BACKPACKER-F</t>
        </is>
      </c>
      <c r="B112" s="29">
        <f>B111</f>
        <v/>
      </c>
      <c r="C112" s="29">
        <f>C111</f>
        <v/>
      </c>
      <c r="D112" s="29" t="inlineStr">
        <is>
          <t>Randonneuse</t>
        </is>
      </c>
      <c r="E112" s="29">
        <f>CONCATENATE(E111,"in")</f>
        <v/>
      </c>
      <c r="F112" s="29" t="inlineStr">
        <is>
          <t>Mochilera</t>
        </is>
      </c>
      <c r="G112" s="29">
        <f>G111</f>
        <v/>
      </c>
      <c r="H112" s="29">
        <f>H111</f>
        <v/>
      </c>
      <c r="I112" s="29">
        <f>I111</f>
        <v/>
      </c>
      <c r="J112" s="29">
        <f>J111</f>
        <v/>
      </c>
    </row>
    <row r="113">
      <c r="A113" s="29">
        <f>CONCATENATE("NAME_TC_", SUBSTITUTE(UPPER(B113), " ", ""))</f>
        <v/>
      </c>
      <c r="B113" s="29" t="inlineStr">
        <is>
          <t>Baker</t>
        </is>
      </c>
      <c r="C113" s="29" t="inlineStr">
        <is>
          <t>ベーカリー</t>
        </is>
      </c>
      <c r="D113" s="29" t="inlineStr">
        <is>
          <t>Boulangère</t>
        </is>
      </c>
      <c r="E113" s="29" t="inlineStr">
        <is>
          <t>Bäckerin</t>
        </is>
      </c>
      <c r="F113" s="29" t="inlineStr">
        <is>
          <t>Pastelera</t>
        </is>
      </c>
      <c r="G113" s="29" t="inlineStr">
        <is>
          <t>Panettiera</t>
        </is>
      </c>
      <c r="H113" s="4" t="inlineStr">
        <is>
          <t>제빵사</t>
        </is>
      </c>
      <c r="I113" s="29">
        <f>IFERROR(__xludf.DUMMYFUNCTION("GOOGLETRANSLATE(J113,""zh_HANS"",""zh_HANT"")"),"麵包師傅")</f>
        <v/>
      </c>
      <c r="J113" s="29" t="inlineStr">
        <is>
          <t>面包师傅</t>
        </is>
      </c>
    </row>
    <row r="114">
      <c r="A114" s="29" t="inlineStr">
        <is>
          <t>NAME_TC_CLERK-M</t>
        </is>
      </c>
      <c r="B114" s="29" t="inlineStr">
        <is>
          <t>Clerk</t>
        </is>
      </c>
      <c r="C114" s="29" t="inlineStr">
        <is>
          <t>ビジネスマン</t>
        </is>
      </c>
      <c r="D114" s="29" t="inlineStr">
        <is>
          <t>Employé</t>
        </is>
      </c>
      <c r="E114" s="29">
        <f>CONCATENATE(E115,"r")</f>
        <v/>
      </c>
      <c r="F114" s="29" t="inlineStr">
        <is>
          <t>Empresario</t>
        </is>
      </c>
      <c r="G114" s="29" t="inlineStr">
        <is>
          <t>Affarista</t>
        </is>
      </c>
      <c r="H114" s="6" t="inlineStr">
        <is>
          <t>비즈니스맨</t>
        </is>
      </c>
      <c r="I114" s="6" t="inlineStr">
        <is>
          <t>商務人士</t>
        </is>
      </c>
      <c r="J114" s="29">
        <f>IFERROR(__xludf.DUMMYFUNCTION("GOOGLETRANSLATE(I114,""zh_HANT"",""zh_HANS"")"),"商务人士")</f>
        <v/>
      </c>
    </row>
    <row r="115">
      <c r="A115" s="29" t="inlineStr">
        <is>
          <t>NAME_TC_CLERK-F</t>
        </is>
      </c>
      <c r="B115" s="29">
        <f>B114</f>
        <v/>
      </c>
      <c r="C115" s="29" t="inlineStr">
        <is>
          <t>ＯＬ</t>
        </is>
      </c>
      <c r="D115" s="29" t="inlineStr">
        <is>
          <t>Employée</t>
        </is>
      </c>
      <c r="E115" s="29" t="inlineStr">
        <is>
          <t>Angestellte</t>
        </is>
      </c>
      <c r="F115" s="29" t="inlineStr">
        <is>
          <t>Oficinista</t>
        </is>
      </c>
      <c r="G115" s="29" t="inlineStr">
        <is>
          <t>Donna in carriera</t>
        </is>
      </c>
      <c r="H115" s="6" t="inlineStr">
        <is>
          <t>여사원</t>
        </is>
      </c>
      <c r="I115" s="29">
        <f>C115</f>
        <v/>
      </c>
      <c r="J115" s="29">
        <f>I115</f>
        <v/>
      </c>
    </row>
    <row r="116">
      <c r="A116" s="29" t="inlineStr">
        <is>
          <t>NAME_TC_DANCER-M</t>
        </is>
      </c>
      <c r="B116" s="29" t="inlineStr">
        <is>
          <t>Dancer</t>
        </is>
      </c>
      <c r="C116" s="29" t="inlineStr">
        <is>
          <t>ダンサー</t>
        </is>
      </c>
      <c r="D116" s="29" t="inlineStr">
        <is>
          <t>Danseur</t>
        </is>
      </c>
      <c r="E116" s="29" t="inlineStr">
        <is>
          <t>Tänzer</t>
        </is>
      </c>
      <c r="F116" s="29" t="inlineStr">
        <is>
          <t>Breakdancer</t>
        </is>
      </c>
      <c r="G116" s="29" t="inlineStr">
        <is>
          <t>Ballerino</t>
        </is>
      </c>
      <c r="H116" s="4" t="inlineStr">
        <is>
          <t>댄서</t>
        </is>
      </c>
      <c r="I116" s="6" t="inlineStr">
        <is>
          <t>舞者</t>
        </is>
      </c>
      <c r="J116" s="29">
        <f>I116</f>
        <v/>
      </c>
    </row>
    <row r="117">
      <c r="A117" s="29" t="inlineStr">
        <is>
          <t>NAME_TC_DANCER-F</t>
        </is>
      </c>
      <c r="B117" s="29">
        <f>B116</f>
        <v/>
      </c>
      <c r="C117" s="29">
        <f>C116</f>
        <v/>
      </c>
      <c r="D117" s="29" t="inlineStr">
        <is>
          <t>Danseuse</t>
        </is>
      </c>
      <c r="E117" s="29">
        <f>CONCATENATE(E116,"in")</f>
        <v/>
      </c>
      <c r="F117" s="29" t="inlineStr">
        <is>
          <t>Bailarina</t>
        </is>
      </c>
      <c r="G117" s="29" t="inlineStr">
        <is>
          <t>Ballerina</t>
        </is>
      </c>
      <c r="H117" s="29">
        <f>H116</f>
        <v/>
      </c>
      <c r="I117" s="29">
        <f>I116</f>
        <v/>
      </c>
      <c r="J117" s="29">
        <f>J116</f>
        <v/>
      </c>
    </row>
    <row r="118">
      <c r="A118" s="29" t="inlineStr">
        <is>
          <t>NAME_TC_DOCTOR-M</t>
        </is>
      </c>
      <c r="B118" s="29" t="inlineStr">
        <is>
          <t>Doctor</t>
        </is>
      </c>
      <c r="C118" s="29" t="inlineStr">
        <is>
          <t>ドクター</t>
        </is>
      </c>
      <c r="D118" s="29" t="inlineStr">
        <is>
          <t>Docteur</t>
        </is>
      </c>
      <c r="E118" s="29" t="inlineStr">
        <is>
          <t>Artz</t>
        </is>
      </c>
      <c r="F118" s="29" t="inlineStr">
        <is>
          <t>Doctor</t>
        </is>
      </c>
      <c r="G118" s="29" t="inlineStr">
        <is>
          <t>Medico</t>
        </is>
      </c>
      <c r="H118" s="6" t="inlineStr">
        <is>
          <t>의사</t>
        </is>
      </c>
      <c r="I118" s="6" t="inlineStr">
        <is>
          <t>醫生</t>
        </is>
      </c>
      <c r="J118" s="29">
        <f>IFERROR(__xludf.DUMMYFUNCTION("GOOGLETRANSLATE(I118,""zh_HANT"",""zh_HANS"")"),"医生")</f>
        <v/>
      </c>
    </row>
    <row r="119">
      <c r="A119" s="29" t="inlineStr">
        <is>
          <t>NAME_TC_DOCTOR-F</t>
        </is>
      </c>
      <c r="B119" s="29">
        <f>B118</f>
        <v/>
      </c>
      <c r="C119" s="29">
        <f>C118</f>
        <v/>
      </c>
      <c r="D119" s="29" t="inlineStr">
        <is>
          <t>Docteure</t>
        </is>
      </c>
      <c r="E119" s="29" t="inlineStr">
        <is>
          <t>Ärztin</t>
        </is>
      </c>
      <c r="F119" s="29" t="inlineStr">
        <is>
          <t>Doctora</t>
        </is>
      </c>
      <c r="G119" s="29">
        <f>G118</f>
        <v/>
      </c>
      <c r="H119" s="29">
        <f>H118</f>
        <v/>
      </c>
      <c r="I119" s="29">
        <f>I118</f>
        <v/>
      </c>
      <c r="J119" s="29">
        <f>J118</f>
        <v/>
      </c>
    </row>
    <row r="120">
      <c r="A120" s="29">
        <f>CONCATENATE("NAME_TC_", SUBSTITUTE(UPPER(B120), " ", ""))</f>
        <v/>
      </c>
      <c r="B120" s="29" t="inlineStr">
        <is>
          <t>Harlequin</t>
        </is>
      </c>
      <c r="C120" s="29" t="inlineStr">
        <is>
          <t>クラウン</t>
        </is>
      </c>
      <c r="D120" s="29">
        <f>B92</f>
        <v/>
      </c>
      <c r="E120" s="29" t="inlineStr">
        <is>
          <t>Kasper</t>
        </is>
      </c>
      <c r="F120" s="29" t="inlineStr">
        <is>
          <t>Arlequín</t>
        </is>
      </c>
      <c r="G120" s="29">
        <f>D92</f>
        <v/>
      </c>
      <c r="H120" s="29" t="inlineStr">
        <is>
          <t>어릿광대</t>
        </is>
      </c>
      <c r="I120" s="29">
        <f>IFERROR(__xludf.DUMMYFUNCTION("GOOGLETRANSLATE(J120,""zh_HANS"",""zh_HANT"")"),"滑稽演員")</f>
        <v/>
      </c>
      <c r="J120" s="29" t="inlineStr">
        <is>
          <t>滑稽演员</t>
        </is>
      </c>
    </row>
    <row r="121">
      <c r="A121" s="29">
        <f>CONCATENATE("NAME_TC_", SUBSTITUTE(UPPER(B121), " ", ""))</f>
        <v/>
      </c>
      <c r="B121" s="29" t="inlineStr">
        <is>
          <t>Hooligans</t>
        </is>
      </c>
      <c r="C121" s="29" t="inlineStr">
        <is>
          <t>バードチーム</t>
        </is>
      </c>
      <c r="D121" s="29" t="inlineStr">
        <is>
          <t>Loubards</t>
        </is>
      </c>
      <c r="E121" s="29" t="inlineStr">
        <is>
          <t>Rabauken</t>
        </is>
      </c>
      <c r="F121" s="29" t="inlineStr">
        <is>
          <t>Pandilleros</t>
        </is>
      </c>
      <c r="G121" s="29" t="inlineStr">
        <is>
          <t>Teppisti</t>
        </is>
      </c>
      <c r="H121" s="29" t="inlineStr">
        <is>
          <t>배드팀</t>
        </is>
      </c>
      <c r="I121" s="29">
        <f>IFERROR(__xludf.DUMMYFUNCTION("GOOGLETRANSLATE(J121,""zh_HANS"",""zh_HANT"")"),"暴走組合")</f>
        <v/>
      </c>
      <c r="J121" s="29" t="inlineStr">
        <is>
          <t>暴走组合</t>
        </is>
      </c>
    </row>
    <row r="122">
      <c r="A122" s="29" t="inlineStr">
        <is>
          <t>NAME_TC_HOOPSTER</t>
        </is>
      </c>
      <c r="B122" s="29" t="inlineStr">
        <is>
          <t>Hoopster</t>
        </is>
      </c>
      <c r="C122" s="29" t="inlineStr">
        <is>
          <t>バスケせんしゅ</t>
        </is>
      </c>
      <c r="D122" s="29" t="inlineStr">
        <is>
          <t>Basketteur</t>
        </is>
      </c>
      <c r="E122" s="29" t="inlineStr">
        <is>
          <t>Basketballer</t>
        </is>
      </c>
      <c r="F122" s="29" t="inlineStr">
        <is>
          <t>Pívot</t>
        </is>
      </c>
      <c r="G122" s="29" t="inlineStr">
        <is>
          <t>Cestista</t>
        </is>
      </c>
      <c r="H122" s="29" t="inlineStr">
        <is>
          <t>농구선수</t>
        </is>
      </c>
      <c r="I122" s="29">
        <f>IFERROR(__xludf.DUMMYFUNCTION("GOOGLETRANSLATE(J122,""zh_HANS"",""zh_HANT"")"),"籃球選手")</f>
        <v/>
      </c>
      <c r="J122" s="29" t="inlineStr">
        <is>
          <t>篮球选手</t>
        </is>
      </c>
    </row>
    <row r="123">
      <c r="A123" s="29">
        <f>CONCATENATE("NAME_TC_", SUBSTITUTE(UPPER(B123), " ", ""))</f>
        <v/>
      </c>
      <c r="B123" s="29" t="inlineStr">
        <is>
          <t>Infielder</t>
        </is>
      </c>
      <c r="C123" s="29" t="inlineStr">
        <is>
          <t>やきゅうせんしゅ</t>
        </is>
      </c>
      <c r="D123" s="29" t="inlineStr">
        <is>
          <t>Baseballeur</t>
        </is>
      </c>
      <c r="E123" s="29" t="inlineStr">
        <is>
          <t>Baseballer</t>
        </is>
      </c>
      <c r="F123" s="29" t="inlineStr">
        <is>
          <t>Pitcher</t>
        </is>
      </c>
      <c r="G123" s="29" t="inlineStr">
        <is>
          <t>Battitore</t>
        </is>
      </c>
      <c r="H123" s="29" t="inlineStr">
        <is>
          <t>야구선수</t>
        </is>
      </c>
      <c r="I123" s="29">
        <f>IFERROR(__xludf.DUMMYFUNCTION("GOOGLETRANSLATE(J123,""zh_HANS"",""zh_HANT"")"),"棒球選手")</f>
        <v/>
      </c>
      <c r="J123" s="29" t="inlineStr">
        <is>
          <t>棒球選手</t>
        </is>
      </c>
    </row>
    <row r="124">
      <c r="A124" s="29">
        <f>CONCATENATE("NAME_TC_", SUBSTITUTE(UPPER(B124), " ", ""))</f>
        <v/>
      </c>
      <c r="B124" s="29" t="inlineStr">
        <is>
          <t>Janitor</t>
        </is>
      </c>
      <c r="C124" s="29" t="inlineStr">
        <is>
          <t>せいそういん</t>
        </is>
      </c>
      <c r="D124" s="29" t="inlineStr">
        <is>
          <t>Nettoyeur</t>
        </is>
      </c>
      <c r="E124" s="29" t="inlineStr">
        <is>
          <t>Hausmeister</t>
        </is>
      </c>
      <c r="F124" s="29" t="inlineStr">
        <is>
          <t>Limpiador</t>
        </is>
      </c>
      <c r="G124" s="29" t="inlineStr">
        <is>
          <t>Netturbino</t>
        </is>
      </c>
      <c r="H124" s="29" t="inlineStr">
        <is>
          <t>청소부</t>
        </is>
      </c>
      <c r="I124" s="29" t="inlineStr">
        <is>
          <t>清潔員</t>
        </is>
      </c>
      <c r="J124" s="29">
        <f>IFERROR(__xludf.DUMMYFUNCTION("GOOGLETRANSLATE(I124,""zh_HANT"",""zh_HANS"")"),"清洁员")</f>
        <v/>
      </c>
    </row>
    <row r="125">
      <c r="A125" s="29" t="inlineStr">
        <is>
          <t>NAME_TC_LINEBACKER</t>
        </is>
      </c>
      <c r="B125" s="29" t="inlineStr">
        <is>
          <t>Linebacker</t>
        </is>
      </c>
      <c r="C125" s="29" t="inlineStr">
        <is>
          <t>フットボーラー</t>
        </is>
      </c>
      <c r="D125" s="29" t="inlineStr">
        <is>
          <t>Quaterback</t>
        </is>
      </c>
      <c r="E125" s="29" t="inlineStr">
        <is>
          <t>Footballer</t>
        </is>
      </c>
      <c r="F125" s="29" t="inlineStr">
        <is>
          <t>Quarterback</t>
        </is>
      </c>
      <c r="G125" s="29">
        <f>D125</f>
        <v/>
      </c>
      <c r="H125" s="29" t="inlineStr">
        <is>
          <t>미식축구선수</t>
        </is>
      </c>
      <c r="I125" s="29">
        <f>IFERROR(__xludf.DUMMYFUNCTION("GOOGLETRANSLATE(J125,""zh_HANS"",""zh_HANT"")"),"橄欖球選手")</f>
        <v/>
      </c>
      <c r="J125" s="29" t="inlineStr">
        <is>
          <t>橄榄球选手</t>
        </is>
      </c>
    </row>
    <row r="126">
      <c r="A126" s="29">
        <f>CONCATENATE("NAME_TC_", SUBSTITUTE(UPPER(B126), " ", ""))</f>
        <v/>
      </c>
      <c r="B126" s="29" t="inlineStr">
        <is>
          <t>Musician</t>
        </is>
      </c>
      <c r="C126" s="29" t="inlineStr">
        <is>
          <t>ミュージシャン</t>
        </is>
      </c>
      <c r="D126" s="29" t="inlineStr">
        <is>
          <t>Musicien</t>
        </is>
      </c>
      <c r="E126" s="29" t="inlineStr">
        <is>
          <t>Musiker</t>
        </is>
      </c>
      <c r="F126" s="29" t="inlineStr">
        <is>
          <t>Cantautor</t>
        </is>
      </c>
      <c r="G126" s="29" t="inlineStr">
        <is>
          <t>Musicista</t>
        </is>
      </c>
      <c r="H126" s="29" t="inlineStr">
        <is>
          <t>뮤지션</t>
        </is>
      </c>
      <c r="I126" s="29" t="inlineStr">
        <is>
          <t>音樂家</t>
        </is>
      </c>
      <c r="J126" s="29">
        <f>IFERROR(__xludf.DUMMYFUNCTION("GOOGLETRANSLATE(I126,""zh_HANT"",""zh_HANS"")"),"音乐家")</f>
        <v/>
      </c>
    </row>
    <row r="127">
      <c r="A127" s="29">
        <f>CONCATENATE("NAME_TC_", SUBSTITUTE(UPPER(B127), " ", ""))</f>
        <v/>
      </c>
      <c r="B127" s="29" t="inlineStr">
        <is>
          <t>Nurse</t>
        </is>
      </c>
      <c r="C127" s="29" t="inlineStr">
        <is>
          <t>ナース</t>
        </is>
      </c>
      <c r="D127" s="29" t="inlineStr">
        <is>
          <t>Infirmière</t>
        </is>
      </c>
      <c r="E127" s="29" t="inlineStr">
        <is>
          <t>Pflegerin</t>
        </is>
      </c>
      <c r="F127" s="29" t="inlineStr">
        <is>
          <t>Enfermera</t>
        </is>
      </c>
      <c r="G127" s="29" t="inlineStr">
        <is>
          <t>Infermiera</t>
        </is>
      </c>
      <c r="H127" s="29" t="inlineStr">
        <is>
          <t>간호사</t>
        </is>
      </c>
      <c r="I127" s="29">
        <f>IFERROR(__xludf.DUMMYFUNCTION("GOOGLETRANSLATE(J127,""zh_HANS"",""zh_HANT"")"),"護士")</f>
        <v/>
      </c>
      <c r="J127" s="29" t="inlineStr">
        <is>
          <t>护士</t>
        </is>
      </c>
    </row>
    <row r="128">
      <c r="A128" s="29">
        <f>CONCATENATE("NAME_TC_", SUBSTITUTE(UPPER(B128), " ", ""))</f>
        <v/>
      </c>
      <c r="B128" s="29" t="inlineStr">
        <is>
          <t>Nursery Aide</t>
        </is>
      </c>
      <c r="C128" s="29" t="inlineStr">
        <is>
          <t>ほいくし</t>
        </is>
      </c>
      <c r="D128" s="29" t="inlineStr">
        <is>
          <t>Maîtresse</t>
        </is>
      </c>
      <c r="E128" s="29" t="inlineStr">
        <is>
          <t>Erzieherin</t>
        </is>
      </c>
      <c r="F128" s="29" t="inlineStr">
        <is>
          <t>Seño</t>
        </is>
      </c>
      <c r="G128" s="29" t="inlineStr">
        <is>
          <t>Maestrina</t>
        </is>
      </c>
      <c r="H128" s="29" t="inlineStr">
        <is>
          <t>보육사</t>
        </is>
      </c>
      <c r="I128" s="29">
        <f>IFERROR(__xludf.DUMMYFUNCTION("GOOGLETRANSLATE(J128,""zh_HANS"",""zh_HANT"")"),"幼稚園老師")</f>
        <v/>
      </c>
      <c r="J128" s="29" t="inlineStr">
        <is>
          <t>幼儿园老师</t>
        </is>
      </c>
    </row>
    <row r="129">
      <c r="A129" s="29">
        <f>CONCATENATE("NAME_TC_", SUBSTITUTE(UPPER(B129), " ", ""))</f>
        <v/>
      </c>
      <c r="B129" s="29" t="inlineStr">
        <is>
          <t>Pilot</t>
        </is>
      </c>
      <c r="C129" s="29" t="inlineStr">
        <is>
          <t>パイロット</t>
        </is>
      </c>
      <c r="D129" s="29" t="inlineStr">
        <is>
          <t>Pilote</t>
        </is>
      </c>
      <c r="E129" s="29">
        <f>B129</f>
        <v/>
      </c>
      <c r="F129" s="29" t="inlineStr">
        <is>
          <t>Piloto</t>
        </is>
      </c>
      <c r="G129" s="29">
        <f>CONCATENATE(B129,"a")</f>
        <v/>
      </c>
      <c r="H129" s="29" t="inlineStr">
        <is>
          <t>파일럿</t>
        </is>
      </c>
      <c r="I129" s="29" t="inlineStr">
        <is>
          <t>飛行員</t>
        </is>
      </c>
      <c r="J129" s="29">
        <f>IFERROR(__xludf.DUMMYFUNCTION("GOOGLETRANSLATE(I129,""zh_HANT"",""zh_HANS"")"),"飞行员")</f>
        <v/>
      </c>
    </row>
    <row r="130">
      <c r="A130" s="29" t="inlineStr">
        <is>
          <t>NAME_TC_PRESCHOOLER-M</t>
        </is>
      </c>
      <c r="B130" s="29" t="inlineStr">
        <is>
          <t>Preschooler</t>
        </is>
      </c>
      <c r="C130" s="29" t="inlineStr">
        <is>
          <t>えんじ</t>
        </is>
      </c>
      <c r="D130" s="29" t="inlineStr">
        <is>
          <t>Petit</t>
        </is>
      </c>
      <c r="E130" s="29" t="inlineStr">
        <is>
          <t>Vorschüler</t>
        </is>
      </c>
      <c r="F130" s="29" t="inlineStr">
        <is>
          <t>Preescolar</t>
        </is>
      </c>
      <c r="G130" s="29" t="inlineStr">
        <is>
          <t>Bimbo</t>
        </is>
      </c>
      <c r="H130" s="29" t="inlineStr">
        <is>
          <t>보육원아</t>
        </is>
      </c>
      <c r="I130" s="29" t="inlineStr">
        <is>
          <t>幼稚園小朋友</t>
        </is>
      </c>
      <c r="J130" s="29">
        <f>IFERROR(__xludf.DUMMYFUNCTION("GOOGLETRANSLATE(I130,""zh_HANT"",""zh_HANS"")"),"幼稚园小朋友")</f>
        <v/>
      </c>
    </row>
    <row r="131">
      <c r="A131" s="29" t="inlineStr">
        <is>
          <t>NAME_TC_PRESCHOOLER-F</t>
        </is>
      </c>
      <c r="B131" s="29">
        <f>B130</f>
        <v/>
      </c>
      <c r="C131" s="29">
        <f>C130</f>
        <v/>
      </c>
      <c r="D131" s="29" t="inlineStr">
        <is>
          <t>Petite</t>
        </is>
      </c>
      <c r="E131" s="29">
        <f>CONCATENATE(E130,"in")</f>
        <v/>
      </c>
      <c r="F131" s="29" t="inlineStr">
        <is>
          <t>Preescolar</t>
        </is>
      </c>
      <c r="G131" s="29" t="inlineStr">
        <is>
          <t>Bimba</t>
        </is>
      </c>
      <c r="H131" s="29">
        <f>H130</f>
        <v/>
      </c>
      <c r="I131" s="29">
        <f>I130</f>
        <v/>
      </c>
      <c r="J131" s="29">
        <f>J130</f>
        <v/>
      </c>
    </row>
    <row r="132">
      <c r="A132" s="29">
        <f>CONCATENATE("NAME_TC_", SUBSTITUTE(UPPER(B132), " ", ""))</f>
        <v/>
      </c>
      <c r="B132" s="29" t="inlineStr">
        <is>
          <t>Rail Staff</t>
        </is>
      </c>
      <c r="C132" s="29" t="inlineStr">
        <is>
          <t>てつどういん</t>
        </is>
      </c>
      <c r="D132" s="29" t="inlineStr">
        <is>
          <t>Contrôleur</t>
        </is>
      </c>
      <c r="E132" s="29" t="inlineStr">
        <is>
          <t>Bahnangestellter</t>
        </is>
      </c>
      <c r="F132" s="29" t="inlineStr">
        <is>
          <t>Ferroviario</t>
        </is>
      </c>
      <c r="G132" s="29" t="inlineStr">
        <is>
          <t>Ferroviere</t>
        </is>
      </c>
      <c r="H132" s="29" t="inlineStr">
        <is>
          <t>역무원 철도원</t>
        </is>
      </c>
      <c r="I132" s="29" t="inlineStr">
        <is>
          <t>鐵路員工</t>
        </is>
      </c>
      <c r="J132" s="29">
        <f>IFERROR(__xludf.DUMMYFUNCTION("GOOGLETRANSLATE(I132,""zh_HANT"",""zh_HANS"")"),"铁路员工")</f>
        <v/>
      </c>
    </row>
    <row r="133">
      <c r="A133" s="29" t="inlineStr">
        <is>
          <t>NAME_TC_SMASHER</t>
        </is>
      </c>
      <c r="B133" s="29" t="inlineStr">
        <is>
          <t>Smasher</t>
        </is>
      </c>
      <c r="C133" s="29" t="inlineStr">
        <is>
          <t>テニスプレイヤー</t>
        </is>
      </c>
      <c r="D133" s="29" t="inlineStr">
        <is>
          <t>Tenniswoman</t>
        </is>
      </c>
      <c r="E133" s="29" t="inlineStr">
        <is>
          <t>Tennis-Ass</t>
        </is>
      </c>
      <c r="F133" s="29" t="inlineStr">
        <is>
          <t>Tenista</t>
        </is>
      </c>
      <c r="G133" s="29" t="inlineStr">
        <is>
          <t>Tennista</t>
        </is>
      </c>
      <c r="H133" s="29" t="inlineStr">
        <is>
          <t>테니스선수</t>
        </is>
      </c>
      <c r="I133" s="29">
        <f>IFERROR(__xludf.DUMMYFUNCTION("GOOGLETRANSLATE(J133,""zh_HANS"",""zh_HANT"")"),"網球選手")</f>
        <v/>
      </c>
      <c r="J133" s="29" t="inlineStr">
        <is>
          <t>网球选手</t>
        </is>
      </c>
    </row>
    <row r="134">
      <c r="A134" s="29" t="inlineStr">
        <is>
          <t>NAME_TC_STRIKER</t>
        </is>
      </c>
      <c r="B134" s="29" t="inlineStr">
        <is>
          <t>Striker</t>
        </is>
      </c>
      <c r="C134" s="29" t="inlineStr">
        <is>
          <t>ビジネスマン</t>
        </is>
      </c>
      <c r="D134" s="29" t="inlineStr">
        <is>
          <t>Footballeur</t>
        </is>
      </c>
      <c r="E134" s="29" t="inlineStr">
        <is>
          <t>Fußballer</t>
        </is>
      </c>
      <c r="F134" s="29" t="inlineStr">
        <is>
          <t>Delantero</t>
        </is>
      </c>
      <c r="G134" s="29" t="inlineStr">
        <is>
          <t>Calciatore</t>
        </is>
      </c>
      <c r="H134" s="29" t="inlineStr">
        <is>
          <t>축구선수</t>
        </is>
      </c>
      <c r="I134" s="29">
        <f>IFERROR(__xludf.DUMMYFUNCTION("GOOGLETRANSLATE(J134,""zh_HANS"",""zh_HANT"")"),"足球選手")</f>
        <v/>
      </c>
      <c r="J134" s="29" t="inlineStr">
        <is>
          <t>足球选手</t>
        </is>
      </c>
    </row>
    <row r="135">
      <c r="A135" s="29">
        <f>CONCATENATE("NAME_TC_", SUBSTITUTE(UPPER(B135), " ", ""))</f>
        <v/>
      </c>
      <c r="B135" s="29" t="inlineStr">
        <is>
          <t>Brains &amp; Brawn</t>
        </is>
      </c>
      <c r="C135" s="29" t="inlineStr">
        <is>
          <t>ブレイン＆パワーズ</t>
        </is>
      </c>
      <c r="D135" s="29" t="inlineStr">
        <is>
          <t>Cerveau et Muscles</t>
        </is>
      </c>
      <c r="E135" s="29" t="inlineStr">
        <is>
          <t>Grips&amp;Muckis</t>
        </is>
      </c>
      <c r="F135" s="29" t="inlineStr">
        <is>
          <t>Cuerpo y mente</t>
        </is>
      </c>
      <c r="G135" s="29" t="inlineStr">
        <is>
          <t>Duo Braccio e Mente</t>
        </is>
      </c>
      <c r="H135" s="29" t="inlineStr">
        <is>
          <t>브레인＆파워즈</t>
        </is>
      </c>
      <c r="I135" s="29">
        <f>J135</f>
        <v/>
      </c>
      <c r="J135" s="29" t="inlineStr">
        <is>
          <t>智者＆強者</t>
        </is>
      </c>
    </row>
    <row r="136">
      <c r="A136" s="29">
        <f>CONCATENATE("NAME_TC_", SUBSTITUTE(UPPER(B136), " ", ""))</f>
        <v/>
      </c>
      <c r="B136" s="29" t="inlineStr">
        <is>
          <t>Butler</t>
        </is>
      </c>
      <c r="C136" s="29" t="inlineStr">
        <is>
          <t>しつじ</t>
        </is>
      </c>
      <c r="D136" s="29" t="inlineStr">
        <is>
          <t>Majordome</t>
        </is>
      </c>
      <c r="E136" s="29">
        <f>B136</f>
        <v/>
      </c>
      <c r="F136" s="29" t="inlineStr">
        <is>
          <t>Mayordomo leal</t>
        </is>
      </c>
      <c r="G136" s="29" t="inlineStr">
        <is>
          <t>Maître</t>
        </is>
      </c>
      <c r="H136" s="29" t="inlineStr">
        <is>
          <t>집사</t>
        </is>
      </c>
      <c r="I136" s="29">
        <f>IFERROR(__xludf.DUMMYFUNCTION("GOOGLETRANSLATE(J136,""zh_HANS"",""zh_HANT"")"),"管家")</f>
        <v/>
      </c>
      <c r="J136" s="29" t="inlineStr">
        <is>
          <t>管家</t>
        </is>
      </c>
    </row>
    <row r="137">
      <c r="A137" s="29">
        <f>CONCATENATE("NAME_TC_", SUBSTITUTE(UPPER(B137), " ", ""))</f>
        <v/>
      </c>
      <c r="B137" s="29" t="inlineStr">
        <is>
          <t>Chef</t>
        </is>
      </c>
      <c r="C137" s="29" t="inlineStr">
        <is>
          <t>りょうりにん</t>
        </is>
      </c>
      <c r="D137" s="29" t="inlineStr">
        <is>
          <t>Cuisinier</t>
        </is>
      </c>
      <c r="E137" s="29" t="inlineStr">
        <is>
          <t>Koch</t>
        </is>
      </c>
      <c r="F137" s="29" t="inlineStr">
        <is>
          <t>Cocinero</t>
        </is>
      </c>
      <c r="G137" s="29">
        <f>B137</f>
        <v/>
      </c>
      <c r="H137" s="29" t="inlineStr">
        <is>
          <t>요리사</t>
        </is>
      </c>
      <c r="I137" s="29">
        <f>IFERROR(__xludf.DUMMYFUNCTION("GOOGLETRANSLATE(J137,""zh_HANS"",""zh_HANT"")"),"主廚")</f>
        <v/>
      </c>
      <c r="J137" s="29" t="inlineStr">
        <is>
          <t>主廚</t>
        </is>
      </c>
    </row>
    <row r="138">
      <c r="A138" s="29" t="inlineStr">
        <is>
          <t>NAME_TC_DELINQUENT</t>
        </is>
      </c>
      <c r="B138" s="29" t="inlineStr">
        <is>
          <t>Delinquent</t>
        </is>
      </c>
      <c r="C138" s="29" t="inlineStr">
        <is>
          <t>こわいおねえさん</t>
        </is>
      </c>
      <c r="D138" s="6" t="inlineStr">
        <is>
          <t>Terreur</t>
        </is>
      </c>
      <c r="E138" s="6" t="inlineStr">
        <is>
          <t>Halbstarke</t>
        </is>
      </c>
      <c r="F138" s="29" t="inlineStr">
        <is>
          <t>Macarra</t>
        </is>
      </c>
      <c r="G138" s="6" t="inlineStr">
        <is>
          <t>Tipaccia</t>
        </is>
      </c>
      <c r="H138" s="6" t="inlineStr">
        <is>
          <t>무서운 아가씨</t>
        </is>
      </c>
      <c r="I138" s="6" t="inlineStr">
        <is>
          <t>大姐頭</t>
        </is>
      </c>
      <c r="J138" s="29">
        <f>IFERROR(__xludf.DUMMYFUNCTION("GOOGLETRANSLATE(I138,""zh_HANT"",""zh_HANS"")"),"大姐头")</f>
        <v/>
      </c>
    </row>
    <row r="139">
      <c r="A139" s="29">
        <f>CONCATENATE("NAME_TC_", SUBSTITUTE(UPPER(B139), " ", ""))</f>
        <v/>
      </c>
      <c r="B139" s="29" t="inlineStr">
        <is>
          <t>Driver</t>
        </is>
      </c>
      <c r="C139" s="29" t="inlineStr">
        <is>
          <t>ドライバー</t>
        </is>
      </c>
      <c r="D139" s="29" t="inlineStr">
        <is>
          <t>Chauffeur</t>
        </is>
      </c>
      <c r="E139" s="29" t="inlineStr">
        <is>
          <t>Fahrer</t>
        </is>
      </c>
      <c r="F139" s="29" t="inlineStr">
        <is>
          <t>Conductor</t>
        </is>
      </c>
      <c r="G139" s="29" t="inlineStr">
        <is>
          <t>Autista</t>
        </is>
      </c>
      <c r="H139" s="29" t="inlineStr">
        <is>
          <t>드라이버</t>
        </is>
      </c>
      <c r="I139" s="29">
        <f>IFERROR(__xludf.DUMMYFUNCTION("GOOGLETRANSLATE(J139,""zh_HANS"",""zh_HANT"")"),"駕駛")</f>
        <v/>
      </c>
      <c r="J139" s="29" t="inlineStr">
        <is>
          <t>司機</t>
        </is>
      </c>
    </row>
    <row r="140">
      <c r="A140" s="29">
        <f>CONCATENATE("NAME_TC_", SUBSTITUTE(UPPER(B140), " ", ""))</f>
        <v/>
      </c>
      <c r="B140" s="29" t="inlineStr">
        <is>
          <t>Fairy Tale Girl</t>
        </is>
      </c>
      <c r="C140" s="29" t="inlineStr">
        <is>
          <t>メルヘンしょうじょ</t>
        </is>
      </c>
      <c r="D140" s="29" t="inlineStr">
        <is>
          <t>Fillette de Conte</t>
        </is>
      </c>
      <c r="E140" s="29" t="inlineStr">
        <is>
          <t>Träumerin</t>
        </is>
      </c>
      <c r="F140" s="29" t="inlineStr">
        <is>
          <t>Niña soñadora</t>
        </is>
      </c>
      <c r="G140" s="29" t="inlineStr">
        <is>
          <t>Ragazza delle fiabe</t>
        </is>
      </c>
      <c r="H140" s="29" t="inlineStr">
        <is>
          <t>메르헨소녀</t>
        </is>
      </c>
      <c r="I140" s="29" t="inlineStr">
        <is>
          <t>童話少女</t>
        </is>
      </c>
      <c r="J140" s="29">
        <f>IFERROR(__xludf.DUMMYFUNCTION("GOOGLETRANSLATE(I140,""zh_HANT"",""zh_HANS"")"),"童话少女")</f>
        <v/>
      </c>
    </row>
    <row r="141">
      <c r="A141" s="29">
        <f>CONCATENATE("NAME_TC_", SUBSTITUTE(UPPER(B141), " ", ""))</f>
        <v/>
      </c>
      <c r="B141" s="29" t="inlineStr">
        <is>
          <t>Furisode Girl</t>
        </is>
      </c>
      <c r="C141" s="29" t="inlineStr">
        <is>
          <t>ふりそで</t>
        </is>
      </c>
      <c r="D141" s="29" t="inlineStr">
        <is>
          <t>Fille en Kimono</t>
        </is>
      </c>
      <c r="E141" s="29" t="inlineStr">
        <is>
          <t>Kimono-Trägerin</t>
        </is>
      </c>
      <c r="F141" s="29" t="inlineStr">
        <is>
          <t>Jovencita con kimono</t>
        </is>
      </c>
      <c r="G141" s="29" t="inlineStr">
        <is>
          <t>Ragazza in kimono</t>
        </is>
      </c>
      <c r="H141" s="29" t="inlineStr">
        <is>
          <t>기모노드레스</t>
        </is>
      </c>
      <c r="I141" s="29">
        <f>J141</f>
        <v/>
      </c>
      <c r="J141" s="29" t="inlineStr">
        <is>
          <t>和服少女</t>
        </is>
      </c>
    </row>
    <row r="142">
      <c r="A142" s="29">
        <f>CONCATENATE("NAME_TC_", SUBSTITUTE(UPPER(B142), " ", ""))</f>
        <v/>
      </c>
      <c r="B142" s="29" t="inlineStr">
        <is>
          <t>Gardener</t>
        </is>
      </c>
      <c r="C142" s="29" t="inlineStr">
        <is>
          <t>にわし</t>
        </is>
      </c>
      <c r="D142" s="29" t="inlineStr">
        <is>
          <t>Jardinier</t>
        </is>
      </c>
      <c r="E142" s="29" t="inlineStr">
        <is>
          <t>Gärtner</t>
        </is>
      </c>
      <c r="F142" s="29" t="inlineStr">
        <is>
          <t>Jardinero</t>
        </is>
      </c>
      <c r="G142" s="29" t="inlineStr">
        <is>
          <t>Giardiniere</t>
        </is>
      </c>
      <c r="H142" s="29" t="inlineStr">
        <is>
          <t>정원사</t>
        </is>
      </c>
      <c r="I142" s="29" t="inlineStr">
        <is>
          <t>園藝家</t>
        </is>
      </c>
      <c r="J142" s="29">
        <f>IFERROR(__xludf.DUMMYFUNCTION("GOOGLETRANSLATE(I142,""zh_HANT"",""zh_HANS"")"),"园艺家")</f>
        <v/>
      </c>
    </row>
    <row r="143">
      <c r="A143" s="29">
        <f>CONCATENATE("NAME_TC_", SUBSTITUTE(UPPER(B143), " ", ""))</f>
        <v/>
      </c>
      <c r="B143" s="29" t="inlineStr">
        <is>
          <t>Honeymooners</t>
        </is>
      </c>
      <c r="C143" s="29" t="inlineStr">
        <is>
          <t>ハネムーン</t>
        </is>
      </c>
      <c r="D143" s="29" t="inlineStr">
        <is>
          <t>Jeunes Tourtereaux</t>
        </is>
      </c>
      <c r="E143" s="29" t="inlineStr">
        <is>
          <t>Hochzeitsreisende</t>
        </is>
      </c>
      <c r="F143" s="29" t="inlineStr">
        <is>
          <t>Recién casados</t>
        </is>
      </c>
      <c r="G143" s="29" t="inlineStr">
        <is>
          <t>Sposini</t>
        </is>
      </c>
      <c r="H143" s="29" t="inlineStr">
        <is>
          <t>허니문</t>
        </is>
      </c>
      <c r="I143" s="29" t="inlineStr">
        <is>
          <t>蜜月夫婦</t>
        </is>
      </c>
      <c r="J143" s="29">
        <f>IFERROR(__xludf.DUMMYFUNCTION("GOOGLETRANSLATE(I143,""zh_HANT"",""zh_HANS"")"),"蜜月夫妇")</f>
        <v/>
      </c>
    </row>
    <row r="144">
      <c r="A144" s="29">
        <f>CONCATENATE("NAME_TC_", SUBSTITUTE(UPPER(B144), " ", ""))</f>
        <v/>
      </c>
      <c r="B144" s="29" t="inlineStr">
        <is>
          <t>Mysterious Sisters</t>
        </is>
      </c>
      <c r="C144" s="29" t="inlineStr">
        <is>
          <t>フシギしまい</t>
        </is>
      </c>
      <c r="D144" s="29" t="inlineStr">
        <is>
          <t>Sœurs Étranges</t>
        </is>
      </c>
      <c r="E144" s="29" t="inlineStr">
        <is>
          <t>Schräge Schwestern</t>
        </is>
      </c>
      <c r="F144" s="29" t="inlineStr">
        <is>
          <t>Hermanas misteriosas</t>
        </is>
      </c>
      <c r="G144" s="29" t="inlineStr">
        <is>
          <t>Sorelle Mistero</t>
        </is>
      </c>
      <c r="H144" s="29" t="inlineStr">
        <is>
          <t>이상한자매</t>
        </is>
      </c>
      <c r="I144" s="29">
        <f>IFERROR(__xludf.DUMMYFUNCTION("GOOGLETRANSLATE(J144,""zh_HANS"",""zh_HANT"")"),"不可思議姊妹")</f>
        <v/>
      </c>
      <c r="J144" s="29" t="inlineStr">
        <is>
          <t>不可思議姐妹</t>
        </is>
      </c>
    </row>
    <row r="145">
      <c r="A145" s="29" t="inlineStr">
        <is>
          <t>NAME_TC_OWNER</t>
        </is>
      </c>
      <c r="B145" s="29" t="inlineStr">
        <is>
          <t>Owner</t>
        </is>
      </c>
      <c r="C145" s="29" t="inlineStr">
        <is>
          <t>オーナー</t>
        </is>
      </c>
      <c r="D145" s="6" t="inlineStr">
        <is>
          <t>Propriétaire</t>
        </is>
      </c>
      <c r="E145" s="6" t="inlineStr">
        <is>
          <t>Gastronom</t>
        </is>
      </c>
      <c r="F145" s="29" t="inlineStr">
        <is>
          <t>Proprietario</t>
        </is>
      </c>
      <c r="G145" s="6" t="inlineStr">
        <is>
          <t>Proprietario</t>
        </is>
      </c>
      <c r="H145" s="6" t="inlineStr">
        <is>
          <t>오너</t>
        </is>
      </c>
      <c r="I145" s="29" t="inlineStr">
        <is>
          <t>店主</t>
        </is>
      </c>
      <c r="J145" s="29">
        <f>I145</f>
        <v/>
      </c>
    </row>
    <row r="146">
      <c r="A146" s="29" t="inlineStr">
        <is>
          <t>NAME_TC_POKEFANFAMILY</t>
        </is>
      </c>
      <c r="B146" s="29">
        <f>CONCATENATE(B46, " Family")</f>
        <v/>
      </c>
      <c r="C146" s="29" t="inlineStr">
        <is>
          <t>だいすきふうふ</t>
        </is>
      </c>
      <c r="D146" s="29" t="inlineStr">
        <is>
          <t>Couple de Pokéfans</t>
        </is>
      </c>
      <c r="E146" s="29" t="inlineStr">
        <is>
          <t>Pokéfan-Pärchen</t>
        </is>
      </c>
      <c r="F146" s="29" t="inlineStr">
        <is>
          <t>Pareja de Pokéfans</t>
        </is>
      </c>
      <c r="G146" s="29">
        <f>CONCATENATE("Coppia ",G46)</f>
        <v/>
      </c>
      <c r="H146" s="29" t="inlineStr">
        <is>
          <t>애호가부부</t>
        </is>
      </c>
      <c r="I146" s="29">
        <f>IFERROR(__xludf.DUMMYFUNCTION("GOOGLETRANSLATE(J146,""zh_HANS"",""zh_HANT"")"),"同好夫婦")</f>
        <v/>
      </c>
      <c r="J146" s="29" t="inlineStr">
        <is>
          <t>同好夫婦</t>
        </is>
      </c>
    </row>
    <row r="147">
      <c r="A147" s="29" t="inlineStr">
        <is>
          <t>NAME_TC_PkMnPROFESSOR</t>
        </is>
      </c>
      <c r="B147" s="29" t="inlineStr">
        <is>
          <t>Pokémon Professor</t>
        </is>
      </c>
      <c r="C147" s="29" t="inlineStr">
        <is>
          <t>ポケモンはかせ</t>
        </is>
      </c>
      <c r="D147" s="29" t="inlineStr">
        <is>
          <t>Professeur Pokémon</t>
        </is>
      </c>
      <c r="E147" s="29" t="inlineStr">
        <is>
          <t>Pokémon-Professor</t>
        </is>
      </c>
      <c r="F147" s="29" t="inlineStr">
        <is>
          <t>Profesor Pokémon</t>
        </is>
      </c>
      <c r="G147" s="29" t="inlineStr">
        <is>
          <t>Professore Pokémon</t>
        </is>
      </c>
      <c r="H147" s="29" t="inlineStr">
        <is>
          <t>포켓몬 박사</t>
        </is>
      </c>
      <c r="I147" s="29" t="inlineStr">
        <is>
          <t>寶可夢博士</t>
        </is>
      </c>
      <c r="J147" s="29">
        <f>IFERROR(__xludf.DUMMYFUNCTION("GOOGLETRANSLATE(I147,""zh_HANT"",""zh_HANS"")"),"宝可梦博士")</f>
        <v/>
      </c>
    </row>
    <row r="148">
      <c r="A148" s="29">
        <f>CONCATENATE("NAME_TC_", SUBSTITUTE(UPPER(B148), " ", ""))</f>
        <v/>
      </c>
      <c r="B148" s="29" t="inlineStr">
        <is>
          <t>Punk Girl</t>
        </is>
      </c>
      <c r="C148" s="29" t="inlineStr">
        <is>
          <t>バッドガール</t>
        </is>
      </c>
      <c r="D148" s="29" t="inlineStr">
        <is>
          <t>Vaurienne</t>
        </is>
      </c>
      <c r="E148" s="29">
        <f>CONCATENATE(E149,"in")</f>
        <v/>
      </c>
      <c r="F148" s="29" t="inlineStr">
        <is>
          <t>Chica mala</t>
        </is>
      </c>
      <c r="G148" s="29" t="inlineStr">
        <is>
          <t>Ribelle</t>
        </is>
      </c>
      <c r="H148" s="29" t="inlineStr">
        <is>
          <t>배드걸</t>
        </is>
      </c>
      <c r="I148" s="29" t="inlineStr">
        <is>
          <t>壞女孩</t>
        </is>
      </c>
      <c r="J148" s="29">
        <f>IFERROR(__xludf.DUMMYFUNCTION("GOOGLETRANSLATE(I148,""zh_HANT"",""zh_HANS"")"),"坏女孩")</f>
        <v/>
      </c>
    </row>
    <row r="149">
      <c r="A149" s="29">
        <f>CONCATENATE("NAME_TC_", SUBSTITUTE(UPPER(B149), " ", ""))</f>
        <v/>
      </c>
      <c r="B149" s="29" t="inlineStr">
        <is>
          <t>Punk Guy</t>
        </is>
      </c>
      <c r="C149" s="29" t="inlineStr">
        <is>
          <t>バッドガイ</t>
        </is>
      </c>
      <c r="D149" s="29" t="inlineStr">
        <is>
          <t>Vaurien</t>
        </is>
      </c>
      <c r="E149" s="29" t="inlineStr">
        <is>
          <t>Punker</t>
        </is>
      </c>
      <c r="F149" s="29" t="inlineStr">
        <is>
          <t>Chico malo</t>
        </is>
      </c>
      <c r="G149" s="29">
        <f>G148</f>
        <v/>
      </c>
      <c r="H149" s="29" t="inlineStr">
        <is>
          <t>배드가이</t>
        </is>
      </c>
      <c r="I149" s="29" t="inlineStr">
        <is>
          <t>壞男孩</t>
        </is>
      </c>
      <c r="J149" s="29">
        <f>IFERROR(__xludf.DUMMYFUNCTION("GOOGLETRANSLATE(I149,""zh_HANT"",""zh_HANS"")"),"坏男孩")</f>
        <v/>
      </c>
    </row>
    <row r="150">
      <c r="A150" s="29">
        <f>CONCATENATE("NAME_TC_", SUBSTITUTE(UPPER(B150), " ", ""))</f>
        <v/>
      </c>
      <c r="B150" s="29" t="inlineStr">
        <is>
          <t>Rangers</t>
        </is>
      </c>
      <c r="C150" s="29" t="inlineStr">
        <is>
          <t>レンジャーズ</t>
        </is>
      </c>
      <c r="D150" s="29" t="inlineStr">
        <is>
          <t>Duo de Rangers</t>
        </is>
      </c>
      <c r="E150" s="29" t="inlineStr">
        <is>
          <t>Ranger</t>
        </is>
      </c>
      <c r="F150" s="29" t="inlineStr">
        <is>
          <t>Rangers</t>
        </is>
      </c>
      <c r="G150" s="29">
        <f>CONCATENATE("Duo ",E150)</f>
        <v/>
      </c>
      <c r="H150" s="29" t="inlineStr">
        <is>
          <t>레인저스</t>
        </is>
      </c>
      <c r="I150" s="29" t="inlineStr">
        <is>
          <t>雙巡護員</t>
        </is>
      </c>
      <c r="J150" s="29">
        <f>IFERROR(__xludf.DUMMYFUNCTION("GOOGLETRANSLATE(I150,""zh_HANT"",""zh_HANS"")"),"双巡护员")</f>
        <v/>
      </c>
    </row>
    <row r="151">
      <c r="A151" s="29" t="inlineStr">
        <is>
          <t>NAME_TC_ROLLERSKATER-M</t>
        </is>
      </c>
      <c r="B151" s="29" t="inlineStr">
        <is>
          <t>Roller Skater</t>
        </is>
      </c>
      <c r="C151" s="30" t="inlineStr">
        <is>
          <t>ローラースケート</t>
        </is>
      </c>
      <c r="D151" s="4" t="inlineStr">
        <is>
          <t>Roller Skateur</t>
        </is>
      </c>
      <c r="E151" s="29" t="inlineStr">
        <is>
          <t>Rollerskater</t>
        </is>
      </c>
      <c r="F151" s="29" t="inlineStr">
        <is>
          <t>Patinador</t>
        </is>
      </c>
      <c r="G151" s="29" t="inlineStr">
        <is>
          <t>Pattinatore</t>
        </is>
      </c>
      <c r="H151" s="4" t="inlineStr">
        <is>
          <t>롤러스케이트</t>
        </is>
      </c>
      <c r="I151" s="29">
        <f>IFERROR(__xludf.DUMMYFUNCTION("GOOGLETRANSLATE(J151,""zh_HANS"",""zh_HANT"")"),"溜冰手")</f>
        <v/>
      </c>
      <c r="J151" s="29" t="inlineStr">
        <is>
          <t>溜冰手</t>
        </is>
      </c>
    </row>
    <row r="152">
      <c r="A152" s="29" t="inlineStr">
        <is>
          <t>NAME_TC_ROLLERSKATER-F</t>
        </is>
      </c>
      <c r="B152" s="29" t="inlineStr">
        <is>
          <t>Roller Skater</t>
        </is>
      </c>
      <c r="C152" s="30" t="inlineStr">
        <is>
          <t>ローラースケート</t>
        </is>
      </c>
      <c r="D152" s="4" t="inlineStr">
        <is>
          <t>Roller Skateuse</t>
        </is>
      </c>
      <c r="E152" s="29">
        <f>CONCATENATE(E151,"in")</f>
        <v/>
      </c>
      <c r="F152" s="29" t="inlineStr">
        <is>
          <t>Patinadora</t>
        </is>
      </c>
      <c r="G152" s="29" t="inlineStr">
        <is>
          <t>Pattinatrice</t>
        </is>
      </c>
      <c r="H152" s="6">
        <f>H151</f>
        <v/>
      </c>
      <c r="I152" s="6">
        <f>I151</f>
        <v/>
      </c>
      <c r="J152" s="6">
        <f>J151</f>
        <v/>
      </c>
    </row>
    <row r="153">
      <c r="A153" s="29" t="inlineStr">
        <is>
          <t>NAME_TC_RISINGSTAR-M</t>
        </is>
      </c>
      <c r="B153" s="29" t="inlineStr">
        <is>
          <t>Rising Star</t>
        </is>
      </c>
      <c r="C153" s="29" t="inlineStr">
        <is>
          <t>ホープトレーナー</t>
        </is>
      </c>
      <c r="D153" s="4" t="inlineStr">
        <is>
          <t>Dresseur en Herbe</t>
        </is>
      </c>
      <c r="E153" s="6" t="inlineStr">
        <is>
          <t>Trainerhoffnung</t>
        </is>
      </c>
      <c r="F153" s="29" t="inlineStr">
        <is>
          <t>Entrenador promesa</t>
        </is>
      </c>
      <c r="G153" s="29" t="inlineStr">
        <is>
          <t>Giovane speranza</t>
        </is>
      </c>
      <c r="H153" s="4" t="inlineStr">
        <is>
          <t>호프 트레이너</t>
        </is>
      </c>
      <c r="I153" s="4" t="inlineStr">
        <is>
          <t>新星訓練家</t>
        </is>
      </c>
      <c r="J153" s="29">
        <f>IFERROR(__xludf.DUMMYFUNCTION("GOOGLETRANSLATE(I153,""zh_HANT"",""zh_HANS"")"),"新星训练家")</f>
        <v/>
      </c>
    </row>
    <row r="154">
      <c r="A154" s="29" t="inlineStr">
        <is>
          <t>NAME_TC_RISINGSTAR-F</t>
        </is>
      </c>
      <c r="B154" s="29">
        <f>B153</f>
        <v/>
      </c>
      <c r="C154" s="29">
        <f>C153</f>
        <v/>
      </c>
      <c r="D154" s="6" t="inlineStr">
        <is>
          <t>Dresseuse en Herbe</t>
        </is>
      </c>
      <c r="E154" s="29">
        <f>E153</f>
        <v/>
      </c>
      <c r="F154" s="29" t="inlineStr">
        <is>
          <t>Entrenadora promesa</t>
        </is>
      </c>
      <c r="G154" s="29">
        <f>G153</f>
        <v/>
      </c>
      <c r="H154" s="29">
        <f>H153</f>
        <v/>
      </c>
      <c r="I154" s="29">
        <f>I153</f>
        <v/>
      </c>
      <c r="J154" s="29">
        <f>J153</f>
        <v/>
      </c>
    </row>
    <row r="155">
      <c r="A155" s="29">
        <f>CONCATENATE("NAME_TC_", SUBSTITUTE(UPPER(B155), " ", ""))</f>
        <v/>
      </c>
      <c r="B155" s="29" t="inlineStr">
        <is>
          <t>Schoolgirl</t>
        </is>
      </c>
      <c r="C155" s="29" t="inlineStr">
        <is>
          <t>スクールガール</t>
        </is>
      </c>
      <c r="D155" s="29" t="inlineStr">
        <is>
          <t>Écolière</t>
        </is>
      </c>
      <c r="E155" s="29">
        <f>CONCATENATE(E51,"in")</f>
        <v/>
      </c>
      <c r="F155" s="29" t="inlineStr">
        <is>
          <t>Escolar</t>
        </is>
      </c>
      <c r="G155" s="29">
        <f>CONCATENATE(G51,"ssa")</f>
        <v/>
      </c>
      <c r="H155" s="6" t="inlineStr">
        <is>
          <t>스쿨걸</t>
        </is>
      </c>
      <c r="I155" s="6" t="inlineStr">
        <is>
          <t>女學生</t>
        </is>
      </c>
      <c r="J155" s="29">
        <f>IFERROR(__xludf.DUMMYFUNCTION("GOOGLETRANSLATE(I155,""zh_HANT"",""zh_HANS"")"),"女学生")</f>
        <v/>
      </c>
    </row>
    <row r="156">
      <c r="A156" s="29" t="inlineStr">
        <is>
          <t>NAME_TC_SKYTRAINER-M</t>
        </is>
      </c>
      <c r="B156" s="29" t="inlineStr">
        <is>
          <t>Sky Trainer</t>
        </is>
      </c>
      <c r="C156" s="29" t="inlineStr">
        <is>
          <t>スカイトレーナー</t>
        </is>
      </c>
      <c r="D156" s="29" t="inlineStr">
        <is>
          <t>Dresseur Aérien</t>
        </is>
      </c>
      <c r="E156" s="6" t="inlineStr">
        <is>
          <t>Himmelstrainer</t>
        </is>
      </c>
      <c r="F156" s="29" t="inlineStr">
        <is>
          <t>Entrenador Aéreo</t>
        </is>
      </c>
      <c r="G156" s="4" t="inlineStr">
        <is>
          <t>Aeroallenatore</t>
        </is>
      </c>
      <c r="H156" s="6" t="inlineStr">
        <is>
          <t>스카이 트레이너</t>
        </is>
      </c>
      <c r="I156" s="6" t="inlineStr">
        <is>
          <t>空中訓練員</t>
        </is>
      </c>
      <c r="J156" s="29">
        <f>IFERROR(__xludf.DUMMYFUNCTION("GOOGLETRANSLATE(I156,""zh_HANT"",""zh_HANS"")"),"空中训练员")</f>
        <v/>
      </c>
    </row>
    <row r="157">
      <c r="A157" s="29" t="inlineStr">
        <is>
          <t>NAME_TC_SKYTRAINER-F</t>
        </is>
      </c>
      <c r="B157" s="29">
        <f>B156</f>
        <v/>
      </c>
      <c r="C157" s="29">
        <f>C156</f>
        <v/>
      </c>
      <c r="D157" s="29">
        <f>D156</f>
        <v/>
      </c>
      <c r="E157" s="29">
        <f>E156</f>
        <v/>
      </c>
      <c r="F157" s="29" t="inlineStr">
        <is>
          <t>Entrenadora Aérea</t>
        </is>
      </c>
      <c r="G157" s="29" t="inlineStr">
        <is>
          <t>Aeroallenatrice</t>
        </is>
      </c>
      <c r="H157" s="29">
        <f>H156</f>
        <v/>
      </c>
      <c r="I157" s="29">
        <f>I156</f>
        <v/>
      </c>
      <c r="J157" s="29">
        <f>J156</f>
        <v/>
      </c>
    </row>
    <row r="158">
      <c r="A158" s="29" t="inlineStr">
        <is>
          <t>NAME_TC_STREETTHUG</t>
        </is>
      </c>
      <c r="B158" s="29" t="inlineStr">
        <is>
          <t>Street Thug</t>
        </is>
      </c>
      <c r="C158" s="29" t="inlineStr">
        <is>
          <t>こわいおじさん</t>
        </is>
      </c>
      <c r="D158" s="6" t="inlineStr">
        <is>
          <t>Terreur</t>
        </is>
      </c>
      <c r="E158" s="6" t="inlineStr">
        <is>
          <t>Raubein</t>
        </is>
      </c>
      <c r="F158" s="29" t="inlineStr">
        <is>
          <t>Macarra</t>
        </is>
      </c>
      <c r="G158" s="6" t="inlineStr">
        <is>
          <t>Tipaccio</t>
        </is>
      </c>
      <c r="H158" s="6" t="inlineStr">
        <is>
          <t>무서운 아저씨</t>
        </is>
      </c>
      <c r="I158" s="6" t="inlineStr">
        <is>
          <t>可怕的大叔</t>
        </is>
      </c>
      <c r="J158" s="29">
        <f>I158</f>
        <v/>
      </c>
    </row>
    <row r="159">
      <c r="A159" s="29" t="inlineStr">
        <is>
          <t>NAME_TC_TOURIST-M</t>
        </is>
      </c>
      <c r="B159" s="29" t="inlineStr">
        <is>
          <t>Tourist</t>
        </is>
      </c>
      <c r="C159" s="29" t="inlineStr">
        <is>
          <t>ツアーきゃく</t>
        </is>
      </c>
      <c r="D159" s="29" t="inlineStr">
        <is>
          <t>Touriste</t>
        </is>
      </c>
      <c r="E159" s="29">
        <f>B159</f>
        <v/>
      </c>
      <c r="F159" s="29" t="inlineStr">
        <is>
          <t>Turista</t>
        </is>
      </c>
      <c r="G159" s="29" t="inlineStr">
        <is>
          <t>Turista</t>
        </is>
      </c>
      <c r="H159" s="6" t="inlineStr">
        <is>
          <t>투어객</t>
        </is>
      </c>
      <c r="I159" s="29">
        <f>IFERROR(__xludf.DUMMYFUNCTION("GOOGLETRANSLATE(J159,""zh_HANS"",""zh_HANT"")"),"旅遊者")</f>
        <v/>
      </c>
      <c r="J159" s="29" t="inlineStr">
        <is>
          <t>旅游者</t>
        </is>
      </c>
    </row>
    <row r="160">
      <c r="A160" s="29" t="inlineStr">
        <is>
          <t>NAME_TC_TOURIST-F</t>
        </is>
      </c>
      <c r="B160" s="29">
        <f>B159</f>
        <v/>
      </c>
      <c r="C160" s="29">
        <f>C159</f>
        <v/>
      </c>
      <c r="D160" s="29">
        <f>D159</f>
        <v/>
      </c>
      <c r="E160" s="29">
        <f>CONCATENATE(E159,"in")</f>
        <v/>
      </c>
      <c r="F160" s="29" t="inlineStr">
        <is>
          <t>Turista</t>
        </is>
      </c>
      <c r="G160" s="29">
        <f>G159</f>
        <v/>
      </c>
      <c r="H160" s="29">
        <f>H159</f>
        <v/>
      </c>
      <c r="I160" s="29">
        <f>I159</f>
        <v/>
      </c>
      <c r="J160" s="29">
        <f>J159</f>
        <v/>
      </c>
    </row>
    <row r="161">
      <c r="A161" s="29">
        <f>CONCATENATE("NAME_TC_", SUBSTITUTE(UPPER(B161), " ", ""))</f>
        <v/>
      </c>
      <c r="B161" s="29" t="inlineStr">
        <is>
          <t>Free Diver</t>
        </is>
      </c>
      <c r="C161" s="29" t="inlineStr">
        <is>
          <t>あめさん</t>
        </is>
      </c>
      <c r="D161" s="29" t="inlineStr">
        <is>
          <t>Pêcheuse de Perles</t>
        </is>
      </c>
      <c r="E161" s="29" t="inlineStr">
        <is>
          <t>Taucherin</t>
        </is>
      </c>
      <c r="F161" s="29" t="inlineStr">
        <is>
          <t>Buceadora</t>
        </is>
      </c>
      <c r="G161" s="29" t="inlineStr">
        <is>
          <t>Pescatrice di Perle</t>
        </is>
      </c>
      <c r="H161" s="29" t="inlineStr">
        <is>
          <t>해녀</t>
        </is>
      </c>
      <c r="I161" s="29">
        <f>IFERROR(__xludf.DUMMYFUNCTION("GOOGLETRANSLATE(J161,""zh_HANS"",""zh_HANT"")"),"海女")</f>
        <v/>
      </c>
      <c r="J161" s="29" t="inlineStr">
        <is>
          <t>海女</t>
        </is>
      </c>
    </row>
    <row r="162">
      <c r="A162" s="29" t="inlineStr">
        <is>
          <t>NAME_TC_SCUBADIVER-M</t>
        </is>
      </c>
      <c r="B162" s="29" t="inlineStr">
        <is>
          <t>Scuba Diver</t>
        </is>
      </c>
      <c r="C162" s="29" t="inlineStr">
        <is>
          <t>ダイバー</t>
        </is>
      </c>
      <c r="D162" s="29" t="inlineStr">
        <is>
          <t>Plongeur</t>
        </is>
      </c>
      <c r="E162" s="29" t="inlineStr">
        <is>
          <t>Taucher</t>
        </is>
      </c>
      <c r="F162" s="29" t="inlineStr">
        <is>
          <t>Buceador</t>
        </is>
      </c>
      <c r="G162" s="29" t="inlineStr">
        <is>
          <t>Sub</t>
        </is>
      </c>
      <c r="H162" s="29" t="inlineStr">
        <is>
          <t>다이버</t>
        </is>
      </c>
      <c r="I162" s="29">
        <f>IFERROR(__xludf.DUMMYFUNCTION("GOOGLETRANSLATE(J162,""zh_HANS"",""zh_HANT"")"),"潛水員")</f>
        <v/>
      </c>
      <c r="J162" s="29" t="inlineStr">
        <is>
          <t>潜水员</t>
        </is>
      </c>
    </row>
    <row r="163">
      <c r="A163" s="29">
        <f>CONCATENATE("NAME_TC_", SUBSTITUTE(UPPER(B163), " ", ""))</f>
        <v/>
      </c>
      <c r="B163" s="29" t="inlineStr">
        <is>
          <t>Bellhop</t>
        </is>
      </c>
      <c r="C163" s="29" t="inlineStr">
        <is>
          <t>ベルボーイ</t>
        </is>
      </c>
      <c r="D163" s="29" t="inlineStr">
        <is>
          <t>Groom</t>
        </is>
      </c>
      <c r="E163" s="29" t="inlineStr">
        <is>
          <t>Hotelpage</t>
        </is>
      </c>
      <c r="F163" s="29" t="inlineStr">
        <is>
          <t>Botones</t>
        </is>
      </c>
      <c r="G163" s="29" t="inlineStr">
        <is>
          <t>Facchino</t>
        </is>
      </c>
      <c r="H163" s="29" t="inlineStr">
        <is>
          <t>벨보이</t>
        </is>
      </c>
      <c r="I163" s="29" t="inlineStr">
        <is>
          <t>行李員</t>
        </is>
      </c>
      <c r="J163" s="29">
        <f>IFERROR(__xludf.DUMMYFUNCTION("GOOGLETRANSLATE(I163,""zh_HANT"",""zh_HANS"")"),"行李员")</f>
        <v/>
      </c>
    </row>
    <row r="164">
      <c r="A164" s="29">
        <f>CONCATENATE("NAME_TC_", SUBSTITUTE(UPPER(B164), " ", ""))</f>
        <v/>
      </c>
      <c r="B164" s="29" t="inlineStr">
        <is>
          <t>Cook</t>
        </is>
      </c>
      <c r="C164" s="29" t="inlineStr">
        <is>
          <t>コック</t>
        </is>
      </c>
      <c r="D164" s="29" t="inlineStr">
        <is>
          <t>Cuisinier</t>
        </is>
      </c>
      <c r="E164" s="29" t="inlineStr">
        <is>
          <t>Küchenchef</t>
        </is>
      </c>
      <c r="F164" s="29" t="inlineStr">
        <is>
          <t>Chef</t>
        </is>
      </c>
      <c r="G164" s="29" t="inlineStr">
        <is>
          <t>Cuoco</t>
        </is>
      </c>
      <c r="H164" s="29" t="inlineStr">
        <is>
          <t>쿡</t>
        </is>
      </c>
      <c r="I164" s="29" t="inlineStr">
        <is>
          <t>西餐廚師</t>
        </is>
      </c>
      <c r="J164" s="29">
        <f>IFERROR(__xludf.DUMMYFUNCTION("GOOGLETRANSLATE(I164,""zh_HANT"",""zh_HANS"")"),"西餐厨师")</f>
        <v/>
      </c>
    </row>
    <row r="165">
      <c r="A165" s="29">
        <f>CONCATENATE("NAME_TC_", SUBSTITUTE(UPPER(B165), " ", ""))</f>
        <v/>
      </c>
      <c r="B165" s="29" t="inlineStr">
        <is>
          <t>Firefighter</t>
        </is>
      </c>
      <c r="C165" s="29" t="inlineStr">
        <is>
          <t>ファイヤーマン</t>
        </is>
      </c>
      <c r="D165" s="29" t="inlineStr">
        <is>
          <t>Pompier</t>
        </is>
      </c>
      <c r="E165" s="29" t="inlineStr">
        <is>
          <t>Feuerwehrmann</t>
        </is>
      </c>
      <c r="F165" s="29" t="inlineStr">
        <is>
          <t>Bombero</t>
        </is>
      </c>
      <c r="G165" s="29" t="inlineStr">
        <is>
          <t>Pompiere</t>
        </is>
      </c>
      <c r="H165" s="29" t="inlineStr">
        <is>
          <t>파이어맨</t>
        </is>
      </c>
      <c r="I165" s="29" t="inlineStr">
        <is>
          <t>消防員</t>
        </is>
      </c>
      <c r="J165" s="29">
        <f>IFERROR(__xludf.DUMMYFUNCTION("GOOGLETRANSLATE(I165,""zh_HANT"",""zh_HANS"")"),"消防员")</f>
        <v/>
      </c>
    </row>
    <row r="166">
      <c r="A166" s="29" t="inlineStr">
        <is>
          <t>NAME_TC_ISLANDKAHUNA-M</t>
        </is>
      </c>
      <c r="B166" s="29" t="inlineStr">
        <is>
          <t>Island Kahuna</t>
        </is>
      </c>
      <c r="C166" s="29" t="inlineStr">
        <is>
          <t>しまキング</t>
        </is>
      </c>
      <c r="D166" s="4" t="inlineStr">
        <is>
          <t>Doyen</t>
        </is>
      </c>
      <c r="E166" s="4" t="inlineStr">
        <is>
          <t>Inselkönig</t>
        </is>
      </c>
      <c r="F166" s="29" t="inlineStr">
        <is>
          <t>Kahuna</t>
        </is>
      </c>
      <c r="G166" s="6">
        <f>F166</f>
        <v/>
      </c>
      <c r="H166" s="4" t="inlineStr">
        <is>
          <t>섬의 왕</t>
        </is>
      </c>
      <c r="I166" s="4" t="inlineStr">
        <is>
          <t>島嶼之王</t>
        </is>
      </c>
      <c r="J166" s="29">
        <f>IFERROR(__xludf.DUMMYFUNCTION("GOOGLETRANSLATE(I166,""zh_HANT"",""zh_HANS"")"),"岛屿之王")</f>
        <v/>
      </c>
    </row>
    <row r="167">
      <c r="A167" s="29" t="inlineStr">
        <is>
          <t>NAME_TC_ISLANDKAHUNA-F</t>
        </is>
      </c>
      <c r="B167" s="29">
        <f>B166</f>
        <v/>
      </c>
      <c r="C167" s="29" t="inlineStr">
        <is>
          <t>しまクイーン</t>
        </is>
      </c>
      <c r="D167" s="4">
        <f>CONCATENATE(D166,"ne")</f>
        <v/>
      </c>
      <c r="E167" s="4">
        <f>CONCATENATE(E166,"in")</f>
        <v/>
      </c>
      <c r="F167" s="29">
        <f>F166</f>
        <v/>
      </c>
      <c r="G167" s="29">
        <f>G166</f>
        <v/>
      </c>
      <c r="H167" s="4" t="inlineStr">
        <is>
          <t>섬의 여왕</t>
        </is>
      </c>
      <c r="I167" s="4" t="inlineStr">
        <is>
          <t>島嶼女王</t>
        </is>
      </c>
      <c r="J167" s="29">
        <f>IFERROR(__xludf.DUMMYFUNCTION("GOOGLETRANSLATE(I167,""zh_HANT"",""zh_HANS"")"),"岛屿女王")</f>
        <v/>
      </c>
    </row>
    <row r="168">
      <c r="A168" s="29" t="inlineStr">
        <is>
          <t>NAME_TC_KARTENVOY</t>
        </is>
      </c>
      <c r="B168" s="29" t="inlineStr">
        <is>
          <t>Kartenvoy</t>
        </is>
      </c>
      <c r="C168" s="29" t="inlineStr">
        <is>
          <t>かみつかい</t>
        </is>
      </c>
      <c r="D168" s="4" t="inlineStr">
        <is>
          <t>Kata-Sensei</t>
        </is>
      </c>
      <c r="E168" s="6" t="inlineStr">
        <is>
          <t>Katagami-Ass</t>
        </is>
      </c>
      <c r="F168" s="29" t="inlineStr">
        <is>
          <t>Kartanista</t>
        </is>
      </c>
      <c r="G168" s="6" t="inlineStr">
        <is>
          <t>Mastro Karta</t>
        </is>
      </c>
      <c r="H168" s="6" t="inlineStr">
        <is>
          <t>종이 전문가</t>
        </is>
      </c>
      <c r="I168" s="6" t="inlineStr">
        <is>
          <t>神紙使</t>
        </is>
      </c>
      <c r="J168" s="29">
        <f>IFERROR(__xludf.DUMMYFUNCTION("GOOGLETRANSLATE(I168,""zh_HANT"",""zh_HANS"")"),"神纸使")</f>
        <v/>
      </c>
    </row>
    <row r="169">
      <c r="A169" s="29" t="inlineStr">
        <is>
          <t>NAME_TC_MASTER&amp;APPRENTICE</t>
        </is>
      </c>
      <c r="B169" s="29" t="inlineStr">
        <is>
          <t>Master &amp; Apprentice</t>
        </is>
      </c>
      <c r="C169" s="29" t="inlineStr">
        <is>
          <t>バトルしてい</t>
        </is>
      </c>
      <c r="D169" s="6" t="inlineStr">
        <is>
          <t>Dresseurs d'Élite</t>
        </is>
      </c>
      <c r="E169" s="6" t="inlineStr">
        <is>
          <t>Meister &amp; Schüler</t>
        </is>
      </c>
      <c r="F169" s="6" t="inlineStr">
        <is>
          <t>Luchadores de Élite</t>
        </is>
      </c>
      <c r="G169" s="6" t="inlineStr">
        <is>
          <t>Maestro e discepolo</t>
        </is>
      </c>
      <c r="H169" s="6" t="inlineStr">
        <is>
          <t>배틀사제</t>
        </is>
      </c>
      <c r="I169" s="6" t="inlineStr">
        <is>
          <t>對戰師徒</t>
        </is>
      </c>
      <c r="J169" s="29">
        <f>IFERROR(__xludf.DUMMYFUNCTION("GOOGLETRANSLATE(I169,""zh_HANT"",""zh_HANS"")"),"对战师徒")</f>
        <v/>
      </c>
    </row>
    <row r="170">
      <c r="A170" s="29">
        <f>CONCATENATE("NAME_TC_", SUBSTITUTE(UPPER(B170), " ", ""))</f>
        <v/>
      </c>
      <c r="B170" s="29" t="inlineStr">
        <is>
          <t>Punk Pair</t>
        </is>
      </c>
      <c r="C170" s="29" t="inlineStr">
        <is>
          <t>バードカップル</t>
        </is>
      </c>
      <c r="D170" s="29" t="inlineStr">
        <is>
          <t>Vauriens</t>
        </is>
      </c>
      <c r="E170" s="29" t="inlineStr">
        <is>
          <t>Punker-Duo</t>
        </is>
      </c>
      <c r="F170" s="29" t="inlineStr">
        <is>
          <t>Pareja rebelde</t>
        </is>
      </c>
      <c r="G170" s="29" t="inlineStr">
        <is>
          <t>Duo Ribelle</t>
        </is>
      </c>
      <c r="H170" s="29" t="inlineStr">
        <is>
          <t>배드커플</t>
        </is>
      </c>
      <c r="I170" s="29" t="inlineStr">
        <is>
          <t>壞情侶</t>
        </is>
      </c>
      <c r="J170" s="29">
        <f>IFERROR(__xludf.DUMMYFUNCTION("GOOGLETRANSLATE(I170,""zh_HANT"",""zh_HANS"")"),"坏情侣")</f>
        <v/>
      </c>
    </row>
    <row r="171">
      <c r="A171" s="29">
        <f>CONCATENATE("NAME_TC_", SUBSTITUTE(UPPER(B171), " ", ""))</f>
        <v/>
      </c>
      <c r="B171" s="29" t="inlineStr">
        <is>
          <t>Swimmers</t>
        </is>
      </c>
      <c r="C171" s="29" t="inlineStr">
        <is>
          <t>みずきカップル</t>
        </is>
      </c>
      <c r="D171" s="29" t="inlineStr">
        <is>
          <t>Couple de Nageurs</t>
        </is>
      </c>
      <c r="E171" s="29" t="inlineStr">
        <is>
          <t>Schwimmerpaar</t>
        </is>
      </c>
      <c r="F171" s="29" t="inlineStr">
        <is>
          <t>Nadadores</t>
        </is>
      </c>
      <c r="G171" s="29" t="inlineStr">
        <is>
          <t>Coppia di bagnanti</t>
        </is>
      </c>
      <c r="H171" s="29" t="inlineStr">
        <is>
          <t>수영복커플</t>
        </is>
      </c>
      <c r="I171" s="29" t="inlineStr">
        <is>
          <t>泳裝情侶</t>
        </is>
      </c>
      <c r="J171" s="29">
        <f>IFERROR(__xludf.DUMMYFUNCTION("GOOGLETRANSLATE(I171,""zh_HANT"",""zh_HANS"")"),"泳装情侣")</f>
        <v/>
      </c>
    </row>
    <row r="172">
      <c r="A172" s="29">
        <f>CONCATENATE("NAME_TC_", SUBSTITUTE(UPPER(B172), " ", ""))</f>
        <v/>
      </c>
      <c r="B172" s="29" t="inlineStr">
        <is>
          <t>Swimmer Girls</t>
        </is>
      </c>
      <c r="C172" s="29" t="inlineStr">
        <is>
          <t>ビキニガールズ</t>
        </is>
      </c>
      <c r="D172" s="29" t="inlineStr">
        <is>
          <t>Nageuses</t>
        </is>
      </c>
      <c r="E172" s="29" t="inlineStr">
        <is>
          <t>Schwimmerinnen</t>
        </is>
      </c>
      <c r="F172" s="29">
        <f>F171</f>
        <v/>
      </c>
      <c r="G172" s="29" t="inlineStr">
        <is>
          <t>Duo Nuotatrici</t>
        </is>
      </c>
      <c r="H172" s="29" t="inlineStr">
        <is>
          <t>비키니걸즈</t>
        </is>
      </c>
      <c r="I172" s="29" t="inlineStr">
        <is>
          <t>比基尼辣妹組合</t>
        </is>
      </c>
      <c r="J172" s="29">
        <f>IFERROR(__xludf.DUMMYFUNCTION("GOOGLETRANSLATE(I172,""zh_HANT"",""zh_HANS"")"),"比基尼辣妹组合")</f>
        <v/>
      </c>
    </row>
    <row r="173">
      <c r="A173" s="29" t="inlineStr">
        <is>
          <t>NAME_TC_TRIALCAPTAIN-M</t>
        </is>
      </c>
      <c r="B173" s="29" t="inlineStr">
        <is>
          <t>Trial Captain</t>
        </is>
      </c>
      <c r="C173" s="29" t="inlineStr">
        <is>
          <t>キャプテン</t>
        </is>
      </c>
      <c r="D173" s="29" t="inlineStr">
        <is>
          <t>Capitaine d'Épreuve</t>
        </is>
      </c>
      <c r="E173" s="29" t="inlineStr">
        <is>
          <t>Captain</t>
        </is>
      </c>
      <c r="F173" s="29" t="inlineStr">
        <is>
          <t>Capitán de prueba</t>
        </is>
      </c>
      <c r="G173" s="29" t="inlineStr">
        <is>
          <t>Capitano</t>
        </is>
      </c>
      <c r="H173" s="6" t="inlineStr">
        <is>
          <t>캡틴</t>
        </is>
      </c>
      <c r="I173" s="6" t="inlineStr">
        <is>
          <t>隊長</t>
        </is>
      </c>
      <c r="J173" s="29">
        <f>IFERROR(__xludf.DUMMYFUNCTION("GOOGLETRANSLATE(I173,""zh_HANT"",""zh_HANS"")"),"队长")</f>
        <v/>
      </c>
    </row>
    <row r="174">
      <c r="A174" s="29" t="inlineStr">
        <is>
          <t>NAME_TC_TRIALCAPTAIN-F</t>
        </is>
      </c>
      <c r="B174" s="29">
        <f>B173</f>
        <v/>
      </c>
      <c r="C174" s="29">
        <f>C173</f>
        <v/>
      </c>
      <c r="D174" s="29">
        <f>D173</f>
        <v/>
      </c>
      <c r="E174" s="29">
        <f>E173</f>
        <v/>
      </c>
      <c r="F174" s="29" t="inlineStr">
        <is>
          <t>Capitana de prueba</t>
        </is>
      </c>
      <c r="G174" s="29">
        <f>G173</f>
        <v/>
      </c>
      <c r="H174" s="29">
        <f>H173</f>
        <v/>
      </c>
      <c r="I174" s="29">
        <f>I173</f>
        <v/>
      </c>
      <c r="J174" s="29">
        <f>J173</f>
        <v/>
      </c>
    </row>
    <row r="175">
      <c r="A175" s="29">
        <f>CONCATENATE("NAME_TC_", SUBSTITUTE(UPPER(B175), " ", ""))</f>
        <v/>
      </c>
      <c r="B175" s="29" t="inlineStr">
        <is>
          <t>Veteran Duo</t>
        </is>
      </c>
      <c r="C175" s="29" t="inlineStr">
        <is>
          <t>ベテランコンビ</t>
        </is>
      </c>
      <c r="D175" s="29" t="inlineStr">
        <is>
          <t>Vénérables</t>
        </is>
      </c>
      <c r="E175" s="29" t="inlineStr">
        <is>
          <t>Veteranen</t>
        </is>
      </c>
      <c r="F175" s="29" t="inlineStr">
        <is>
          <t>Dúo veterano</t>
        </is>
      </c>
      <c r="G175" s="29" t="inlineStr">
        <is>
          <t>Duo Veterani</t>
        </is>
      </c>
      <c r="H175" s="6" t="inlineStr">
        <is>
          <t>베테랑콤비</t>
        </is>
      </c>
      <c r="I175" s="6" t="inlineStr">
        <is>
          <t>資深組合</t>
        </is>
      </c>
      <c r="J175" s="29">
        <f>IFERROR(__xludf.DUMMYFUNCTION("GOOGLETRANSLATE(I175,""zh_HANT"",""zh_HANS"")"),"资深组合")</f>
        <v/>
      </c>
    </row>
    <row r="176">
      <c r="A176" s="29" t="inlineStr">
        <is>
          <t>NAME_TC_YOUTHATHLETE-M</t>
        </is>
      </c>
      <c r="B176" s="29" t="inlineStr">
        <is>
          <t>Youth Athlete</t>
        </is>
      </c>
      <c r="C176" s="29" t="inlineStr">
        <is>
          <t>スポーツしょうねん</t>
        </is>
      </c>
      <c r="D176" s="4" t="inlineStr">
        <is>
          <t>Petit Sportif</t>
        </is>
      </c>
      <c r="E176" s="4" t="inlineStr">
        <is>
          <t>Sportskanone</t>
        </is>
      </c>
      <c r="F176" s="29" t="inlineStr">
        <is>
          <t>Alevín</t>
        </is>
      </c>
      <c r="G176" s="4" t="inlineStr">
        <is>
          <t>Sportivo</t>
        </is>
      </c>
      <c r="H176" s="6" t="inlineStr">
        <is>
          <t>스포츠소년</t>
        </is>
      </c>
      <c r="I176" s="6" t="inlineStr">
        <is>
          <t>運動少年</t>
        </is>
      </c>
      <c r="J176" s="29">
        <f>IFERROR(__xludf.DUMMYFUNCTION("GOOGLETRANSLATE(I176,""zh_HANT"",""zh_HANS"")"),"运动少年")</f>
        <v/>
      </c>
    </row>
    <row r="177">
      <c r="A177" s="29" t="inlineStr">
        <is>
          <t>NAME_TC_YOUTHATHLETE-F</t>
        </is>
      </c>
      <c r="B177" s="29">
        <f>B176</f>
        <v/>
      </c>
      <c r="C177" s="29">
        <f>C176</f>
        <v/>
      </c>
      <c r="D177" s="6" t="inlineStr">
        <is>
          <t>Jeune Sportive</t>
        </is>
      </c>
      <c r="E177" s="29">
        <f>E176</f>
        <v/>
      </c>
      <c r="F177" s="29">
        <f>F176</f>
        <v/>
      </c>
      <c r="G177" s="29" t="inlineStr">
        <is>
          <t>Sportiva</t>
        </is>
      </c>
      <c r="H177" s="6" t="inlineStr">
        <is>
          <t>스포츠소녀</t>
        </is>
      </c>
      <c r="I177" s="6" t="inlineStr">
        <is>
          <t>運動少女</t>
        </is>
      </c>
      <c r="J177" s="29">
        <f>IFERROR(__xludf.DUMMYFUNCTION("GOOGLETRANSLATE(I177,""zh_HANT"",""zh_HANS"")"),"运动少女")</f>
        <v/>
      </c>
    </row>
    <row r="178">
      <c r="A178" s="29">
        <f>CONCATENATE("NAME_TC_", SUBSTITUTE(UPPER(B178), " ", ""))</f>
        <v/>
      </c>
      <c r="B178" s="29" t="inlineStr">
        <is>
          <t>Cabbie</t>
        </is>
      </c>
      <c r="C178" s="29" t="inlineStr">
        <is>
          <t>タクシードライバー</t>
        </is>
      </c>
      <c r="D178" s="29" t="inlineStr">
        <is>
          <t>Chauffeur de Taxi</t>
        </is>
      </c>
      <c r="E178" s="29" t="inlineStr">
        <is>
          <t>Taxipilot</t>
        </is>
      </c>
      <c r="F178" s="29" t="inlineStr">
        <is>
          <t>Aerotaxista</t>
        </is>
      </c>
      <c r="G178" s="29" t="inlineStr">
        <is>
          <t>Tassista</t>
        </is>
      </c>
      <c r="H178" s="6" t="inlineStr">
        <is>
          <t>택시 드라이버</t>
        </is>
      </c>
      <c r="I178" s="6" t="inlineStr">
        <is>
          <t>計程車司機</t>
        </is>
      </c>
      <c r="J178" s="6" t="inlineStr">
        <is>
          <t>出租车司机</t>
        </is>
      </c>
    </row>
    <row r="179">
      <c r="A179" s="29" t="inlineStr">
        <is>
          <t>NAME_TC_CAFEMASTER</t>
        </is>
      </c>
      <c r="B179" s="29" t="inlineStr">
        <is>
          <t>Café Master</t>
        </is>
      </c>
      <c r="C179" s="29" t="inlineStr">
        <is>
          <t>マスター</t>
        </is>
      </c>
      <c r="D179" s="29" t="inlineStr">
        <is>
          <t>Barista</t>
        </is>
      </c>
      <c r="E179" s="29">
        <f>D179</f>
        <v/>
      </c>
      <c r="F179" s="29">
        <f>D179</f>
        <v/>
      </c>
      <c r="G179" s="29">
        <f>D179</f>
        <v/>
      </c>
      <c r="H179" s="6" t="inlineStr">
        <is>
          <t>마스터</t>
        </is>
      </c>
      <c r="I179" s="6" t="inlineStr">
        <is>
          <t>老闆</t>
        </is>
      </c>
      <c r="J179" s="29">
        <f>IFERROR(__xludf.DUMMYFUNCTION("GOOGLETRANSLATE(I179,""zh_HANT"",""zh_HANS"")"),"老板")</f>
        <v/>
      </c>
    </row>
    <row r="180">
      <c r="A180" s="29">
        <f>CONCATENATE("NAME_TC_", SUBSTITUTE(UPPER(B180), " ", ""))</f>
        <v/>
      </c>
      <c r="B180" s="29" t="inlineStr">
        <is>
          <t>Daring Couple</t>
        </is>
      </c>
      <c r="C180" s="29" t="inlineStr">
        <is>
          <t>きもだめしカップル</t>
        </is>
      </c>
      <c r="D180" s="29" t="inlineStr">
        <is>
          <t>Intrépides</t>
        </is>
      </c>
      <c r="E180" s="29" t="inlineStr">
        <is>
          <t>Mutproben-Pärchen</t>
        </is>
      </c>
      <c r="F180" s="29" t="inlineStr">
        <is>
          <t>Pareja intrépida</t>
        </is>
      </c>
      <c r="G180" s="29" t="inlineStr">
        <is>
          <t>Coppia intrepida</t>
        </is>
      </c>
      <c r="H180" s="6" t="inlineStr">
        <is>
          <t>담력시험커플</t>
        </is>
      </c>
      <c r="I180" s="6" t="inlineStr">
        <is>
          <t>試膽情侶</t>
        </is>
      </c>
      <c r="J180" s="29">
        <f>IFERROR(__xludf.DUMMYFUNCTION("GOOGLETRANSLATE(I180,""zh_HANT"",""zh_HANS"")"),"试胆情侣")</f>
        <v/>
      </c>
    </row>
    <row r="181">
      <c r="A181" s="29">
        <f>CONCATENATE("NAME_TC_", SUBSTITUTE(UPPER(B181), " ", ""))</f>
        <v/>
      </c>
      <c r="B181" s="29" t="inlineStr">
        <is>
          <t>Medical Team</t>
        </is>
      </c>
      <c r="C181" s="29" t="inlineStr">
        <is>
          <t>いりょうチーム</t>
        </is>
      </c>
      <c r="D181" s="29" t="inlineStr">
        <is>
          <t>Médecins</t>
        </is>
      </c>
      <c r="E181" s="29" t="inlineStr">
        <is>
          <t>Mediziner</t>
        </is>
      </c>
      <c r="F181" s="29" t="inlineStr">
        <is>
          <t>Equipo médico</t>
        </is>
      </c>
      <c r="G181" s="29" t="inlineStr">
        <is>
          <t>Équipe medica</t>
        </is>
      </c>
      <c r="H181" s="6" t="inlineStr">
        <is>
          <t>의료팀</t>
        </is>
      </c>
      <c r="I181" s="6" t="inlineStr">
        <is>
          <t>醫療團隊</t>
        </is>
      </c>
      <c r="J181" s="29">
        <f>IFERROR(__xludf.DUMMYFUNCTION("GOOGLETRANSLATE(I181,""zh_HANT"",""zh_HANS"")"),"医疗团队")</f>
        <v/>
      </c>
    </row>
    <row r="182">
      <c r="A182" s="29">
        <f>CONCATENATE("NAME_TC_", SUBSTITUTE(UPPER(B182), " ", ""))</f>
        <v/>
      </c>
      <c r="B182" s="29" t="inlineStr">
        <is>
          <t>Model</t>
        </is>
      </c>
      <c r="C182" s="29" t="inlineStr">
        <is>
          <t>モデル</t>
        </is>
      </c>
      <c r="D182" s="29" t="inlineStr">
        <is>
          <t>Top Model</t>
        </is>
      </c>
      <c r="E182" s="29">
        <f>B182</f>
        <v/>
      </c>
      <c r="F182" s="29" t="inlineStr">
        <is>
          <t>Supermodelo</t>
        </is>
      </c>
      <c r="G182" s="29" t="inlineStr">
        <is>
          <t>Modella</t>
        </is>
      </c>
      <c r="H182" s="6" t="inlineStr">
        <is>
          <t>모델</t>
        </is>
      </c>
      <c r="I182" s="6" t="inlineStr">
        <is>
          <t>模特兒</t>
        </is>
      </c>
      <c r="J182" s="6" t="inlineStr">
        <is>
          <t>模特</t>
        </is>
      </c>
    </row>
    <row r="183">
      <c r="A183" s="29">
        <f>CONCATENATE("NAME_TC_", SUBSTITUTE(UPPER(B183), " ", ""))</f>
        <v/>
      </c>
      <c r="B183" s="29" t="inlineStr">
        <is>
          <t>Postman</t>
        </is>
      </c>
      <c r="C183" s="29" t="inlineStr">
        <is>
          <t>ポストマン</t>
        </is>
      </c>
      <c r="D183" s="29" t="inlineStr">
        <is>
          <t>Facteur</t>
        </is>
      </c>
      <c r="E183" s="29" t="inlineStr">
        <is>
          <t>Postbote</t>
        </is>
      </c>
      <c r="F183" s="29" t="inlineStr">
        <is>
          <t>Cartero</t>
        </is>
      </c>
      <c r="G183" s="29" t="inlineStr">
        <is>
          <t>Postino</t>
        </is>
      </c>
      <c r="H183" s="4" t="inlineStr">
        <is>
          <t>포스트맨</t>
        </is>
      </c>
      <c r="I183" s="4" t="inlineStr">
        <is>
          <t>郵差</t>
        </is>
      </c>
      <c r="J183" s="4" t="inlineStr">
        <is>
          <t>邮递员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2026-06-26T16:07:36Z</dcterms:created>
  <dcterms:modified xmlns:dcterms="http://purl.org/dc/terms/" xmlns:xsi="http://www.w3.org/2001/XMLSchema-instance" xsi:type="dcterms:W3CDTF">2026-06-26T16:07:37Z</dcterms:modified>
</cp:coreProperties>
</file>